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RY12\Documents\GitHub\MarmotsTuesday\Altered\"/>
    </mc:Choice>
  </mc:AlternateContent>
  <xr:revisionPtr revIDLastSave="0" documentId="13_ncr:1_{0BCB3CEF-2B94-46D4-8431-3726B083231E}" xr6:coauthVersionLast="47" xr6:coauthVersionMax="47" xr10:uidLastSave="{00000000-0000-0000-0000-000000000000}"/>
  <bookViews>
    <workbookView xWindow="28680" yWindow="-120" windowWidth="19440" windowHeight="15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02" i="1" l="1"/>
  <c r="H1602" i="1"/>
  <c r="F1420" i="1"/>
  <c r="H1420" i="1"/>
  <c r="F1241" i="1"/>
  <c r="H1241" i="1"/>
  <c r="I1241" i="1" s="1"/>
  <c r="F1060" i="1"/>
  <c r="H1060" i="1"/>
  <c r="F584" i="1"/>
  <c r="H584" i="1"/>
  <c r="F342" i="1"/>
  <c r="F867" i="1"/>
  <c r="F1229" i="1"/>
  <c r="F334" i="1"/>
  <c r="F1213" i="1"/>
  <c r="F1394" i="1"/>
  <c r="F540" i="1"/>
  <c r="F1239" i="1"/>
  <c r="F1601" i="1"/>
  <c r="F530" i="1"/>
  <c r="F672" i="1"/>
  <c r="F1575" i="1"/>
  <c r="F148" i="1"/>
  <c r="F684" i="1"/>
  <c r="F863" i="1"/>
  <c r="F241" i="1"/>
  <c r="F1031" i="1"/>
  <c r="F1576" i="1"/>
  <c r="F56" i="1"/>
  <c r="F694" i="1"/>
  <c r="F1596" i="1"/>
  <c r="F335" i="1"/>
  <c r="F854" i="1"/>
  <c r="F1211" i="1"/>
  <c r="F239" i="1"/>
  <c r="F1029" i="1"/>
  <c r="F1390" i="1"/>
  <c r="F533" i="1"/>
  <c r="F686" i="1"/>
  <c r="F1584" i="1"/>
  <c r="F247" i="1"/>
  <c r="F1044" i="1"/>
  <c r="F1585" i="1"/>
  <c r="F151" i="1"/>
  <c r="F865" i="1"/>
  <c r="F1224" i="1"/>
  <c r="F336" i="1"/>
  <c r="F1221" i="1"/>
  <c r="F1405" i="1"/>
  <c r="F541" i="1"/>
  <c r="F1059" i="1"/>
  <c r="F1603" i="1"/>
  <c r="F337" i="1"/>
  <c r="F1032" i="1"/>
  <c r="F1214" i="1"/>
  <c r="F254" i="1"/>
  <c r="F880" i="1"/>
  <c r="F1058" i="1"/>
  <c r="F346" i="1"/>
  <c r="F1047" i="1"/>
  <c r="F1230" i="1"/>
  <c r="F94" i="1"/>
  <c r="F248" i="1"/>
  <c r="F868" i="1"/>
  <c r="F1048" i="1"/>
  <c r="F52" i="1"/>
  <c r="F673" i="1"/>
  <c r="F1395" i="1"/>
  <c r="F250" i="1"/>
  <c r="F1042" i="1"/>
  <c r="F1222" i="1"/>
  <c r="F47" i="1"/>
  <c r="F681" i="1"/>
  <c r="F1033" i="1"/>
  <c r="F152" i="1"/>
  <c r="F869" i="1"/>
  <c r="F1588" i="1"/>
  <c r="F48" i="1"/>
  <c r="F674" i="1"/>
  <c r="F1577" i="1"/>
  <c r="F343" i="1"/>
  <c r="F1231" i="1"/>
  <c r="F1407" i="1"/>
  <c r="F348" i="1"/>
  <c r="F879" i="1"/>
  <c r="F1240" i="1"/>
  <c r="F344" i="1"/>
  <c r="F1049" i="1"/>
  <c r="F1232" i="1"/>
  <c r="F57" i="1"/>
  <c r="F689" i="1"/>
  <c r="F1589" i="1"/>
  <c r="F443" i="1"/>
  <c r="F1414" i="1"/>
  <c r="F1597" i="1"/>
  <c r="F153" i="1"/>
  <c r="F870" i="1"/>
  <c r="F1233" i="1"/>
  <c r="F431" i="1"/>
  <c r="F1034" i="1"/>
  <c r="F1396" i="1"/>
  <c r="F251" i="1"/>
  <c r="F1053" i="1"/>
  <c r="F1236" i="1"/>
  <c r="F242" i="1"/>
  <c r="F1035" i="1"/>
  <c r="F1397" i="1"/>
  <c r="F243" i="1"/>
  <c r="F1036" i="1"/>
  <c r="F1215" i="1"/>
  <c r="F191" i="1"/>
  <c r="F528" i="1"/>
  <c r="F1212" i="1"/>
  <c r="F1573" i="1"/>
  <c r="F338" i="1"/>
  <c r="F866" i="1"/>
  <c r="F1225" i="1"/>
  <c r="F437" i="1"/>
  <c r="F1234" i="1"/>
  <c r="F1408" i="1"/>
  <c r="F44" i="1"/>
  <c r="F669" i="1"/>
  <c r="F853" i="1"/>
  <c r="F145" i="1"/>
  <c r="F857" i="1"/>
  <c r="F1037" i="1"/>
  <c r="F154" i="1"/>
  <c r="F690" i="1"/>
  <c r="F871" i="1"/>
  <c r="F430" i="1"/>
  <c r="F849" i="1"/>
  <c r="F1391" i="1"/>
  <c r="F347" i="1"/>
  <c r="F1054" i="1"/>
  <c r="F1237" i="1"/>
  <c r="F53" i="1"/>
  <c r="F682" i="1"/>
  <c r="F860" i="1"/>
  <c r="F535" i="1"/>
  <c r="F1235" i="1"/>
  <c r="F1590" i="1"/>
  <c r="F339" i="1"/>
  <c r="F850" i="1"/>
  <c r="F1210" i="1"/>
  <c r="F58" i="1"/>
  <c r="F696" i="1"/>
  <c r="F1415" i="1"/>
  <c r="F440" i="1"/>
  <c r="F697" i="1"/>
  <c r="F1418" i="1"/>
  <c r="F432" i="1"/>
  <c r="F1398" i="1"/>
  <c r="F1578" i="1"/>
  <c r="F349" i="1"/>
  <c r="F1242" i="1"/>
  <c r="F1422" i="1"/>
  <c r="F445" i="1"/>
  <c r="F699" i="1"/>
  <c r="F1421" i="1"/>
  <c r="F340" i="1"/>
  <c r="F858" i="1"/>
  <c r="F1216" i="1"/>
  <c r="F438" i="1"/>
  <c r="F691" i="1"/>
  <c r="F1409" i="1"/>
  <c r="F49" i="1"/>
  <c r="F675" i="1"/>
  <c r="F1399" i="1"/>
  <c r="F45" i="1"/>
  <c r="F676" i="1"/>
  <c r="F1400" i="1"/>
  <c r="F54" i="1"/>
  <c r="F692" i="1"/>
  <c r="F872" i="1"/>
  <c r="F531" i="1"/>
  <c r="F677" i="1"/>
  <c r="F1579" i="1"/>
  <c r="F141" i="1"/>
  <c r="F668" i="1"/>
  <c r="F851" i="1"/>
  <c r="F481" i="1"/>
  <c r="F578" i="1"/>
  <c r="F1226" i="1"/>
  <c r="F1600" i="1"/>
  <c r="F536" i="1"/>
  <c r="F1050" i="1"/>
  <c r="F1591" i="1"/>
  <c r="F583" i="1"/>
  <c r="F433" i="1"/>
  <c r="F1401" i="1"/>
  <c r="F1580" i="1"/>
  <c r="F290" i="1"/>
  <c r="F50" i="1"/>
  <c r="F670" i="1"/>
  <c r="F1393" i="1"/>
  <c r="F149" i="1"/>
  <c r="F683" i="1"/>
  <c r="F861" i="1"/>
  <c r="F527" i="1"/>
  <c r="F1392" i="1"/>
  <c r="F1572" i="1"/>
  <c r="F244" i="1"/>
  <c r="F1038" i="1"/>
  <c r="F1581" i="1"/>
  <c r="F156" i="1"/>
  <c r="F877" i="1"/>
  <c r="F1238" i="1"/>
  <c r="F539" i="1"/>
  <c r="F687" i="1"/>
  <c r="F1598" i="1"/>
  <c r="F577" i="1"/>
  <c r="F240" i="1"/>
  <c r="F1039" i="1"/>
  <c r="F1217" i="1"/>
  <c r="F143" i="1"/>
  <c r="F859" i="1"/>
  <c r="F1218" i="1"/>
  <c r="F150" i="1"/>
  <c r="F875" i="1"/>
  <c r="F1223" i="1"/>
  <c r="F155" i="1"/>
  <c r="F693" i="1"/>
  <c r="F876" i="1"/>
  <c r="F479" i="1"/>
  <c r="F341" i="1"/>
  <c r="F1219" i="1"/>
  <c r="F1402" i="1"/>
  <c r="F441" i="1"/>
  <c r="F1051" i="1"/>
  <c r="F1411" i="1"/>
  <c r="F252" i="1"/>
  <c r="F1061" i="1"/>
  <c r="F1604" i="1"/>
  <c r="F345" i="1"/>
  <c r="F1045" i="1"/>
  <c r="F1227" i="1"/>
  <c r="F532" i="1"/>
  <c r="F855" i="1"/>
  <c r="F1574" i="1"/>
  <c r="F55" i="1"/>
  <c r="F688" i="1"/>
  <c r="F1595" i="1"/>
  <c r="F144" i="1"/>
  <c r="F678" i="1"/>
  <c r="F874" i="1"/>
  <c r="F253" i="1"/>
  <c r="F1055" i="1"/>
  <c r="F1416" i="1"/>
  <c r="F436" i="1"/>
  <c r="F1410" i="1"/>
  <c r="F1586" i="1"/>
  <c r="F442" i="1"/>
  <c r="F1056" i="1"/>
  <c r="F1417" i="1"/>
  <c r="F529" i="1"/>
  <c r="F1040" i="1"/>
  <c r="F1582" i="1"/>
  <c r="F146" i="1"/>
  <c r="F862" i="1"/>
  <c r="F1043" i="1"/>
  <c r="F196" i="1"/>
  <c r="F246" i="1"/>
  <c r="F1046" i="1"/>
  <c r="F1228" i="1"/>
  <c r="F245" i="1"/>
  <c r="F1041" i="1"/>
  <c r="F1403" i="1"/>
  <c r="F439" i="1"/>
  <c r="F1412" i="1"/>
  <c r="F1592" i="1"/>
  <c r="F534" i="1"/>
  <c r="F1406" i="1"/>
  <c r="F1587" i="1"/>
  <c r="F444" i="1"/>
  <c r="F698" i="1"/>
  <c r="F1419" i="1"/>
  <c r="F537" i="1"/>
  <c r="F873" i="1"/>
  <c r="F1593" i="1"/>
  <c r="F59" i="1"/>
  <c r="F695" i="1"/>
  <c r="F878" i="1"/>
  <c r="F51" i="1"/>
  <c r="F679" i="1"/>
  <c r="F1583" i="1"/>
  <c r="F538" i="1"/>
  <c r="F1057" i="1"/>
  <c r="F1599" i="1"/>
  <c r="F434" i="1"/>
  <c r="F680" i="1"/>
  <c r="F1404" i="1"/>
  <c r="F387" i="1"/>
  <c r="F46" i="1"/>
  <c r="F671" i="1"/>
  <c r="F856" i="1"/>
  <c r="F435" i="1"/>
  <c r="F1220" i="1"/>
  <c r="F1413" i="1"/>
  <c r="F249" i="1"/>
  <c r="F1052" i="1"/>
  <c r="F1594" i="1"/>
  <c r="F147" i="1"/>
  <c r="F685" i="1"/>
  <c r="F864" i="1"/>
  <c r="F142" i="1"/>
  <c r="F852" i="1"/>
  <c r="F1030" i="1"/>
  <c r="H342" i="1"/>
  <c r="H867" i="1"/>
  <c r="H1229" i="1"/>
  <c r="H334" i="1"/>
  <c r="I334" i="1" s="1"/>
  <c r="H1213" i="1"/>
  <c r="H1394" i="1"/>
  <c r="H540" i="1"/>
  <c r="I540" i="1" s="1"/>
  <c r="H1239" i="1"/>
  <c r="H1601" i="1"/>
  <c r="H530" i="1"/>
  <c r="H672" i="1"/>
  <c r="H1575" i="1"/>
  <c r="H148" i="1"/>
  <c r="H684" i="1"/>
  <c r="H863" i="1"/>
  <c r="H241" i="1"/>
  <c r="I241" i="1" s="1"/>
  <c r="H1031" i="1"/>
  <c r="H1576" i="1"/>
  <c r="H56" i="1"/>
  <c r="H694" i="1"/>
  <c r="H1596" i="1"/>
  <c r="H335" i="1"/>
  <c r="H854" i="1"/>
  <c r="H1211" i="1"/>
  <c r="H239" i="1"/>
  <c r="H1029" i="1"/>
  <c r="H1390" i="1"/>
  <c r="H533" i="1"/>
  <c r="I533" i="1" s="1"/>
  <c r="H686" i="1"/>
  <c r="H1584" i="1"/>
  <c r="H247" i="1"/>
  <c r="H1044" i="1"/>
  <c r="H1585" i="1"/>
  <c r="H151" i="1"/>
  <c r="H865" i="1"/>
  <c r="H1224" i="1"/>
  <c r="H336" i="1"/>
  <c r="H1221" i="1"/>
  <c r="H1405" i="1"/>
  <c r="H541" i="1"/>
  <c r="I541" i="1" s="1"/>
  <c r="H1059" i="1"/>
  <c r="H1603" i="1"/>
  <c r="H337" i="1"/>
  <c r="H1032" i="1"/>
  <c r="H1214" i="1"/>
  <c r="H254" i="1"/>
  <c r="H880" i="1"/>
  <c r="H1058" i="1"/>
  <c r="H346" i="1"/>
  <c r="H1047" i="1"/>
  <c r="H1230" i="1"/>
  <c r="H94" i="1"/>
  <c r="I94" i="1" s="1"/>
  <c r="H248" i="1"/>
  <c r="I248" i="1" s="1"/>
  <c r="H868" i="1"/>
  <c r="H1048" i="1"/>
  <c r="H52" i="1"/>
  <c r="H673" i="1"/>
  <c r="H1395" i="1"/>
  <c r="H250" i="1"/>
  <c r="H1042" i="1"/>
  <c r="H1222" i="1"/>
  <c r="H47" i="1"/>
  <c r="H681" i="1"/>
  <c r="H1033" i="1"/>
  <c r="I1033" i="1" s="1"/>
  <c r="H152" i="1"/>
  <c r="H869" i="1"/>
  <c r="H1588" i="1"/>
  <c r="H48" i="1"/>
  <c r="H674" i="1"/>
  <c r="H1577" i="1"/>
  <c r="H343" i="1"/>
  <c r="H1231" i="1"/>
  <c r="H1407" i="1"/>
  <c r="H348" i="1"/>
  <c r="H879" i="1"/>
  <c r="H1240" i="1"/>
  <c r="I1240" i="1" s="1"/>
  <c r="H344" i="1"/>
  <c r="H1049" i="1"/>
  <c r="H1232" i="1"/>
  <c r="H57" i="1"/>
  <c r="H689" i="1"/>
  <c r="H1589" i="1"/>
  <c r="H443" i="1"/>
  <c r="H1414" i="1"/>
  <c r="H1597" i="1"/>
  <c r="H153" i="1"/>
  <c r="H870" i="1"/>
  <c r="H1233" i="1"/>
  <c r="I1233" i="1" s="1"/>
  <c r="H431" i="1"/>
  <c r="H1034" i="1"/>
  <c r="H1396" i="1"/>
  <c r="H251" i="1"/>
  <c r="H1053" i="1"/>
  <c r="H1236" i="1"/>
  <c r="H242" i="1"/>
  <c r="H1035" i="1"/>
  <c r="H1397" i="1"/>
  <c r="H243" i="1"/>
  <c r="H1036" i="1"/>
  <c r="H1215" i="1"/>
  <c r="I1215" i="1" s="1"/>
  <c r="H191" i="1"/>
  <c r="H528" i="1"/>
  <c r="H1212" i="1"/>
  <c r="H1573" i="1"/>
  <c r="H338" i="1"/>
  <c r="H866" i="1"/>
  <c r="H1225" i="1"/>
  <c r="H437" i="1"/>
  <c r="H1234" i="1"/>
  <c r="H1408" i="1"/>
  <c r="H44" i="1"/>
  <c r="H669" i="1"/>
  <c r="I669" i="1" s="1"/>
  <c r="H853" i="1"/>
  <c r="H145" i="1"/>
  <c r="H857" i="1"/>
  <c r="H1037" i="1"/>
  <c r="H154" i="1"/>
  <c r="H690" i="1"/>
  <c r="H871" i="1"/>
  <c r="H430" i="1"/>
  <c r="H849" i="1"/>
  <c r="H1391" i="1"/>
  <c r="H347" i="1"/>
  <c r="H1054" i="1"/>
  <c r="I1054" i="1" s="1"/>
  <c r="H1237" i="1"/>
  <c r="H53" i="1"/>
  <c r="H682" i="1"/>
  <c r="H860" i="1"/>
  <c r="H535" i="1"/>
  <c r="H1235" i="1"/>
  <c r="H1590" i="1"/>
  <c r="H339" i="1"/>
  <c r="H850" i="1"/>
  <c r="H1210" i="1"/>
  <c r="H58" i="1"/>
  <c r="H696" i="1"/>
  <c r="I696" i="1" s="1"/>
  <c r="H1415" i="1"/>
  <c r="H440" i="1"/>
  <c r="H697" i="1"/>
  <c r="H1418" i="1"/>
  <c r="H432" i="1"/>
  <c r="H1398" i="1"/>
  <c r="H1578" i="1"/>
  <c r="H349" i="1"/>
  <c r="H1242" i="1"/>
  <c r="H1422" i="1"/>
  <c r="H445" i="1"/>
  <c r="H699" i="1"/>
  <c r="I699" i="1" s="1"/>
  <c r="H1421" i="1"/>
  <c r="H340" i="1"/>
  <c r="H858" i="1"/>
  <c r="H1216" i="1"/>
  <c r="H438" i="1"/>
  <c r="H691" i="1"/>
  <c r="H1409" i="1"/>
  <c r="H49" i="1"/>
  <c r="H675" i="1"/>
  <c r="H1399" i="1"/>
  <c r="H45" i="1"/>
  <c r="H676" i="1"/>
  <c r="I676" i="1" s="1"/>
  <c r="H1400" i="1"/>
  <c r="H54" i="1"/>
  <c r="H692" i="1"/>
  <c r="H872" i="1"/>
  <c r="H531" i="1"/>
  <c r="H677" i="1"/>
  <c r="H1579" i="1"/>
  <c r="H141" i="1"/>
  <c r="H668" i="1"/>
  <c r="H851" i="1"/>
  <c r="H481" i="1"/>
  <c r="H578" i="1"/>
  <c r="I578" i="1" s="1"/>
  <c r="H1226" i="1"/>
  <c r="H1600" i="1"/>
  <c r="H536" i="1"/>
  <c r="H1050" i="1"/>
  <c r="H1591" i="1"/>
  <c r="H583" i="1"/>
  <c r="H433" i="1"/>
  <c r="H1401" i="1"/>
  <c r="H1580" i="1"/>
  <c r="H290" i="1"/>
  <c r="H50" i="1"/>
  <c r="H670" i="1"/>
  <c r="I670" i="1" s="1"/>
  <c r="H1393" i="1"/>
  <c r="H149" i="1"/>
  <c r="H683" i="1"/>
  <c r="H861" i="1"/>
  <c r="H527" i="1"/>
  <c r="H1392" i="1"/>
  <c r="H1572" i="1"/>
  <c r="H244" i="1"/>
  <c r="H1038" i="1"/>
  <c r="H1581" i="1"/>
  <c r="H156" i="1"/>
  <c r="H877" i="1"/>
  <c r="I877" i="1" s="1"/>
  <c r="H1238" i="1"/>
  <c r="H539" i="1"/>
  <c r="H687" i="1"/>
  <c r="H1598" i="1"/>
  <c r="H577" i="1"/>
  <c r="H240" i="1"/>
  <c r="H1039" i="1"/>
  <c r="H1217" i="1"/>
  <c r="H143" i="1"/>
  <c r="H859" i="1"/>
  <c r="H1218" i="1"/>
  <c r="H150" i="1"/>
  <c r="I150" i="1" s="1"/>
  <c r="H875" i="1"/>
  <c r="H1223" i="1"/>
  <c r="H155" i="1"/>
  <c r="H693" i="1"/>
  <c r="H876" i="1"/>
  <c r="H479" i="1"/>
  <c r="H341" i="1"/>
  <c r="H1219" i="1"/>
  <c r="H1402" i="1"/>
  <c r="H441" i="1"/>
  <c r="H1051" i="1"/>
  <c r="H1411" i="1"/>
  <c r="I1411" i="1" s="1"/>
  <c r="H252" i="1"/>
  <c r="H1061" i="1"/>
  <c r="H1604" i="1"/>
  <c r="H345" i="1"/>
  <c r="H1045" i="1"/>
  <c r="H1227" i="1"/>
  <c r="H532" i="1"/>
  <c r="H855" i="1"/>
  <c r="H1574" i="1"/>
  <c r="H55" i="1"/>
  <c r="H688" i="1"/>
  <c r="H1595" i="1"/>
  <c r="I1595" i="1" s="1"/>
  <c r="H144" i="1"/>
  <c r="H678" i="1"/>
  <c r="H874" i="1"/>
  <c r="H253" i="1"/>
  <c r="H1055" i="1"/>
  <c r="H1416" i="1"/>
  <c r="H436" i="1"/>
  <c r="H1410" i="1"/>
  <c r="H1586" i="1"/>
  <c r="H442" i="1"/>
  <c r="H1056" i="1"/>
  <c r="H1417" i="1"/>
  <c r="I1417" i="1" s="1"/>
  <c r="H529" i="1"/>
  <c r="H1040" i="1"/>
  <c r="H1582" i="1"/>
  <c r="H146" i="1"/>
  <c r="H862" i="1"/>
  <c r="H1043" i="1"/>
  <c r="H196" i="1"/>
  <c r="H246" i="1"/>
  <c r="H1046" i="1"/>
  <c r="H1228" i="1"/>
  <c r="H245" i="1"/>
  <c r="H1041" i="1"/>
  <c r="I1041" i="1" s="1"/>
  <c r="H1403" i="1"/>
  <c r="H439" i="1"/>
  <c r="H1412" i="1"/>
  <c r="H1592" i="1"/>
  <c r="H534" i="1"/>
  <c r="H1406" i="1"/>
  <c r="H1587" i="1"/>
  <c r="H444" i="1"/>
  <c r="H698" i="1"/>
  <c r="H1419" i="1"/>
  <c r="H537" i="1"/>
  <c r="H873" i="1"/>
  <c r="I873" i="1" s="1"/>
  <c r="H1593" i="1"/>
  <c r="H59" i="1"/>
  <c r="H695" i="1"/>
  <c r="H878" i="1"/>
  <c r="H51" i="1"/>
  <c r="H679" i="1"/>
  <c r="H1583" i="1"/>
  <c r="H538" i="1"/>
  <c r="H1057" i="1"/>
  <c r="H1599" i="1"/>
  <c r="H434" i="1"/>
  <c r="H680" i="1"/>
  <c r="I680" i="1" s="1"/>
  <c r="H1404" i="1"/>
  <c r="H387" i="1"/>
  <c r="H46" i="1"/>
  <c r="H671" i="1"/>
  <c r="H856" i="1"/>
  <c r="H435" i="1"/>
  <c r="H1220" i="1"/>
  <c r="H1413" i="1"/>
  <c r="H249" i="1"/>
  <c r="H1052" i="1"/>
  <c r="H1594" i="1"/>
  <c r="H147" i="1"/>
  <c r="I147" i="1" s="1"/>
  <c r="H685" i="1"/>
  <c r="H864" i="1"/>
  <c r="H142" i="1"/>
  <c r="H852" i="1"/>
  <c r="H1030" i="1"/>
  <c r="F558" i="1"/>
  <c r="F732" i="1"/>
  <c r="F1637" i="1"/>
  <c r="F280" i="1"/>
  <c r="F926" i="1"/>
  <c r="F1110" i="1"/>
  <c r="F571" i="1"/>
  <c r="F758" i="1"/>
  <c r="F1661" i="1"/>
  <c r="F570" i="1"/>
  <c r="F1481" i="1"/>
  <c r="F1664" i="1"/>
  <c r="F559" i="1"/>
  <c r="F1291" i="1"/>
  <c r="F1655" i="1"/>
  <c r="F187" i="1"/>
  <c r="F762" i="1"/>
  <c r="F938" i="1"/>
  <c r="F77" i="1"/>
  <c r="F733" i="1"/>
  <c r="F1639" i="1"/>
  <c r="F463" i="1"/>
  <c r="F734" i="1"/>
  <c r="F1469" i="1"/>
  <c r="F281" i="1"/>
  <c r="F1105" i="1"/>
  <c r="F1290" i="1"/>
  <c r="F564" i="1"/>
  <c r="F1277" i="1"/>
  <c r="F1638" i="1"/>
  <c r="F78" i="1"/>
  <c r="F750" i="1"/>
  <c r="F1640" i="1"/>
  <c r="F271" i="1"/>
  <c r="F1095" i="1"/>
  <c r="F1278" i="1"/>
  <c r="F373" i="1"/>
  <c r="F916" i="1"/>
  <c r="F1279" i="1"/>
  <c r="F272" i="1"/>
  <c r="F1096" i="1"/>
  <c r="F1280" i="1"/>
  <c r="F174" i="1"/>
  <c r="F735" i="1"/>
  <c r="F927" i="1"/>
  <c r="F568" i="1"/>
  <c r="F1477" i="1"/>
  <c r="F1662" i="1"/>
  <c r="F368" i="1"/>
  <c r="F1097" i="1"/>
  <c r="F1292" i="1"/>
  <c r="F374" i="1"/>
  <c r="F928" i="1"/>
  <c r="F1293" i="1"/>
  <c r="F88" i="1"/>
  <c r="F751" i="1"/>
  <c r="F1478" i="1"/>
  <c r="F282" i="1"/>
  <c r="F1111" i="1"/>
  <c r="F1294" i="1"/>
  <c r="F381" i="1"/>
  <c r="F944" i="1"/>
  <c r="F1306" i="1"/>
  <c r="F179" i="1"/>
  <c r="F746" i="1"/>
  <c r="F923" i="1"/>
  <c r="F369" i="1"/>
  <c r="F1281" i="1"/>
  <c r="F1458" i="1"/>
  <c r="F472" i="1"/>
  <c r="F1112" i="1"/>
  <c r="F1470" i="1"/>
  <c r="F382" i="1"/>
  <c r="F85" i="1"/>
  <c r="F736" i="1"/>
  <c r="F1641" i="1"/>
  <c r="F89" i="1"/>
  <c r="F759" i="1"/>
  <c r="F1479" i="1"/>
  <c r="F461" i="1"/>
  <c r="F1273" i="1"/>
  <c r="F1453" i="1"/>
  <c r="F375" i="1"/>
  <c r="F1295" i="1"/>
  <c r="F1471" i="1"/>
  <c r="F79" i="1"/>
  <c r="F737" i="1"/>
  <c r="F1642" i="1"/>
  <c r="F90" i="1"/>
  <c r="F752" i="1"/>
  <c r="F1656" i="1"/>
  <c r="F572" i="1"/>
  <c r="F1124" i="1"/>
  <c r="F1668" i="1"/>
  <c r="F464" i="1"/>
  <c r="F1283" i="1"/>
  <c r="F1460" i="1"/>
  <c r="F76" i="1"/>
  <c r="F730" i="1"/>
  <c r="F1091" i="1"/>
  <c r="F172" i="1"/>
  <c r="F912" i="1"/>
  <c r="F1092" i="1"/>
  <c r="F370" i="1"/>
  <c r="F1284" i="1"/>
  <c r="F1461" i="1"/>
  <c r="F175" i="1"/>
  <c r="F917" i="1"/>
  <c r="F1643" i="1"/>
  <c r="F270" i="1"/>
  <c r="F918" i="1"/>
  <c r="F1098" i="1"/>
  <c r="F190" i="1"/>
  <c r="F188" i="1"/>
  <c r="F945" i="1"/>
  <c r="F1304" i="1"/>
  <c r="F180" i="1"/>
  <c r="F929" i="1"/>
  <c r="F1113" i="1"/>
  <c r="F95" i="1"/>
  <c r="F473" i="1"/>
  <c r="F1300" i="1"/>
  <c r="F1480" i="1"/>
  <c r="F560" i="1"/>
  <c r="F738" i="1"/>
  <c r="F1644" i="1"/>
  <c r="F384" i="1"/>
  <c r="F284" i="1"/>
  <c r="F936" i="1"/>
  <c r="F1118" i="1"/>
  <c r="F273" i="1"/>
  <c r="F919" i="1"/>
  <c r="F1119" i="1"/>
  <c r="F365" i="1"/>
  <c r="F913" i="1"/>
  <c r="F1275" i="1"/>
  <c r="F274" i="1"/>
  <c r="F740" i="1"/>
  <c r="F1100" i="1"/>
  <c r="F465" i="1"/>
  <c r="F1101" i="1"/>
  <c r="F1462" i="1"/>
  <c r="F184" i="1"/>
  <c r="F930" i="1"/>
  <c r="F1114" i="1"/>
  <c r="F561" i="1"/>
  <c r="F739" i="1"/>
  <c r="F1645" i="1"/>
  <c r="F569" i="1"/>
  <c r="F1115" i="1"/>
  <c r="F1657" i="1"/>
  <c r="F378" i="1"/>
  <c r="F760" i="1"/>
  <c r="F1301" i="1"/>
  <c r="F185" i="1"/>
  <c r="F931" i="1"/>
  <c r="F1658" i="1"/>
  <c r="F562" i="1"/>
  <c r="F1099" i="1"/>
  <c r="F1646" i="1"/>
  <c r="F462" i="1"/>
  <c r="F1274" i="1"/>
  <c r="F1454" i="1"/>
  <c r="F91" i="1"/>
  <c r="F763" i="1"/>
  <c r="F1121" i="1"/>
  <c r="F466" i="1"/>
  <c r="F1285" i="1"/>
  <c r="F1472" i="1"/>
  <c r="F83" i="1"/>
  <c r="F741" i="1"/>
  <c r="F1647" i="1"/>
  <c r="F84" i="1"/>
  <c r="F748" i="1"/>
  <c r="F1653" i="1"/>
  <c r="F582" i="1"/>
  <c r="F87" i="1"/>
  <c r="F757" i="1"/>
  <c r="F935" i="1"/>
  <c r="F470" i="1"/>
  <c r="F1094" i="1"/>
  <c r="F1457" i="1"/>
  <c r="F289" i="1"/>
  <c r="F86" i="1"/>
  <c r="F742" i="1"/>
  <c r="F1473" i="1"/>
  <c r="F477" i="1"/>
  <c r="F1305" i="1"/>
  <c r="F1485" i="1"/>
  <c r="F283" i="1"/>
  <c r="F924" i="1"/>
  <c r="F1106" i="1"/>
  <c r="F275" i="1"/>
  <c r="F1102" i="1"/>
  <c r="F1286" i="1"/>
  <c r="F278" i="1"/>
  <c r="F1108" i="1"/>
  <c r="F1654" i="1"/>
  <c r="F279" i="1"/>
  <c r="F749" i="1"/>
  <c r="F1109" i="1"/>
  <c r="F475" i="1"/>
  <c r="F942" i="1"/>
  <c r="F1486" i="1"/>
  <c r="F376" i="1"/>
  <c r="F1296" i="1"/>
  <c r="F1474" i="1"/>
  <c r="F557" i="1"/>
  <c r="F731" i="1"/>
  <c r="F1635" i="1"/>
  <c r="F80" i="1"/>
  <c r="F743" i="1"/>
  <c r="F1648" i="1"/>
  <c r="F371" i="1"/>
  <c r="F1287" i="1"/>
  <c r="F1463" i="1"/>
  <c r="F181" i="1"/>
  <c r="F753" i="1"/>
  <c r="F932" i="1"/>
  <c r="F176" i="1"/>
  <c r="F920" i="1"/>
  <c r="F1103" i="1"/>
  <c r="F177" i="1"/>
  <c r="F921" i="1"/>
  <c r="F1104" i="1"/>
  <c r="F285" i="1"/>
  <c r="F1120" i="1"/>
  <c r="F1663" i="1"/>
  <c r="F576" i="1"/>
  <c r="F182" i="1"/>
  <c r="F754" i="1"/>
  <c r="F933" i="1"/>
  <c r="F186" i="1"/>
  <c r="F761" i="1"/>
  <c r="F937" i="1"/>
  <c r="F367" i="1"/>
  <c r="F1288" i="1"/>
  <c r="F1464" i="1"/>
  <c r="F173" i="1"/>
  <c r="F914" i="1"/>
  <c r="F1636" i="1"/>
  <c r="F366" i="1"/>
  <c r="F1276" i="1"/>
  <c r="F1455" i="1"/>
  <c r="F81" i="1"/>
  <c r="F744" i="1"/>
  <c r="F1465" i="1"/>
  <c r="F476" i="1"/>
  <c r="F1484" i="1"/>
  <c r="F1666" i="1"/>
  <c r="F93" i="1"/>
  <c r="F82" i="1"/>
  <c r="F755" i="1"/>
  <c r="F1475" i="1"/>
  <c r="F183" i="1"/>
  <c r="F940" i="1"/>
  <c r="F1665" i="1"/>
  <c r="F277" i="1"/>
  <c r="F756" i="1"/>
  <c r="F1116" i="1"/>
  <c r="F372" i="1"/>
  <c r="F1117" i="1"/>
  <c r="F1297" i="1"/>
  <c r="F468" i="1"/>
  <c r="F1298" i="1"/>
  <c r="F1476" i="1"/>
  <c r="F563" i="1"/>
  <c r="F934" i="1"/>
  <c r="F1659" i="1"/>
  <c r="F567" i="1"/>
  <c r="F1107" i="1"/>
  <c r="F1650" i="1"/>
  <c r="F565" i="1"/>
  <c r="F747" i="1"/>
  <c r="F1651" i="1"/>
  <c r="F195" i="1"/>
  <c r="F75" i="1"/>
  <c r="F745" i="1"/>
  <c r="F915" i="1"/>
  <c r="F566" i="1"/>
  <c r="F925" i="1"/>
  <c r="F1652" i="1"/>
  <c r="F178" i="1"/>
  <c r="F922" i="1"/>
  <c r="F1466" i="1"/>
  <c r="F573" i="1"/>
  <c r="F1123" i="1"/>
  <c r="F1667" i="1"/>
  <c r="F467" i="1"/>
  <c r="F1289" i="1"/>
  <c r="F1467" i="1"/>
  <c r="F380" i="1"/>
  <c r="F943" i="1"/>
  <c r="F1303" i="1"/>
  <c r="F276" i="1"/>
  <c r="F1093" i="1"/>
  <c r="F1456" i="1"/>
  <c r="F471" i="1"/>
  <c r="F1468" i="1"/>
  <c r="F1649" i="1"/>
  <c r="F377" i="1"/>
  <c r="F1299" i="1"/>
  <c r="F1660" i="1"/>
  <c r="F474" i="1"/>
  <c r="F941" i="1"/>
  <c r="F1482" i="1"/>
  <c r="F379" i="1"/>
  <c r="F1302" i="1"/>
  <c r="F1483" i="1"/>
  <c r="F484" i="1"/>
  <c r="F469" i="1"/>
  <c r="F1282" i="1"/>
  <c r="F1459" i="1"/>
  <c r="F286" i="1"/>
  <c r="F939" i="1"/>
  <c r="F1122" i="1"/>
  <c r="H558" i="1"/>
  <c r="H732" i="1"/>
  <c r="H1637" i="1"/>
  <c r="H280" i="1"/>
  <c r="H926" i="1"/>
  <c r="H1110" i="1"/>
  <c r="H571" i="1"/>
  <c r="H758" i="1"/>
  <c r="H1661" i="1"/>
  <c r="H570" i="1"/>
  <c r="H1481" i="1"/>
  <c r="H1664" i="1"/>
  <c r="H559" i="1"/>
  <c r="H1291" i="1"/>
  <c r="H1655" i="1"/>
  <c r="H187" i="1"/>
  <c r="H762" i="1"/>
  <c r="H938" i="1"/>
  <c r="H77" i="1"/>
  <c r="H733" i="1"/>
  <c r="H1639" i="1"/>
  <c r="H463" i="1"/>
  <c r="H734" i="1"/>
  <c r="H1469" i="1"/>
  <c r="H281" i="1"/>
  <c r="H1105" i="1"/>
  <c r="H1290" i="1"/>
  <c r="H564" i="1"/>
  <c r="H1277" i="1"/>
  <c r="H1638" i="1"/>
  <c r="H78" i="1"/>
  <c r="H750" i="1"/>
  <c r="H1640" i="1"/>
  <c r="H271" i="1"/>
  <c r="H1095" i="1"/>
  <c r="H1278" i="1"/>
  <c r="H373" i="1"/>
  <c r="H916" i="1"/>
  <c r="H1279" i="1"/>
  <c r="H272" i="1"/>
  <c r="H1096" i="1"/>
  <c r="H1280" i="1"/>
  <c r="H174" i="1"/>
  <c r="H735" i="1"/>
  <c r="H927" i="1"/>
  <c r="H568" i="1"/>
  <c r="H1477" i="1"/>
  <c r="H1662" i="1"/>
  <c r="H368" i="1"/>
  <c r="H1097" i="1"/>
  <c r="H1292" i="1"/>
  <c r="H374" i="1"/>
  <c r="H928" i="1"/>
  <c r="H1293" i="1"/>
  <c r="H88" i="1"/>
  <c r="H751" i="1"/>
  <c r="H1478" i="1"/>
  <c r="H282" i="1"/>
  <c r="H1111" i="1"/>
  <c r="H1294" i="1"/>
  <c r="H381" i="1"/>
  <c r="H944" i="1"/>
  <c r="H1306" i="1"/>
  <c r="H179" i="1"/>
  <c r="H746" i="1"/>
  <c r="H923" i="1"/>
  <c r="H369" i="1"/>
  <c r="H1281" i="1"/>
  <c r="H1458" i="1"/>
  <c r="H472" i="1"/>
  <c r="H1112" i="1"/>
  <c r="H1470" i="1"/>
  <c r="H382" i="1"/>
  <c r="H85" i="1"/>
  <c r="H736" i="1"/>
  <c r="H1641" i="1"/>
  <c r="H89" i="1"/>
  <c r="H759" i="1"/>
  <c r="H1479" i="1"/>
  <c r="H461" i="1"/>
  <c r="H1273" i="1"/>
  <c r="H1453" i="1"/>
  <c r="H375" i="1"/>
  <c r="H1295" i="1"/>
  <c r="H1471" i="1"/>
  <c r="H79" i="1"/>
  <c r="H737" i="1"/>
  <c r="H1642" i="1"/>
  <c r="H90" i="1"/>
  <c r="H752" i="1"/>
  <c r="H1656" i="1"/>
  <c r="H572" i="1"/>
  <c r="H1124" i="1"/>
  <c r="H1668" i="1"/>
  <c r="H464" i="1"/>
  <c r="H1283" i="1"/>
  <c r="H1460" i="1"/>
  <c r="H76" i="1"/>
  <c r="H730" i="1"/>
  <c r="H1091" i="1"/>
  <c r="H172" i="1"/>
  <c r="H912" i="1"/>
  <c r="H1092" i="1"/>
  <c r="H370" i="1"/>
  <c r="H1284" i="1"/>
  <c r="H1461" i="1"/>
  <c r="H175" i="1"/>
  <c r="H917" i="1"/>
  <c r="H1643" i="1"/>
  <c r="H270" i="1"/>
  <c r="H918" i="1"/>
  <c r="H1098" i="1"/>
  <c r="H190" i="1"/>
  <c r="H188" i="1"/>
  <c r="H945" i="1"/>
  <c r="H1304" i="1"/>
  <c r="H180" i="1"/>
  <c r="H929" i="1"/>
  <c r="H1113" i="1"/>
  <c r="H95" i="1"/>
  <c r="H473" i="1"/>
  <c r="H1300" i="1"/>
  <c r="H1480" i="1"/>
  <c r="H560" i="1"/>
  <c r="H738" i="1"/>
  <c r="H1644" i="1"/>
  <c r="H384" i="1"/>
  <c r="H284" i="1"/>
  <c r="H936" i="1"/>
  <c r="H1118" i="1"/>
  <c r="H273" i="1"/>
  <c r="H919" i="1"/>
  <c r="H1119" i="1"/>
  <c r="H365" i="1"/>
  <c r="H913" i="1"/>
  <c r="H1275" i="1"/>
  <c r="H274" i="1"/>
  <c r="H740" i="1"/>
  <c r="H1100" i="1"/>
  <c r="H465" i="1"/>
  <c r="H1101" i="1"/>
  <c r="H1462" i="1"/>
  <c r="H184" i="1"/>
  <c r="H930" i="1"/>
  <c r="H1114" i="1"/>
  <c r="H561" i="1"/>
  <c r="H739" i="1"/>
  <c r="H1645" i="1"/>
  <c r="H569" i="1"/>
  <c r="H1115" i="1"/>
  <c r="H1657" i="1"/>
  <c r="H378" i="1"/>
  <c r="H760" i="1"/>
  <c r="H1301" i="1"/>
  <c r="H185" i="1"/>
  <c r="H931" i="1"/>
  <c r="H1658" i="1"/>
  <c r="H562" i="1"/>
  <c r="H1099" i="1"/>
  <c r="H1646" i="1"/>
  <c r="H462" i="1"/>
  <c r="H1274" i="1"/>
  <c r="H1454" i="1"/>
  <c r="H91" i="1"/>
  <c r="H763" i="1"/>
  <c r="H1121" i="1"/>
  <c r="H466" i="1"/>
  <c r="H1285" i="1"/>
  <c r="H1472" i="1"/>
  <c r="H83" i="1"/>
  <c r="H741" i="1"/>
  <c r="H1647" i="1"/>
  <c r="H84" i="1"/>
  <c r="H748" i="1"/>
  <c r="H1653" i="1"/>
  <c r="H582" i="1"/>
  <c r="H87" i="1"/>
  <c r="H757" i="1"/>
  <c r="H935" i="1"/>
  <c r="H470" i="1"/>
  <c r="H1094" i="1"/>
  <c r="H1457" i="1"/>
  <c r="H289" i="1"/>
  <c r="H86" i="1"/>
  <c r="H742" i="1"/>
  <c r="H1473" i="1"/>
  <c r="H477" i="1"/>
  <c r="H1305" i="1"/>
  <c r="H1485" i="1"/>
  <c r="H283" i="1"/>
  <c r="H924" i="1"/>
  <c r="H1106" i="1"/>
  <c r="H275" i="1"/>
  <c r="H1102" i="1"/>
  <c r="H1286" i="1"/>
  <c r="H278" i="1"/>
  <c r="H1108" i="1"/>
  <c r="H1654" i="1"/>
  <c r="H279" i="1"/>
  <c r="H749" i="1"/>
  <c r="H1109" i="1"/>
  <c r="H475" i="1"/>
  <c r="H942" i="1"/>
  <c r="H1486" i="1"/>
  <c r="H376" i="1"/>
  <c r="H1296" i="1"/>
  <c r="H1474" i="1"/>
  <c r="H557" i="1"/>
  <c r="H731" i="1"/>
  <c r="H1635" i="1"/>
  <c r="H80" i="1"/>
  <c r="H743" i="1"/>
  <c r="H1648" i="1"/>
  <c r="H371" i="1"/>
  <c r="H1287" i="1"/>
  <c r="H1463" i="1"/>
  <c r="H181" i="1"/>
  <c r="H753" i="1"/>
  <c r="H932" i="1"/>
  <c r="H176" i="1"/>
  <c r="H920" i="1"/>
  <c r="H1103" i="1"/>
  <c r="H177" i="1"/>
  <c r="H921" i="1"/>
  <c r="H1104" i="1"/>
  <c r="H285" i="1"/>
  <c r="H1120" i="1"/>
  <c r="H1663" i="1"/>
  <c r="H576" i="1"/>
  <c r="H182" i="1"/>
  <c r="H754" i="1"/>
  <c r="H933" i="1"/>
  <c r="H186" i="1"/>
  <c r="H761" i="1"/>
  <c r="H937" i="1"/>
  <c r="H367" i="1"/>
  <c r="H1288" i="1"/>
  <c r="H1464" i="1"/>
  <c r="H173" i="1"/>
  <c r="H914" i="1"/>
  <c r="H1636" i="1"/>
  <c r="H366" i="1"/>
  <c r="H1276" i="1"/>
  <c r="H1455" i="1"/>
  <c r="H81" i="1"/>
  <c r="H744" i="1"/>
  <c r="H1465" i="1"/>
  <c r="H476" i="1"/>
  <c r="H1484" i="1"/>
  <c r="H1666" i="1"/>
  <c r="H93" i="1"/>
  <c r="H82" i="1"/>
  <c r="H755" i="1"/>
  <c r="H1475" i="1"/>
  <c r="H183" i="1"/>
  <c r="H940" i="1"/>
  <c r="H1665" i="1"/>
  <c r="H277" i="1"/>
  <c r="H756" i="1"/>
  <c r="H1116" i="1"/>
  <c r="H372" i="1"/>
  <c r="H1117" i="1"/>
  <c r="H1297" i="1"/>
  <c r="H468" i="1"/>
  <c r="H1298" i="1"/>
  <c r="H1476" i="1"/>
  <c r="H563" i="1"/>
  <c r="H934" i="1"/>
  <c r="H1659" i="1"/>
  <c r="H567" i="1"/>
  <c r="H1107" i="1"/>
  <c r="H1650" i="1"/>
  <c r="H565" i="1"/>
  <c r="H747" i="1"/>
  <c r="H1651" i="1"/>
  <c r="H195" i="1"/>
  <c r="H75" i="1"/>
  <c r="H745" i="1"/>
  <c r="H915" i="1"/>
  <c r="H566" i="1"/>
  <c r="H925" i="1"/>
  <c r="H1652" i="1"/>
  <c r="H178" i="1"/>
  <c r="H922" i="1"/>
  <c r="H1466" i="1"/>
  <c r="H573" i="1"/>
  <c r="H1123" i="1"/>
  <c r="H1667" i="1"/>
  <c r="H467" i="1"/>
  <c r="H1289" i="1"/>
  <c r="H1467" i="1"/>
  <c r="H380" i="1"/>
  <c r="H943" i="1"/>
  <c r="H1303" i="1"/>
  <c r="H276" i="1"/>
  <c r="H1093" i="1"/>
  <c r="H1456" i="1"/>
  <c r="H471" i="1"/>
  <c r="H1468" i="1"/>
  <c r="H1649" i="1"/>
  <c r="H377" i="1"/>
  <c r="H1299" i="1"/>
  <c r="H1660" i="1"/>
  <c r="H474" i="1"/>
  <c r="H941" i="1"/>
  <c r="H1482" i="1"/>
  <c r="H379" i="1"/>
  <c r="H1302" i="1"/>
  <c r="H1483" i="1"/>
  <c r="H484" i="1"/>
  <c r="H469" i="1"/>
  <c r="H1282" i="1"/>
  <c r="H1459" i="1"/>
  <c r="H286" i="1"/>
  <c r="H939" i="1"/>
  <c r="H112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60" i="1"/>
  <c r="H61" i="1"/>
  <c r="H62" i="1"/>
  <c r="H63" i="1"/>
  <c r="H64" i="1"/>
  <c r="H65" i="1"/>
  <c r="H66" i="1"/>
  <c r="H67" i="1"/>
  <c r="H68" i="1"/>
  <c r="H69" i="1"/>
  <c r="H70" i="1"/>
  <c r="H71" i="1"/>
  <c r="H72" i="1"/>
  <c r="H73" i="1"/>
  <c r="H74" i="1"/>
  <c r="H92"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57" i="1"/>
  <c r="H158" i="1"/>
  <c r="H159" i="1"/>
  <c r="H160" i="1"/>
  <c r="H161" i="1"/>
  <c r="H162" i="1"/>
  <c r="H163" i="1"/>
  <c r="H164" i="1"/>
  <c r="H165" i="1"/>
  <c r="H166" i="1"/>
  <c r="H167" i="1"/>
  <c r="H168" i="1"/>
  <c r="H169" i="1"/>
  <c r="H170" i="1"/>
  <c r="H171" i="1"/>
  <c r="H189" i="1"/>
  <c r="H192" i="1"/>
  <c r="H193" i="1"/>
  <c r="H194"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55" i="1"/>
  <c r="H256" i="1"/>
  <c r="H257" i="1"/>
  <c r="H258" i="1"/>
  <c r="H259" i="1"/>
  <c r="H260" i="1"/>
  <c r="H261" i="1"/>
  <c r="H262" i="1"/>
  <c r="H263" i="1"/>
  <c r="H264" i="1"/>
  <c r="H265" i="1"/>
  <c r="H266" i="1"/>
  <c r="H267" i="1"/>
  <c r="H268" i="1"/>
  <c r="H269" i="1"/>
  <c r="H287" i="1"/>
  <c r="H288"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50" i="1"/>
  <c r="H351" i="1"/>
  <c r="H352" i="1"/>
  <c r="H353" i="1"/>
  <c r="H354" i="1"/>
  <c r="H355" i="1"/>
  <c r="H356" i="1"/>
  <c r="H357" i="1"/>
  <c r="H358" i="1"/>
  <c r="H359" i="1"/>
  <c r="H360" i="1"/>
  <c r="H361" i="1"/>
  <c r="H362" i="1"/>
  <c r="H363" i="1"/>
  <c r="H364" i="1"/>
  <c r="H383" i="1"/>
  <c r="H385" i="1"/>
  <c r="H386"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46" i="1"/>
  <c r="H447" i="1"/>
  <c r="H448" i="1"/>
  <c r="H449" i="1"/>
  <c r="H450" i="1"/>
  <c r="H451" i="1"/>
  <c r="H452" i="1"/>
  <c r="H453" i="1"/>
  <c r="H454" i="1"/>
  <c r="H455" i="1"/>
  <c r="H456" i="1"/>
  <c r="H457" i="1"/>
  <c r="H458" i="1"/>
  <c r="H459" i="1"/>
  <c r="H460" i="1"/>
  <c r="H478" i="1"/>
  <c r="H480" i="1"/>
  <c r="H482" i="1"/>
  <c r="H48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42" i="1"/>
  <c r="H543" i="1"/>
  <c r="H544" i="1"/>
  <c r="H545" i="1"/>
  <c r="H546" i="1"/>
  <c r="H547" i="1"/>
  <c r="H548" i="1"/>
  <c r="H549" i="1"/>
  <c r="H550" i="1"/>
  <c r="H551" i="1"/>
  <c r="H552" i="1"/>
  <c r="H553" i="1"/>
  <c r="H554" i="1"/>
  <c r="H555" i="1"/>
  <c r="H556" i="1"/>
  <c r="H574" i="1"/>
  <c r="H575" i="1"/>
  <c r="H579" i="1"/>
  <c r="H580" i="1"/>
  <c r="H581"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60" i="1"/>
  <c r="F61" i="1"/>
  <c r="F62" i="1"/>
  <c r="F63" i="1"/>
  <c r="F64" i="1"/>
  <c r="F65" i="1"/>
  <c r="F66" i="1"/>
  <c r="F67" i="1"/>
  <c r="F68" i="1"/>
  <c r="F69" i="1"/>
  <c r="F70" i="1"/>
  <c r="F71" i="1"/>
  <c r="F72" i="1"/>
  <c r="F73" i="1"/>
  <c r="F74" i="1"/>
  <c r="F92"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57" i="1"/>
  <c r="F158" i="1"/>
  <c r="F159" i="1"/>
  <c r="F160" i="1"/>
  <c r="F161" i="1"/>
  <c r="F162" i="1"/>
  <c r="F163" i="1"/>
  <c r="F164" i="1"/>
  <c r="F165" i="1"/>
  <c r="F166" i="1"/>
  <c r="F167" i="1"/>
  <c r="F168" i="1"/>
  <c r="F169" i="1"/>
  <c r="F170" i="1"/>
  <c r="F171" i="1"/>
  <c r="F189" i="1"/>
  <c r="F192" i="1"/>
  <c r="F193" i="1"/>
  <c r="F194"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55" i="1"/>
  <c r="F256" i="1"/>
  <c r="F257" i="1"/>
  <c r="F258" i="1"/>
  <c r="F259" i="1"/>
  <c r="F260" i="1"/>
  <c r="F261" i="1"/>
  <c r="F262" i="1"/>
  <c r="F263" i="1"/>
  <c r="F264" i="1"/>
  <c r="F265" i="1"/>
  <c r="F266" i="1"/>
  <c r="F267" i="1"/>
  <c r="F268" i="1"/>
  <c r="F269" i="1"/>
  <c r="F287" i="1"/>
  <c r="F288"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50" i="1"/>
  <c r="F351" i="1"/>
  <c r="F352" i="1"/>
  <c r="F353" i="1"/>
  <c r="F354" i="1"/>
  <c r="F355" i="1"/>
  <c r="F356" i="1"/>
  <c r="F357" i="1"/>
  <c r="F358" i="1"/>
  <c r="F359" i="1"/>
  <c r="F360" i="1"/>
  <c r="F361" i="1"/>
  <c r="F362" i="1"/>
  <c r="F363" i="1"/>
  <c r="F364" i="1"/>
  <c r="F383" i="1"/>
  <c r="F385" i="1"/>
  <c r="F386"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46" i="1"/>
  <c r="F447" i="1"/>
  <c r="F448" i="1"/>
  <c r="F449" i="1"/>
  <c r="F450" i="1"/>
  <c r="F451" i="1"/>
  <c r="F452" i="1"/>
  <c r="F453" i="1"/>
  <c r="F454" i="1"/>
  <c r="F455" i="1"/>
  <c r="F456" i="1"/>
  <c r="F457" i="1"/>
  <c r="F458" i="1"/>
  <c r="F459" i="1"/>
  <c r="F460" i="1"/>
  <c r="F478" i="1"/>
  <c r="F480" i="1"/>
  <c r="F482" i="1"/>
  <c r="F483"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42" i="1"/>
  <c r="F543" i="1"/>
  <c r="F544" i="1"/>
  <c r="F545" i="1"/>
  <c r="F546" i="1"/>
  <c r="F547" i="1"/>
  <c r="F548" i="1"/>
  <c r="F549" i="1"/>
  <c r="F550" i="1"/>
  <c r="F551" i="1"/>
  <c r="F552" i="1"/>
  <c r="F553" i="1"/>
  <c r="F554" i="1"/>
  <c r="F555" i="1"/>
  <c r="F556" i="1"/>
  <c r="F574" i="1"/>
  <c r="F575" i="1"/>
  <c r="F579" i="1"/>
  <c r="F580" i="1"/>
  <c r="F581"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I142" i="1" l="1"/>
  <c r="I46" i="1"/>
  <c r="I1412" i="1"/>
  <c r="I254" i="1"/>
  <c r="I1232" i="1"/>
  <c r="I1602" i="1"/>
  <c r="I1420" i="1"/>
  <c r="I1052" i="1"/>
  <c r="I1599" i="1"/>
  <c r="I1419" i="1"/>
  <c r="I1228" i="1"/>
  <c r="I442" i="1"/>
  <c r="I55" i="1"/>
  <c r="I441" i="1"/>
  <c r="I859" i="1"/>
  <c r="I1581" i="1"/>
  <c r="I290" i="1"/>
  <c r="I851" i="1"/>
  <c r="I1399" i="1"/>
  <c r="I1422" i="1"/>
  <c r="I1210" i="1"/>
  <c r="I1391" i="1"/>
  <c r="I1408" i="1"/>
  <c r="I243" i="1"/>
  <c r="I153" i="1"/>
  <c r="I348" i="1"/>
  <c r="I47" i="1"/>
  <c r="I1047" i="1"/>
  <c r="I1221" i="1"/>
  <c r="I1029" i="1"/>
  <c r="I684" i="1"/>
  <c r="I867" i="1"/>
  <c r="I249" i="1"/>
  <c r="I1057" i="1"/>
  <c r="I698" i="1"/>
  <c r="I1046" i="1"/>
  <c r="I1586" i="1"/>
  <c r="I1574" i="1"/>
  <c r="I1402" i="1"/>
  <c r="I143" i="1"/>
  <c r="I1038" i="1"/>
  <c r="I1580" i="1"/>
  <c r="I668" i="1"/>
  <c r="I675" i="1"/>
  <c r="I1242" i="1"/>
  <c r="I850" i="1"/>
  <c r="I849" i="1"/>
  <c r="I1234" i="1"/>
  <c r="I1397" i="1"/>
  <c r="I1597" i="1"/>
  <c r="I1407" i="1"/>
  <c r="I1222" i="1"/>
  <c r="I346" i="1"/>
  <c r="I686" i="1"/>
  <c r="I1393" i="1"/>
  <c r="I1400" i="1"/>
  <c r="I1594" i="1"/>
  <c r="I434" i="1"/>
  <c r="I537" i="1"/>
  <c r="I245" i="1"/>
  <c r="I1056" i="1"/>
  <c r="I688" i="1"/>
  <c r="I1051" i="1"/>
  <c r="I1218" i="1"/>
  <c r="I156" i="1"/>
  <c r="I50" i="1"/>
  <c r="I481" i="1"/>
  <c r="I45" i="1"/>
  <c r="I445" i="1"/>
  <c r="I58" i="1"/>
  <c r="I347" i="1"/>
  <c r="I44" i="1"/>
  <c r="I1036" i="1"/>
  <c r="I870" i="1"/>
  <c r="I879" i="1"/>
  <c r="I681" i="1"/>
  <c r="I1230" i="1"/>
  <c r="I1405" i="1"/>
  <c r="I1390" i="1"/>
  <c r="I863" i="1"/>
  <c r="I1229" i="1"/>
  <c r="I695" i="1"/>
  <c r="I1582" i="1"/>
  <c r="I155" i="1"/>
  <c r="I536" i="1"/>
  <c r="I692" i="1"/>
  <c r="I858" i="1"/>
  <c r="I1396" i="1"/>
  <c r="I1588" i="1"/>
  <c r="I1048" i="1"/>
  <c r="I337" i="1"/>
  <c r="I247" i="1"/>
  <c r="I56" i="1"/>
  <c r="I149" i="1"/>
  <c r="I868" i="1"/>
  <c r="I1212" i="1"/>
  <c r="I1060" i="1"/>
  <c r="I874" i="1"/>
  <c r="I1604" i="1"/>
  <c r="I687" i="1"/>
  <c r="I683" i="1"/>
  <c r="I697" i="1"/>
  <c r="I682" i="1"/>
  <c r="I857" i="1"/>
  <c r="I1576" i="1"/>
  <c r="I1235" i="1"/>
  <c r="I1577" i="1"/>
  <c r="I338" i="1"/>
  <c r="I866" i="1"/>
  <c r="I584" i="1"/>
  <c r="I876" i="1"/>
  <c r="I852" i="1"/>
  <c r="I671" i="1"/>
  <c r="I878" i="1"/>
  <c r="I1592" i="1"/>
  <c r="I146" i="1"/>
  <c r="I253" i="1"/>
  <c r="I345" i="1"/>
  <c r="I693" i="1"/>
  <c r="I1598" i="1"/>
  <c r="I861" i="1"/>
  <c r="I1050" i="1"/>
  <c r="I872" i="1"/>
  <c r="I1216" i="1"/>
  <c r="I1418" i="1"/>
  <c r="I860" i="1"/>
  <c r="I1037" i="1"/>
  <c r="I1573" i="1"/>
  <c r="I251" i="1"/>
  <c r="I57" i="1"/>
  <c r="I48" i="1"/>
  <c r="I52" i="1"/>
  <c r="I1032" i="1"/>
  <c r="I1044" i="1"/>
  <c r="I694" i="1"/>
  <c r="I1239" i="1"/>
  <c r="I336" i="1"/>
  <c r="I864" i="1"/>
  <c r="I387" i="1"/>
  <c r="I59" i="1"/>
  <c r="I439" i="1"/>
  <c r="I678" i="1"/>
  <c r="I1061" i="1"/>
  <c r="I1223" i="1"/>
  <c r="I539" i="1"/>
  <c r="I1600" i="1"/>
  <c r="I54" i="1"/>
  <c r="I340" i="1"/>
  <c r="I440" i="1"/>
  <c r="I53" i="1"/>
  <c r="I145" i="1"/>
  <c r="I528" i="1"/>
  <c r="I1034" i="1"/>
  <c r="I1049" i="1"/>
  <c r="I869" i="1"/>
  <c r="I1603" i="1"/>
  <c r="I1584" i="1"/>
  <c r="I1394" i="1"/>
  <c r="I685" i="1"/>
  <c r="I1404" i="1"/>
  <c r="I1593" i="1"/>
  <c r="I1403" i="1"/>
  <c r="I529" i="1"/>
  <c r="I144" i="1"/>
  <c r="I252" i="1"/>
  <c r="I875" i="1"/>
  <c r="I1238" i="1"/>
  <c r="I1226" i="1"/>
  <c r="I1421" i="1"/>
  <c r="I1415" i="1"/>
  <c r="I1237" i="1"/>
  <c r="I853" i="1"/>
  <c r="I191" i="1"/>
  <c r="I431" i="1"/>
  <c r="I344" i="1"/>
  <c r="I152" i="1"/>
  <c r="I1059" i="1"/>
  <c r="I1031" i="1"/>
  <c r="I1213" i="1"/>
  <c r="I239" i="1"/>
  <c r="I148" i="1"/>
  <c r="I342" i="1"/>
  <c r="I1040" i="1"/>
  <c r="I1406" i="1"/>
  <c r="I1043" i="1"/>
  <c r="I1416" i="1"/>
  <c r="I1227" i="1"/>
  <c r="I479" i="1"/>
  <c r="I240" i="1"/>
  <c r="I1392" i="1"/>
  <c r="I583" i="1"/>
  <c r="I677" i="1"/>
  <c r="I691" i="1"/>
  <c r="I1398" i="1"/>
  <c r="I690" i="1"/>
  <c r="I1236" i="1"/>
  <c r="I1589" i="1"/>
  <c r="I1395" i="1"/>
  <c r="I151" i="1"/>
  <c r="I335" i="1"/>
  <c r="I530" i="1"/>
  <c r="I1220" i="1"/>
  <c r="I1583" i="1"/>
  <c r="I1587" i="1"/>
  <c r="I196" i="1"/>
  <c r="I436" i="1"/>
  <c r="I532" i="1"/>
  <c r="I341" i="1"/>
  <c r="I1039" i="1"/>
  <c r="I1572" i="1"/>
  <c r="I433" i="1"/>
  <c r="I1579" i="1"/>
  <c r="I1409" i="1"/>
  <c r="I1578" i="1"/>
  <c r="I1590" i="1"/>
  <c r="I871" i="1"/>
  <c r="I1225" i="1"/>
  <c r="I242" i="1"/>
  <c r="I443" i="1"/>
  <c r="I343" i="1"/>
  <c r="I250" i="1"/>
  <c r="I880" i="1"/>
  <c r="I865" i="1"/>
  <c r="I854" i="1"/>
  <c r="I435" i="1"/>
  <c r="I679" i="1"/>
  <c r="I1030" i="1"/>
  <c r="I856" i="1"/>
  <c r="I51" i="1"/>
  <c r="I534" i="1"/>
  <c r="I862" i="1"/>
  <c r="I1055" i="1"/>
  <c r="I1045" i="1"/>
  <c r="I577" i="1"/>
  <c r="I527" i="1"/>
  <c r="I1591" i="1"/>
  <c r="I531" i="1"/>
  <c r="I438" i="1"/>
  <c r="I432" i="1"/>
  <c r="I535" i="1"/>
  <c r="I154" i="1"/>
  <c r="I1053" i="1"/>
  <c r="I689" i="1"/>
  <c r="I674" i="1"/>
  <c r="I673" i="1"/>
  <c r="I1214" i="1"/>
  <c r="I1585" i="1"/>
  <c r="I1596" i="1"/>
  <c r="I672" i="1"/>
  <c r="I762" i="1"/>
  <c r="I1413" i="1"/>
  <c r="I538" i="1"/>
  <c r="I444" i="1"/>
  <c r="I246" i="1"/>
  <c r="I1410" i="1"/>
  <c r="I855" i="1"/>
  <c r="I1219" i="1"/>
  <c r="I1217" i="1"/>
  <c r="I244" i="1"/>
  <c r="I1401" i="1"/>
  <c r="I141" i="1"/>
  <c r="I49" i="1"/>
  <c r="I349" i="1"/>
  <c r="I339" i="1"/>
  <c r="I430" i="1"/>
  <c r="I437" i="1"/>
  <c r="I1035" i="1"/>
  <c r="I1414" i="1"/>
  <c r="I1231" i="1"/>
  <c r="I1042" i="1"/>
  <c r="I1058" i="1"/>
  <c r="I1224" i="1"/>
  <c r="I1211" i="1"/>
  <c r="I1575" i="1"/>
  <c r="I1601" i="1"/>
  <c r="I1108" i="1"/>
  <c r="I742" i="1"/>
  <c r="I84" i="1"/>
  <c r="I569" i="1"/>
  <c r="I738" i="1"/>
  <c r="I190" i="1"/>
  <c r="I172" i="1"/>
  <c r="I90" i="1"/>
  <c r="I746" i="1"/>
  <c r="I928" i="1"/>
  <c r="I1096" i="1"/>
  <c r="I1277" i="1"/>
  <c r="I926" i="1"/>
  <c r="I939" i="1"/>
  <c r="I1660" i="1"/>
  <c r="I1467" i="1"/>
  <c r="I915" i="1"/>
  <c r="I563" i="1"/>
  <c r="I183" i="1"/>
  <c r="I1276" i="1"/>
  <c r="I754" i="1"/>
  <c r="I1290" i="1"/>
  <c r="I1655" i="1"/>
  <c r="I1637" i="1"/>
  <c r="I286" i="1"/>
  <c r="I1299" i="1"/>
  <c r="I1289" i="1"/>
  <c r="I745" i="1"/>
  <c r="I1476" i="1"/>
  <c r="I1475" i="1"/>
  <c r="I366" i="1"/>
  <c r="I182" i="1"/>
  <c r="I753" i="1"/>
  <c r="I1296" i="1"/>
  <c r="I1102" i="1"/>
  <c r="I1457" i="1"/>
  <c r="I83" i="1"/>
  <c r="I562" i="1"/>
  <c r="I561" i="1"/>
  <c r="I365" i="1"/>
  <c r="I1300" i="1"/>
  <c r="I270" i="1"/>
  <c r="I76" i="1"/>
  <c r="I79" i="1"/>
  <c r="I85" i="1"/>
  <c r="I944" i="1"/>
  <c r="I1097" i="1"/>
  <c r="I916" i="1"/>
  <c r="I1105" i="1"/>
  <c r="I1291" i="1"/>
  <c r="I732" i="1"/>
  <c r="I932" i="1"/>
  <c r="I1474" i="1"/>
  <c r="I1286" i="1"/>
  <c r="I289" i="1"/>
  <c r="I741" i="1"/>
  <c r="I1099" i="1"/>
  <c r="I739" i="1"/>
  <c r="I913" i="1"/>
  <c r="I1480" i="1"/>
  <c r="I918" i="1"/>
  <c r="I730" i="1"/>
  <c r="I737" i="1"/>
  <c r="I736" i="1"/>
  <c r="I1306" i="1"/>
  <c r="I1292" i="1"/>
  <c r="I1279" i="1"/>
  <c r="I1101" i="1"/>
  <c r="I940" i="1"/>
  <c r="I86" i="1"/>
  <c r="I1645" i="1"/>
  <c r="I560" i="1"/>
  <c r="I1091" i="1"/>
  <c r="I374" i="1"/>
  <c r="I564" i="1"/>
  <c r="I1458" i="1"/>
  <c r="I1639" i="1"/>
  <c r="I1483" i="1"/>
  <c r="I1456" i="1"/>
  <c r="I1466" i="1"/>
  <c r="I565" i="1"/>
  <c r="I372" i="1"/>
  <c r="I1484" i="1"/>
  <c r="I1288" i="1"/>
  <c r="I1104" i="1"/>
  <c r="I1648" i="1"/>
  <c r="I1109" i="1"/>
  <c r="I87" i="1"/>
  <c r="I763" i="1"/>
  <c r="I760" i="1"/>
  <c r="I936" i="1"/>
  <c r="I180" i="1"/>
  <c r="I1284" i="1"/>
  <c r="I1124" i="1"/>
  <c r="I1478" i="1"/>
  <c r="I927" i="1"/>
  <c r="I1640" i="1"/>
  <c r="I1661" i="1"/>
  <c r="I1273" i="1"/>
  <c r="I943" i="1"/>
  <c r="I1659" i="1"/>
  <c r="I186" i="1"/>
  <c r="I920" i="1"/>
  <c r="I731" i="1"/>
  <c r="I1459" i="1"/>
  <c r="I377" i="1"/>
  <c r="I467" i="1"/>
  <c r="I75" i="1"/>
  <c r="I1298" i="1"/>
  <c r="I755" i="1"/>
  <c r="I1636" i="1"/>
  <c r="I576" i="1"/>
  <c r="I181" i="1"/>
  <c r="I376" i="1"/>
  <c r="I275" i="1"/>
  <c r="I1094" i="1"/>
  <c r="I1472" i="1"/>
  <c r="I1658" i="1"/>
  <c r="I1114" i="1"/>
  <c r="I1119" i="1"/>
  <c r="I473" i="1"/>
  <c r="I1643" i="1"/>
  <c r="I1460" i="1"/>
  <c r="I1471" i="1"/>
  <c r="I382" i="1"/>
  <c r="I381" i="1"/>
  <c r="I368" i="1"/>
  <c r="I373" i="1"/>
  <c r="I281" i="1"/>
  <c r="I559" i="1"/>
  <c r="I558" i="1"/>
  <c r="I1665" i="1"/>
  <c r="I1294" i="1"/>
  <c r="I941" i="1"/>
  <c r="I81" i="1"/>
  <c r="I1282" i="1"/>
  <c r="I195" i="1"/>
  <c r="I914" i="1"/>
  <c r="I1486" i="1"/>
  <c r="I1285" i="1"/>
  <c r="I919" i="1"/>
  <c r="I1283" i="1"/>
  <c r="I1469" i="1"/>
  <c r="I1302" i="1"/>
  <c r="I1093" i="1"/>
  <c r="I922" i="1"/>
  <c r="I1650" i="1"/>
  <c r="I1116" i="1"/>
  <c r="I476" i="1"/>
  <c r="I367" i="1"/>
  <c r="I921" i="1"/>
  <c r="I743" i="1"/>
  <c r="I749" i="1"/>
  <c r="I1305" i="1"/>
  <c r="I582" i="1"/>
  <c r="I91" i="1"/>
  <c r="I378" i="1"/>
  <c r="I465" i="1"/>
  <c r="I284" i="1"/>
  <c r="I1304" i="1"/>
  <c r="I370" i="1"/>
  <c r="I572" i="1"/>
  <c r="I461" i="1"/>
  <c r="I1281" i="1"/>
  <c r="I751" i="1"/>
  <c r="I735" i="1"/>
  <c r="I750" i="1"/>
  <c r="I733" i="1"/>
  <c r="I758" i="1"/>
  <c r="I1485" i="1"/>
  <c r="I925" i="1"/>
  <c r="I462" i="1"/>
  <c r="I274" i="1"/>
  <c r="I89" i="1"/>
  <c r="I1122" i="1"/>
  <c r="I474" i="1"/>
  <c r="I380" i="1"/>
  <c r="I566" i="1"/>
  <c r="I934" i="1"/>
  <c r="I1455" i="1"/>
  <c r="I933" i="1"/>
  <c r="I176" i="1"/>
  <c r="I557" i="1"/>
  <c r="I278" i="1"/>
  <c r="I1647" i="1"/>
  <c r="I1646" i="1"/>
  <c r="I1275" i="1"/>
  <c r="I1098" i="1"/>
  <c r="I1642" i="1"/>
  <c r="I1641" i="1"/>
  <c r="I179" i="1"/>
  <c r="I272" i="1"/>
  <c r="I187" i="1"/>
  <c r="I280" i="1"/>
  <c r="I1649" i="1"/>
  <c r="I1667" i="1"/>
  <c r="I468" i="1"/>
  <c r="I82" i="1"/>
  <c r="I1663" i="1"/>
  <c r="I1463" i="1"/>
  <c r="I1106" i="1"/>
  <c r="I470" i="1"/>
  <c r="I931" i="1"/>
  <c r="I930" i="1"/>
  <c r="I95" i="1"/>
  <c r="I917" i="1"/>
  <c r="I1295" i="1"/>
  <c r="I1470" i="1"/>
  <c r="I1662" i="1"/>
  <c r="I1278" i="1"/>
  <c r="I1664" i="1"/>
  <c r="I379" i="1"/>
  <c r="I276" i="1"/>
  <c r="I178" i="1"/>
  <c r="I1107" i="1"/>
  <c r="I756" i="1"/>
  <c r="I1465" i="1"/>
  <c r="I937" i="1"/>
  <c r="I177" i="1"/>
  <c r="I80" i="1"/>
  <c r="I279" i="1"/>
  <c r="I477" i="1"/>
  <c r="I1653" i="1"/>
  <c r="I1454" i="1"/>
  <c r="I1657" i="1"/>
  <c r="I1100" i="1"/>
  <c r="I384" i="1"/>
  <c r="I945" i="1"/>
  <c r="I1092" i="1"/>
  <c r="I1656" i="1"/>
  <c r="I1479" i="1"/>
  <c r="I369" i="1"/>
  <c r="I88" i="1"/>
  <c r="I174" i="1"/>
  <c r="I78" i="1"/>
  <c r="I77" i="1"/>
  <c r="I571" i="1"/>
  <c r="I469" i="1"/>
  <c r="I1468" i="1"/>
  <c r="I1123" i="1"/>
  <c r="I1482" i="1"/>
  <c r="I1303" i="1"/>
  <c r="I1652" i="1"/>
  <c r="I567" i="1"/>
  <c r="I277" i="1"/>
  <c r="I744" i="1"/>
  <c r="I761" i="1"/>
  <c r="I1103" i="1"/>
  <c r="I1635" i="1"/>
  <c r="I1654" i="1"/>
  <c r="I1473" i="1"/>
  <c r="I748" i="1"/>
  <c r="I1274" i="1"/>
  <c r="I1115" i="1"/>
  <c r="I740" i="1"/>
  <c r="I1644" i="1"/>
  <c r="I188" i="1"/>
  <c r="I912" i="1"/>
  <c r="I752" i="1"/>
  <c r="I759" i="1"/>
  <c r="I923" i="1"/>
  <c r="I1293" i="1"/>
  <c r="I1280" i="1"/>
  <c r="I1638" i="1"/>
  <c r="I938" i="1"/>
  <c r="I1110" i="1"/>
  <c r="I1651" i="1"/>
  <c r="I1297" i="1"/>
  <c r="I93" i="1"/>
  <c r="I173" i="1"/>
  <c r="I1120" i="1"/>
  <c r="I1287" i="1"/>
  <c r="I942" i="1"/>
  <c r="I924" i="1"/>
  <c r="I935" i="1"/>
  <c r="I466" i="1"/>
  <c r="I185" i="1"/>
  <c r="I184" i="1"/>
  <c r="I273" i="1"/>
  <c r="I1113" i="1"/>
  <c r="I175" i="1"/>
  <c r="I464" i="1"/>
  <c r="I375" i="1"/>
  <c r="I1112" i="1"/>
  <c r="I1111" i="1"/>
  <c r="I1477" i="1"/>
  <c r="I1095" i="1"/>
  <c r="I734" i="1"/>
  <c r="I1481" i="1"/>
  <c r="I484" i="1"/>
  <c r="I471" i="1"/>
  <c r="I573" i="1"/>
  <c r="I747" i="1"/>
  <c r="I1117" i="1"/>
  <c r="I1666" i="1"/>
  <c r="I1464" i="1"/>
  <c r="I285" i="1"/>
  <c r="I371" i="1"/>
  <c r="I475" i="1"/>
  <c r="I283" i="1"/>
  <c r="I757" i="1"/>
  <c r="I1121" i="1"/>
  <c r="I1301" i="1"/>
  <c r="I1462" i="1"/>
  <c r="I1118" i="1"/>
  <c r="I929" i="1"/>
  <c r="I1461" i="1"/>
  <c r="I1668" i="1"/>
  <c r="I1453" i="1"/>
  <c r="I472" i="1"/>
  <c r="I282" i="1"/>
  <c r="I568" i="1"/>
  <c r="I271" i="1"/>
  <c r="I463" i="1"/>
  <c r="I570" i="1"/>
  <c r="I1187" i="1"/>
  <c r="I1350" i="1"/>
  <c r="I1156" i="1"/>
  <c r="I1490" i="1"/>
  <c r="I1625" i="1"/>
  <c r="I1613" i="1"/>
  <c r="I1568" i="1"/>
  <c r="I1556" i="1"/>
  <c r="I1544" i="1"/>
  <c r="I1532" i="1"/>
  <c r="I1520" i="1"/>
  <c r="I1508" i="1"/>
  <c r="I1496" i="1"/>
  <c r="I1450" i="1"/>
  <c r="I1438" i="1"/>
  <c r="I1426" i="1"/>
  <c r="I1381" i="1"/>
  <c r="I1519" i="1"/>
  <c r="I1380" i="1"/>
  <c r="I1633" i="1"/>
  <c r="I1621" i="1"/>
  <c r="I1609" i="1"/>
  <c r="I1564" i="1"/>
  <c r="I1552" i="1"/>
  <c r="I1540" i="1"/>
  <c r="I1528" i="1"/>
  <c r="I1516" i="1"/>
  <c r="I1504" i="1"/>
  <c r="I1492" i="1"/>
  <c r="I1446" i="1"/>
  <c r="I1434" i="1"/>
  <c r="I1389" i="1"/>
  <c r="I1377" i="1"/>
  <c r="I1365" i="1"/>
  <c r="I1353" i="1"/>
  <c r="I1341" i="1"/>
  <c r="I1329" i="1"/>
  <c r="I1317" i="1"/>
  <c r="I1271" i="1"/>
  <c r="I1259" i="1"/>
  <c r="I1247" i="1"/>
  <c r="I1202" i="1"/>
  <c r="I1190" i="1"/>
  <c r="I1178" i="1"/>
  <c r="I1166" i="1"/>
  <c r="I1154" i="1"/>
  <c r="I1142" i="1"/>
  <c r="I1130" i="1"/>
  <c r="I1084" i="1"/>
  <c r="I1072" i="1"/>
  <c r="I1027" i="1"/>
  <c r="I1015" i="1"/>
  <c r="I1003" i="1"/>
  <c r="I1562" i="1"/>
  <c r="I1548" i="1"/>
  <c r="I1442" i="1"/>
  <c r="I1616" i="1"/>
  <c r="I1559" i="1"/>
  <c r="I1534" i="1"/>
  <c r="I1428" i="1"/>
  <c r="I1090" i="1"/>
  <c r="I1571" i="1"/>
  <c r="I1628" i="1"/>
  <c r="I1505" i="1"/>
  <c r="I1366" i="1"/>
  <c r="I1330" i="1"/>
  <c r="I1272" i="1"/>
  <c r="I1248" i="1"/>
  <c r="I1632" i="1"/>
  <c r="I1620" i="1"/>
  <c r="I1608" i="1"/>
  <c r="I1563" i="1"/>
  <c r="I1551" i="1"/>
  <c r="I1539" i="1"/>
  <c r="I1527" i="1"/>
  <c r="I1515" i="1"/>
  <c r="I1503" i="1"/>
  <c r="I1491" i="1"/>
  <c r="I1445" i="1"/>
  <c r="I1433" i="1"/>
  <c r="I1388" i="1"/>
  <c r="I1376" i="1"/>
  <c r="I1364" i="1"/>
  <c r="I1352" i="1"/>
  <c r="I1340" i="1"/>
  <c r="I1328" i="1"/>
  <c r="I1316" i="1"/>
  <c r="I1270" i="1"/>
  <c r="I1258" i="1"/>
  <c r="I1246" i="1"/>
  <c r="I1201" i="1"/>
  <c r="I1189" i="1"/>
  <c r="I1177" i="1"/>
  <c r="I1165" i="1"/>
  <c r="I1153" i="1"/>
  <c r="I1141" i="1"/>
  <c r="I1129" i="1"/>
  <c r="I1083" i="1"/>
  <c r="I1071" i="1"/>
  <c r="I1026" i="1"/>
  <c r="I1014" i="1"/>
  <c r="I1002" i="1"/>
  <c r="I990" i="1"/>
  <c r="I978" i="1"/>
  <c r="I966" i="1"/>
  <c r="I954" i="1"/>
  <c r="I908" i="1"/>
  <c r="I896" i="1"/>
  <c r="I884" i="1"/>
  <c r="I840" i="1"/>
  <c r="I1631" i="1"/>
  <c r="I1619" i="1"/>
  <c r="I1607" i="1"/>
  <c r="I1550" i="1"/>
  <c r="I1538" i="1"/>
  <c r="I1526" i="1"/>
  <c r="I1514" i="1"/>
  <c r="I1502" i="1"/>
  <c r="I1444" i="1"/>
  <c r="I1432" i="1"/>
  <c r="I1387" i="1"/>
  <c r="I1375" i="1"/>
  <c r="I1363" i="1"/>
  <c r="I1351" i="1"/>
  <c r="I1339" i="1"/>
  <c r="I1327" i="1"/>
  <c r="I1315" i="1"/>
  <c r="I1269" i="1"/>
  <c r="I1257" i="1"/>
  <c r="I1245" i="1"/>
  <c r="I1200" i="1"/>
  <c r="I1188" i="1"/>
  <c r="I1176" i="1"/>
  <c r="I1164" i="1"/>
  <c r="I1152" i="1"/>
  <c r="I1140" i="1"/>
  <c r="I1128" i="1"/>
  <c r="I1082" i="1"/>
  <c r="I1070" i="1"/>
  <c r="I1025" i="1"/>
  <c r="I1013" i="1"/>
  <c r="I1001" i="1"/>
  <c r="I989" i="1"/>
  <c r="I977" i="1"/>
  <c r="I965" i="1"/>
  <c r="I953" i="1"/>
  <c r="I907" i="1"/>
  <c r="I1630" i="1"/>
  <c r="I1618" i="1"/>
  <c r="I1606" i="1"/>
  <c r="I1561" i="1"/>
  <c r="I1549" i="1"/>
  <c r="I1537" i="1"/>
  <c r="I1525" i="1"/>
  <c r="I1513" i="1"/>
  <c r="I1501" i="1"/>
  <c r="I1489" i="1"/>
  <c r="I1443" i="1"/>
  <c r="I1431" i="1"/>
  <c r="I1386" i="1"/>
  <c r="I1374" i="1"/>
  <c r="I1362" i="1"/>
  <c r="I1338" i="1"/>
  <c r="I1326" i="1"/>
  <c r="I1314" i="1"/>
  <c r="I1268" i="1"/>
  <c r="I1256" i="1"/>
  <c r="I1244" i="1"/>
  <c r="I1199" i="1"/>
  <c r="I1175" i="1"/>
  <c r="I1163" i="1"/>
  <c r="I1151" i="1"/>
  <c r="I1139" i="1"/>
  <c r="I1127" i="1"/>
  <c r="I1081" i="1"/>
  <c r="I1069" i="1"/>
  <c r="I1024" i="1"/>
  <c r="I1629" i="1"/>
  <c r="I1617" i="1"/>
  <c r="I1605" i="1"/>
  <c r="I1560" i="1"/>
  <c r="I1536" i="1"/>
  <c r="I1524" i="1"/>
  <c r="I1512" i="1"/>
  <c r="I1500" i="1"/>
  <c r="I1488" i="1"/>
  <c r="I1430" i="1"/>
  <c r="I1385" i="1"/>
  <c r="I1373" i="1"/>
  <c r="I1361" i="1"/>
  <c r="I1349" i="1"/>
  <c r="I1337" i="1"/>
  <c r="I1325" i="1"/>
  <c r="I1313" i="1"/>
  <c r="I1267" i="1"/>
  <c r="I1255" i="1"/>
  <c r="I1243" i="1"/>
  <c r="I1198" i="1"/>
  <c r="I1547" i="1"/>
  <c r="I1535" i="1"/>
  <c r="I1523" i="1"/>
  <c r="I1511" i="1"/>
  <c r="I1499" i="1"/>
  <c r="I1487" i="1"/>
  <c r="I1441" i="1"/>
  <c r="I1429" i="1"/>
  <c r="I1384" i="1"/>
  <c r="I1372" i="1"/>
  <c r="I1360" i="1"/>
  <c r="I1348" i="1"/>
  <c r="I1336" i="1"/>
  <c r="I1324" i="1"/>
  <c r="I1312" i="1"/>
  <c r="I1266" i="1"/>
  <c r="I1254" i="1"/>
  <c r="I1209" i="1"/>
  <c r="I1197" i="1"/>
  <c r="I1185" i="1"/>
  <c r="I1173" i="1"/>
  <c r="I1161" i="1"/>
  <c r="I1149" i="1"/>
  <c r="I1137" i="1"/>
  <c r="I1125" i="1"/>
  <c r="I1079" i="1"/>
  <c r="I1067" i="1"/>
  <c r="I1022" i="1"/>
  <c r="I1010" i="1"/>
  <c r="I998" i="1"/>
  <c r="I986" i="1"/>
  <c r="I974" i="1"/>
  <c r="I962" i="1"/>
  <c r="I950" i="1"/>
  <c r="I904" i="1"/>
  <c r="I892" i="1"/>
  <c r="I848" i="1"/>
  <c r="I836" i="1"/>
  <c r="I824" i="1"/>
  <c r="I812" i="1"/>
  <c r="I800" i="1"/>
  <c r="I788" i="1"/>
  <c r="I776" i="1"/>
  <c r="I764" i="1"/>
  <c r="I718" i="1"/>
  <c r="I706" i="1"/>
  <c r="I662" i="1"/>
  <c r="I650" i="1"/>
  <c r="I638" i="1"/>
  <c r="I626" i="1"/>
  <c r="I614" i="1"/>
  <c r="I602" i="1"/>
  <c r="I590" i="1"/>
  <c r="I555" i="1"/>
  <c r="I543" i="1"/>
  <c r="I516" i="1"/>
  <c r="I504" i="1"/>
  <c r="I492" i="1"/>
  <c r="I460" i="1"/>
  <c r="I448" i="1"/>
  <c r="I420" i="1"/>
  <c r="I408" i="1"/>
  <c r="I396" i="1"/>
  <c r="I364" i="1"/>
  <c r="I352" i="1"/>
  <c r="I324" i="1"/>
  <c r="I312" i="1"/>
  <c r="I300" i="1"/>
  <c r="I269" i="1"/>
  <c r="I257" i="1"/>
  <c r="I229" i="1"/>
  <c r="I217" i="1"/>
  <c r="I205" i="1"/>
  <c r="I189" i="1"/>
  <c r="I160" i="1"/>
  <c r="I132" i="1"/>
  <c r="I120" i="1"/>
  <c r="I108" i="1"/>
  <c r="I96" i="1"/>
  <c r="I64" i="1"/>
  <c r="I36" i="1"/>
  <c r="I24" i="1"/>
  <c r="I12" i="1"/>
  <c r="I1627" i="1"/>
  <c r="I1615" i="1"/>
  <c r="I1570" i="1"/>
  <c r="I1558" i="1"/>
  <c r="I1546" i="1"/>
  <c r="I1522" i="1"/>
  <c r="I1510" i="1"/>
  <c r="I1498" i="1"/>
  <c r="I1452" i="1"/>
  <c r="I1440" i="1"/>
  <c r="I1383" i="1"/>
  <c r="I1371" i="1"/>
  <c r="I1359" i="1"/>
  <c r="I1347" i="1"/>
  <c r="I1335" i="1"/>
  <c r="I1323" i="1"/>
  <c r="I1311" i="1"/>
  <c r="I1265" i="1"/>
  <c r="I1253" i="1"/>
  <c r="I1208" i="1"/>
  <c r="I1196" i="1"/>
  <c r="I1184" i="1"/>
  <c r="I1172" i="1"/>
  <c r="I1160" i="1"/>
  <c r="I1148" i="1"/>
  <c r="I1136" i="1"/>
  <c r="I1078" i="1"/>
  <c r="I1066" i="1"/>
  <c r="I1021" i="1"/>
  <c r="I1009" i="1"/>
  <c r="I997" i="1"/>
  <c r="I985" i="1"/>
  <c r="I973" i="1"/>
  <c r="I961" i="1"/>
  <c r="I949" i="1"/>
  <c r="I903" i="1"/>
  <c r="I891" i="1"/>
  <c r="I847" i="1"/>
  <c r="I835" i="1"/>
  <c r="I823" i="1"/>
  <c r="I1626" i="1"/>
  <c r="I1614" i="1"/>
  <c r="I1569" i="1"/>
  <c r="I1557" i="1"/>
  <c r="I1545" i="1"/>
  <c r="I1533" i="1"/>
  <c r="I1521" i="1"/>
  <c r="I1509" i="1"/>
  <c r="I1497" i="1"/>
  <c r="I1451" i="1"/>
  <c r="I1439" i="1"/>
  <c r="I1427" i="1"/>
  <c r="I1382" i="1"/>
  <c r="I1370" i="1"/>
  <c r="I1358" i="1"/>
  <c r="I1346" i="1"/>
  <c r="I1334" i="1"/>
  <c r="I1322" i="1"/>
  <c r="I1310" i="1"/>
  <c r="I1264" i="1"/>
  <c r="I1252" i="1"/>
  <c r="I1207" i="1"/>
  <c r="I1195" i="1"/>
  <c r="I1183" i="1"/>
  <c r="I1171" i="1"/>
  <c r="I1159" i="1"/>
  <c r="I1147" i="1"/>
  <c r="I1135" i="1"/>
  <c r="I1089" i="1"/>
  <c r="I1077" i="1"/>
  <c r="I1065" i="1"/>
  <c r="I1020" i="1"/>
  <c r="I1008" i="1"/>
  <c r="I996" i="1"/>
  <c r="I984" i="1"/>
  <c r="I972" i="1"/>
  <c r="I960" i="1"/>
  <c r="I948" i="1"/>
  <c r="I902" i="1"/>
  <c r="I890" i="1"/>
  <c r="I846" i="1"/>
  <c r="I834" i="1"/>
  <c r="I822" i="1"/>
  <c r="I1369" i="1"/>
  <c r="I1357" i="1"/>
  <c r="I1345" i="1"/>
  <c r="I1333" i="1"/>
  <c r="I1321" i="1"/>
  <c r="I1309" i="1"/>
  <c r="I1263" i="1"/>
  <c r="I1251" i="1"/>
  <c r="I1206" i="1"/>
  <c r="I1194" i="1"/>
  <c r="I1182" i="1"/>
  <c r="I1170" i="1"/>
  <c r="I1158" i="1"/>
  <c r="I1146" i="1"/>
  <c r="I1134" i="1"/>
  <c r="I1088" i="1"/>
  <c r="I1076" i="1"/>
  <c r="I1064" i="1"/>
  <c r="I1019" i="1"/>
  <c r="I1007" i="1"/>
  <c r="I995" i="1"/>
  <c r="I983" i="1"/>
  <c r="I971" i="1"/>
  <c r="I959" i="1"/>
  <c r="I947" i="1"/>
  <c r="I901" i="1"/>
  <c r="I889" i="1"/>
  <c r="I845" i="1"/>
  <c r="I833" i="1"/>
  <c r="I821" i="1"/>
  <c r="I809" i="1"/>
  <c r="I797" i="1"/>
  <c r="I785" i="1"/>
  <c r="I773" i="1"/>
  <c r="I727" i="1"/>
  <c r="I715" i="1"/>
  <c r="I703" i="1"/>
  <c r="I659" i="1"/>
  <c r="I647" i="1"/>
  <c r="I635" i="1"/>
  <c r="I623" i="1"/>
  <c r="I611" i="1"/>
  <c r="I599" i="1"/>
  <c r="I587" i="1"/>
  <c r="I552" i="1"/>
  <c r="I525" i="1"/>
  <c r="I513" i="1"/>
  <c r="I501" i="1"/>
  <c r="I489" i="1"/>
  <c r="I457" i="1"/>
  <c r="I429" i="1"/>
  <c r="I417" i="1"/>
  <c r="I405" i="1"/>
  <c r="I393" i="1"/>
  <c r="I361" i="1"/>
  <c r="I333" i="1"/>
  <c r="I321" i="1"/>
  <c r="I309" i="1"/>
  <c r="I297" i="1"/>
  <c r="I266" i="1"/>
  <c r="I238" i="1"/>
  <c r="I226" i="1"/>
  <c r="I214" i="1"/>
  <c r="I202" i="1"/>
  <c r="I1624" i="1"/>
  <c r="I1612" i="1"/>
  <c r="I1567" i="1"/>
  <c r="I1555" i="1"/>
  <c r="I1543" i="1"/>
  <c r="I1531" i="1"/>
  <c r="I1507" i="1"/>
  <c r="I1495" i="1"/>
  <c r="I1449" i="1"/>
  <c r="I1437" i="1"/>
  <c r="I1425" i="1"/>
  <c r="I1368" i="1"/>
  <c r="I1356" i="1"/>
  <c r="I1344" i="1"/>
  <c r="I1332" i="1"/>
  <c r="I1320" i="1"/>
  <c r="I1308" i="1"/>
  <c r="I1262" i="1"/>
  <c r="I1250" i="1"/>
  <c r="I1205" i="1"/>
  <c r="I1193" i="1"/>
  <c r="I1181" i="1"/>
  <c r="I1169" i="1"/>
  <c r="I1157" i="1"/>
  <c r="I1145" i="1"/>
  <c r="I1133" i="1"/>
  <c r="I1087" i="1"/>
  <c r="I1623" i="1"/>
  <c r="I1611" i="1"/>
  <c r="I1566" i="1"/>
  <c r="I1554" i="1"/>
  <c r="I1542" i="1"/>
  <c r="I1530" i="1"/>
  <c r="I1518" i="1"/>
  <c r="I1506" i="1"/>
  <c r="I1494" i="1"/>
  <c r="I1448" i="1"/>
  <c r="I1436" i="1"/>
  <c r="I1424" i="1"/>
  <c r="I1379" i="1"/>
  <c r="I1367" i="1"/>
  <c r="I1355" i="1"/>
  <c r="I1343" i="1"/>
  <c r="I1331" i="1"/>
  <c r="I1319" i="1"/>
  <c r="I1307" i="1"/>
  <c r="I1261" i="1"/>
  <c r="I1249" i="1"/>
  <c r="I1204" i="1"/>
  <c r="I1192" i="1"/>
  <c r="I1180" i="1"/>
  <c r="I1168" i="1"/>
  <c r="I1144" i="1"/>
  <c r="I1634" i="1"/>
  <c r="I1622" i="1"/>
  <c r="I1610" i="1"/>
  <c r="I1565" i="1"/>
  <c r="I1553" i="1"/>
  <c r="I1541" i="1"/>
  <c r="I1529" i="1"/>
  <c r="I1517" i="1"/>
  <c r="I1493" i="1"/>
  <c r="I1447" i="1"/>
  <c r="I1435" i="1"/>
  <c r="I1423" i="1"/>
  <c r="I1378" i="1"/>
  <c r="I1354" i="1"/>
  <c r="I1342" i="1"/>
  <c r="I1318" i="1"/>
  <c r="I1260" i="1"/>
  <c r="I1203" i="1"/>
  <c r="I1191" i="1"/>
  <c r="I1179" i="1"/>
  <c r="I1167" i="1"/>
  <c r="I1155" i="1"/>
  <c r="I1143" i="1"/>
  <c r="I1131" i="1"/>
  <c r="I1085" i="1"/>
  <c r="I1073" i="1"/>
  <c r="I1028" i="1"/>
  <c r="I1016" i="1"/>
  <c r="I1004" i="1"/>
  <c r="I992" i="1"/>
  <c r="I980" i="1"/>
  <c r="I968" i="1"/>
  <c r="I956" i="1"/>
  <c r="I910" i="1"/>
  <c r="I811" i="1"/>
  <c r="I799" i="1"/>
  <c r="I787" i="1"/>
  <c r="I775" i="1"/>
  <c r="I729" i="1"/>
  <c r="I717" i="1"/>
  <c r="I705" i="1"/>
  <c r="I661" i="1"/>
  <c r="I649" i="1"/>
  <c r="I637" i="1"/>
  <c r="I625" i="1"/>
  <c r="I613" i="1"/>
  <c r="I601" i="1"/>
  <c r="I589" i="1"/>
  <c r="I554" i="1"/>
  <c r="I542" i="1"/>
  <c r="I515" i="1"/>
  <c r="I503" i="1"/>
  <c r="I491" i="1"/>
  <c r="I459" i="1"/>
  <c r="I447" i="1"/>
  <c r="I419" i="1"/>
  <c r="I407" i="1"/>
  <c r="I395" i="1"/>
  <c r="I363" i="1"/>
  <c r="I351" i="1"/>
  <c r="I323" i="1"/>
  <c r="I311" i="1"/>
  <c r="I299" i="1"/>
  <c r="I268" i="1"/>
  <c r="I256" i="1"/>
  <c r="I228" i="1"/>
  <c r="I216" i="1"/>
  <c r="I204" i="1"/>
  <c r="I171" i="1"/>
  <c r="I159" i="1"/>
  <c r="I131" i="1"/>
  <c r="I119" i="1"/>
  <c r="I107" i="1"/>
  <c r="I92" i="1"/>
  <c r="I63" i="1"/>
  <c r="I35" i="1"/>
  <c r="I23" i="1"/>
  <c r="I11" i="1"/>
  <c r="I810" i="1"/>
  <c r="I798" i="1"/>
  <c r="I786" i="1"/>
  <c r="I774" i="1"/>
  <c r="I728" i="1"/>
  <c r="I716" i="1"/>
  <c r="I704" i="1"/>
  <c r="I660" i="1"/>
  <c r="I648" i="1"/>
  <c r="I636" i="1"/>
  <c r="I624" i="1"/>
  <c r="I612" i="1"/>
  <c r="I600" i="1"/>
  <c r="I588" i="1"/>
  <c r="I553" i="1"/>
  <c r="I526" i="1"/>
  <c r="I514" i="1"/>
  <c r="I502" i="1"/>
  <c r="I490" i="1"/>
  <c r="I458" i="1"/>
  <c r="I446" i="1"/>
  <c r="I418" i="1"/>
  <c r="I406" i="1"/>
  <c r="I394" i="1"/>
  <c r="I362" i="1"/>
  <c r="I350" i="1"/>
  <c r="I322" i="1"/>
  <c r="I310" i="1"/>
  <c r="I298" i="1"/>
  <c r="I267" i="1"/>
  <c r="I255" i="1"/>
  <c r="I227" i="1"/>
  <c r="I215" i="1"/>
  <c r="I203" i="1"/>
  <c r="I170" i="1"/>
  <c r="I158" i="1"/>
  <c r="I130" i="1"/>
  <c r="I118" i="1"/>
  <c r="I106" i="1"/>
  <c r="I74" i="1"/>
  <c r="I62" i="1"/>
  <c r="I34" i="1"/>
  <c r="I22" i="1"/>
  <c r="I10" i="1"/>
  <c r="I169" i="1"/>
  <c r="I157" i="1"/>
  <c r="I129" i="1"/>
  <c r="I117" i="1"/>
  <c r="I105" i="1"/>
  <c r="I73" i="1"/>
  <c r="I61" i="1"/>
  <c r="I33" i="1"/>
  <c r="I21" i="1"/>
  <c r="I9" i="1"/>
  <c r="I1075" i="1"/>
  <c r="I1063" i="1"/>
  <c r="I1018" i="1"/>
  <c r="I1006" i="1"/>
  <c r="I994" i="1"/>
  <c r="I982" i="1"/>
  <c r="I970" i="1"/>
  <c r="I958" i="1"/>
  <c r="I946" i="1"/>
  <c r="I900" i="1"/>
  <c r="I888" i="1"/>
  <c r="I844" i="1"/>
  <c r="I832" i="1"/>
  <c r="I820" i="1"/>
  <c r="I808" i="1"/>
  <c r="I796" i="1"/>
  <c r="I784" i="1"/>
  <c r="I772" i="1"/>
  <c r="I726" i="1"/>
  <c r="I714" i="1"/>
  <c r="I702" i="1"/>
  <c r="I658" i="1"/>
  <c r="I646" i="1"/>
  <c r="I634" i="1"/>
  <c r="I622" i="1"/>
  <c r="I610" i="1"/>
  <c r="I598" i="1"/>
  <c r="I586" i="1"/>
  <c r="I551" i="1"/>
  <c r="I524" i="1"/>
  <c r="I512" i="1"/>
  <c r="I500" i="1"/>
  <c r="I488" i="1"/>
  <c r="I456" i="1"/>
  <c r="I428" i="1"/>
  <c r="I416" i="1"/>
  <c r="I404" i="1"/>
  <c r="I392" i="1"/>
  <c r="I360" i="1"/>
  <c r="I332" i="1"/>
  <c r="I320" i="1"/>
  <c r="I308" i="1"/>
  <c r="I296" i="1"/>
  <c r="I265" i="1"/>
  <c r="I237" i="1"/>
  <c r="I225" i="1"/>
  <c r="I213" i="1"/>
  <c r="I201" i="1"/>
  <c r="I168" i="1"/>
  <c r="I140" i="1"/>
  <c r="I128" i="1"/>
  <c r="I116" i="1"/>
  <c r="I104" i="1"/>
  <c r="I72" i="1"/>
  <c r="I60" i="1"/>
  <c r="I32" i="1"/>
  <c r="I20" i="1"/>
  <c r="I8" i="1"/>
  <c r="I1132" i="1"/>
  <c r="I1086" i="1"/>
  <c r="I1074" i="1"/>
  <c r="I1062" i="1"/>
  <c r="I1017" i="1"/>
  <c r="I1005" i="1"/>
  <c r="I993" i="1"/>
  <c r="I981" i="1"/>
  <c r="I969" i="1"/>
  <c r="I957" i="1"/>
  <c r="I911" i="1"/>
  <c r="I899" i="1"/>
  <c r="I887" i="1"/>
  <c r="I843" i="1"/>
  <c r="I831" i="1"/>
  <c r="I819" i="1"/>
  <c r="I807" i="1"/>
  <c r="I795" i="1"/>
  <c r="I783" i="1"/>
  <c r="I771" i="1"/>
  <c r="I725" i="1"/>
  <c r="I713" i="1"/>
  <c r="I701" i="1"/>
  <c r="I657" i="1"/>
  <c r="I645" i="1"/>
  <c r="I633" i="1"/>
  <c r="I621" i="1"/>
  <c r="I609" i="1"/>
  <c r="I597" i="1"/>
  <c r="I585" i="1"/>
  <c r="I550" i="1"/>
  <c r="I523" i="1"/>
  <c r="I511" i="1"/>
  <c r="I499" i="1"/>
  <c r="I487" i="1"/>
  <c r="I455" i="1"/>
  <c r="I427" i="1"/>
  <c r="I415" i="1"/>
  <c r="I403" i="1"/>
  <c r="I391" i="1"/>
  <c r="I359" i="1"/>
  <c r="I331" i="1"/>
  <c r="I319" i="1"/>
  <c r="I307" i="1"/>
  <c r="I295" i="1"/>
  <c r="I264" i="1"/>
  <c r="I236" i="1"/>
  <c r="I224" i="1"/>
  <c r="I212" i="1"/>
  <c r="I200" i="1"/>
  <c r="I167" i="1"/>
  <c r="I139" i="1"/>
  <c r="I127" i="1"/>
  <c r="I115" i="1"/>
  <c r="I103" i="1"/>
  <c r="I71" i="1"/>
  <c r="I43" i="1"/>
  <c r="I31" i="1"/>
  <c r="I19" i="1"/>
  <c r="I7" i="1"/>
  <c r="I898" i="1"/>
  <c r="I886" i="1"/>
  <c r="I842" i="1"/>
  <c r="I830" i="1"/>
  <c r="I818" i="1"/>
  <c r="I806" i="1"/>
  <c r="I794" i="1"/>
  <c r="I782" i="1"/>
  <c r="I770" i="1"/>
  <c r="I724" i="1"/>
  <c r="I712" i="1"/>
  <c r="I700" i="1"/>
  <c r="I656" i="1"/>
  <c r="I644" i="1"/>
  <c r="I632" i="1"/>
  <c r="I620" i="1"/>
  <c r="I608" i="1"/>
  <c r="I596" i="1"/>
  <c r="I581" i="1"/>
  <c r="I549" i="1"/>
  <c r="I522" i="1"/>
  <c r="I510" i="1"/>
  <c r="I498" i="1"/>
  <c r="I486" i="1"/>
  <c r="I454" i="1"/>
  <c r="I426" i="1"/>
  <c r="I414" i="1"/>
  <c r="I402" i="1"/>
  <c r="I390" i="1"/>
  <c r="I358" i="1"/>
  <c r="I330" i="1"/>
  <c r="I318" i="1"/>
  <c r="I306" i="1"/>
  <c r="I294" i="1"/>
  <c r="I263" i="1"/>
  <c r="I235" i="1"/>
  <c r="I223" i="1"/>
  <c r="I211" i="1"/>
  <c r="I199" i="1"/>
  <c r="I166" i="1"/>
  <c r="I138" i="1"/>
  <c r="I126" i="1"/>
  <c r="I114" i="1"/>
  <c r="I102" i="1"/>
  <c r="I70" i="1"/>
  <c r="I42" i="1"/>
  <c r="I30" i="1"/>
  <c r="I18" i="1"/>
  <c r="I6" i="1"/>
  <c r="I991" i="1"/>
  <c r="I979" i="1"/>
  <c r="I967" i="1"/>
  <c r="I955" i="1"/>
  <c r="I909" i="1"/>
  <c r="I897" i="1"/>
  <c r="I885" i="1"/>
  <c r="I841" i="1"/>
  <c r="I829" i="1"/>
  <c r="I817" i="1"/>
  <c r="I805" i="1"/>
  <c r="I793" i="1"/>
  <c r="I781" i="1"/>
  <c r="I769" i="1"/>
  <c r="I723" i="1"/>
  <c r="I711" i="1"/>
  <c r="I667" i="1"/>
  <c r="I655" i="1"/>
  <c r="I643" i="1"/>
  <c r="I631" i="1"/>
  <c r="I619" i="1"/>
  <c r="I607" i="1"/>
  <c r="I595" i="1"/>
  <c r="I580" i="1"/>
  <c r="I548" i="1"/>
  <c r="I521" i="1"/>
  <c r="I509" i="1"/>
  <c r="I497" i="1"/>
  <c r="I485" i="1"/>
  <c r="I453" i="1"/>
  <c r="I425" i="1"/>
  <c r="I413" i="1"/>
  <c r="I401" i="1"/>
  <c r="I389" i="1"/>
  <c r="I357" i="1"/>
  <c r="I329" i="1"/>
  <c r="I317" i="1"/>
  <c r="I305" i="1"/>
  <c r="I293" i="1"/>
  <c r="I262" i="1"/>
  <c r="I234" i="1"/>
  <c r="I222" i="1"/>
  <c r="I210" i="1"/>
  <c r="I198" i="1"/>
  <c r="I165" i="1"/>
  <c r="I137" i="1"/>
  <c r="I125" i="1"/>
  <c r="I113" i="1"/>
  <c r="I101" i="1"/>
  <c r="I69" i="1"/>
  <c r="I41" i="1"/>
  <c r="I29" i="1"/>
  <c r="I17" i="1"/>
  <c r="I5" i="1"/>
  <c r="I828" i="1"/>
  <c r="I816" i="1"/>
  <c r="I804" i="1"/>
  <c r="I792" i="1"/>
  <c r="I780" i="1"/>
  <c r="I768" i="1"/>
  <c r="I722" i="1"/>
  <c r="I710" i="1"/>
  <c r="I666" i="1"/>
  <c r="I654" i="1"/>
  <c r="I642" i="1"/>
  <c r="I630" i="1"/>
  <c r="I618" i="1"/>
  <c r="I606" i="1"/>
  <c r="I594" i="1"/>
  <c r="I579" i="1"/>
  <c r="I547" i="1"/>
  <c r="I520" i="1"/>
  <c r="I508" i="1"/>
  <c r="I496" i="1"/>
  <c r="I483" i="1"/>
  <c r="I452" i="1"/>
  <c r="I424" i="1"/>
  <c r="I412" i="1"/>
  <c r="I400" i="1"/>
  <c r="I388" i="1"/>
  <c r="I356" i="1"/>
  <c r="I328" i="1"/>
  <c r="I316" i="1"/>
  <c r="I304" i="1"/>
  <c r="I292" i="1"/>
  <c r="I261" i="1"/>
  <c r="I233" i="1"/>
  <c r="I221" i="1"/>
  <c r="I209" i="1"/>
  <c r="I197" i="1"/>
  <c r="I164" i="1"/>
  <c r="I136" i="1"/>
  <c r="I124" i="1"/>
  <c r="I112" i="1"/>
  <c r="I100" i="1"/>
  <c r="I68" i="1"/>
  <c r="I40" i="1"/>
  <c r="I28" i="1"/>
  <c r="I16" i="1"/>
  <c r="I4" i="1"/>
  <c r="I895" i="1"/>
  <c r="I883" i="1"/>
  <c r="I839" i="1"/>
  <c r="I827" i="1"/>
  <c r="I815" i="1"/>
  <c r="I803" i="1"/>
  <c r="I791" i="1"/>
  <c r="I779" i="1"/>
  <c r="I767" i="1"/>
  <c r="I721" i="1"/>
  <c r="I709" i="1"/>
  <c r="I665" i="1"/>
  <c r="I653" i="1"/>
  <c r="I641" i="1"/>
  <c r="I629" i="1"/>
  <c r="I617" i="1"/>
  <c r="I605" i="1"/>
  <c r="I593" i="1"/>
  <c r="I575" i="1"/>
  <c r="I546" i="1"/>
  <c r="I519" i="1"/>
  <c r="I507" i="1"/>
  <c r="I495" i="1"/>
  <c r="I482" i="1"/>
  <c r="I451" i="1"/>
  <c r="I423" i="1"/>
  <c r="I411" i="1"/>
  <c r="I399" i="1"/>
  <c r="I386" i="1"/>
  <c r="I355" i="1"/>
  <c r="I327" i="1"/>
  <c r="I315" i="1"/>
  <c r="I303" i="1"/>
  <c r="I291" i="1"/>
  <c r="I260" i="1"/>
  <c r="I232" i="1"/>
  <c r="I220" i="1"/>
  <c r="I208" i="1"/>
  <c r="I194" i="1"/>
  <c r="I163" i="1"/>
  <c r="I135" i="1"/>
  <c r="I123" i="1"/>
  <c r="I111" i="1"/>
  <c r="I99" i="1"/>
  <c r="I67" i="1"/>
  <c r="I39" i="1"/>
  <c r="I27" i="1"/>
  <c r="I15" i="1"/>
  <c r="I3" i="1"/>
  <c r="I1012" i="1"/>
  <c r="I1000" i="1"/>
  <c r="I988" i="1"/>
  <c r="I976" i="1"/>
  <c r="I964" i="1"/>
  <c r="I952" i="1"/>
  <c r="I906" i="1"/>
  <c r="I894" i="1"/>
  <c r="I882" i="1"/>
  <c r="I838" i="1"/>
  <c r="I826" i="1"/>
  <c r="I814" i="1"/>
  <c r="I802" i="1"/>
  <c r="I790" i="1"/>
  <c r="I778" i="1"/>
  <c r="I766" i="1"/>
  <c r="I720" i="1"/>
  <c r="I708" i="1"/>
  <c r="I664" i="1"/>
  <c r="I652" i="1"/>
  <c r="I640" i="1"/>
  <c r="I628" i="1"/>
  <c r="I616" i="1"/>
  <c r="I604" i="1"/>
  <c r="I592" i="1"/>
  <c r="I574" i="1"/>
  <c r="I545" i="1"/>
  <c r="I518" i="1"/>
  <c r="I506" i="1"/>
  <c r="I494" i="1"/>
  <c r="I480" i="1"/>
  <c r="I450" i="1"/>
  <c r="I422" i="1"/>
  <c r="I410" i="1"/>
  <c r="I398" i="1"/>
  <c r="I385" i="1"/>
  <c r="I354" i="1"/>
  <c r="I326" i="1"/>
  <c r="I314" i="1"/>
  <c r="I302" i="1"/>
  <c r="I288" i="1"/>
  <c r="I259" i="1"/>
  <c r="I231" i="1"/>
  <c r="I219" i="1"/>
  <c r="I207" i="1"/>
  <c r="I193" i="1"/>
  <c r="I162" i="1"/>
  <c r="I134" i="1"/>
  <c r="I122" i="1"/>
  <c r="I110" i="1"/>
  <c r="I98" i="1"/>
  <c r="I66" i="1"/>
  <c r="I38" i="1"/>
  <c r="I26" i="1"/>
  <c r="I14" i="1"/>
  <c r="I2" i="1"/>
  <c r="I1186" i="1"/>
  <c r="I1174" i="1"/>
  <c r="I1162" i="1"/>
  <c r="I1150" i="1"/>
  <c r="I1138" i="1"/>
  <c r="I1126" i="1"/>
  <c r="I1080" i="1"/>
  <c r="I1068" i="1"/>
  <c r="I1023" i="1"/>
  <c r="I1011" i="1"/>
  <c r="I999" i="1"/>
  <c r="I987" i="1"/>
  <c r="I975" i="1"/>
  <c r="I963" i="1"/>
  <c r="I951" i="1"/>
  <c r="I905" i="1"/>
  <c r="I893" i="1"/>
  <c r="I881" i="1"/>
  <c r="I837" i="1"/>
  <c r="I825" i="1"/>
  <c r="I813" i="1"/>
  <c r="I801" i="1"/>
  <c r="I789" i="1"/>
  <c r="I777" i="1"/>
  <c r="I765" i="1"/>
  <c r="I719" i="1"/>
  <c r="I707" i="1"/>
  <c r="I663" i="1"/>
  <c r="I651" i="1"/>
  <c r="I639" i="1"/>
  <c r="I627" i="1"/>
  <c r="I615" i="1"/>
  <c r="I603" i="1"/>
  <c r="I591" i="1"/>
  <c r="I556" i="1"/>
  <c r="I544" i="1"/>
  <c r="I517" i="1"/>
  <c r="I505" i="1"/>
  <c r="I493" i="1"/>
  <c r="I478" i="1"/>
  <c r="I449" i="1"/>
  <c r="I421" i="1"/>
  <c r="I409" i="1"/>
  <c r="I397" i="1"/>
  <c r="I383" i="1"/>
  <c r="I353" i="1"/>
  <c r="I325" i="1"/>
  <c r="I313" i="1"/>
  <c r="I301" i="1"/>
  <c r="I287" i="1"/>
  <c r="I258" i="1"/>
  <c r="I230" i="1"/>
  <c r="I218" i="1"/>
  <c r="I206" i="1"/>
  <c r="I192" i="1"/>
  <c r="I161" i="1"/>
  <c r="I133" i="1"/>
  <c r="I121" i="1"/>
  <c r="I109" i="1"/>
  <c r="I97" i="1"/>
  <c r="I65" i="1"/>
  <c r="I37" i="1"/>
  <c r="I25" i="1"/>
  <c r="I13" i="1"/>
</calcChain>
</file>

<file path=xl/sharedStrings.xml><?xml version="1.0" encoding="utf-8"?>
<sst xmlns="http://schemas.openxmlformats.org/spreadsheetml/2006/main" count="17994" uniqueCount="1836">
  <si>
    <t>Nom</t>
  </si>
  <si>
    <t>Rarity</t>
  </si>
  <si>
    <t>Faction</t>
  </si>
  <si>
    <t>Edition</t>
  </si>
  <si>
    <t>Nb possédé (digital)</t>
  </si>
  <si>
    <t>Type</t>
  </si>
  <si>
    <t>SubType</t>
  </si>
  <si>
    <t>HandCost</t>
  </si>
  <si>
    <t>ReserveCost</t>
  </si>
  <si>
    <t>Forest</t>
  </si>
  <si>
    <t>Mountain</t>
  </si>
  <si>
    <t>Lake</t>
  </si>
  <si>
    <t>Effect</t>
  </si>
  <si>
    <t>Abreuver</t>
  </si>
  <si>
    <t>Commune</t>
  </si>
  <si>
    <t>Muna</t>
  </si>
  <si>
    <t>Au-delà des portes</t>
  </si>
  <si>
    <t>Sort</t>
  </si>
  <si>
    <t>Bénédiction</t>
  </si>
  <si>
    <t>2</t>
  </si>
  <si>
    <t>1</t>
  </si>
  <si>
    <t>Jusqu'à deux Personnages ciblés gagnent chacun 1 boost . (Un boost est un compteur +1/+1/+1. Retirez-le lorsqu'il quitte la zone d'Expédition.)</t>
  </si>
  <si>
    <t>Rare</t>
  </si>
  <si>
    <t>3</t>
  </si>
  <si>
    <t>Jusqu'à deux Personnages ciblés gagnent chacun 2 boosts . (Un boost est un compteur +1/+1/+1. Retirez-le lorsqu'il quitte la zone d'Expédition.)</t>
  </si>
  <si>
    <t>Ordis</t>
  </si>
  <si>
    <t>Jusqu'à deux Personnages ciblés gagnent chacun 1 boost.</t>
  </si>
  <si>
    <t>Aby, Livreuse de Sève</t>
  </si>
  <si>
    <t>Axiom</t>
  </si>
  <si>
    <t>Murmures du Labyrinthe</t>
  </si>
  <si>
    <t>Personnage</t>
  </si>
  <si>
    <t>Ingénieur , Émissaire</t>
  </si>
  <si>
    <t>Repérage . (Vous pouvez me jouer de votre main pour avec « Effet de main : Envoyez-moi en Réserve ».) Effet flèche : Vous pouvez Amplifier une carte ciblée en jeu ou en Réserve. (Si elle a des compteurs, elle en gagne 1 de plus. Cet effet ne peut cibler une carte Héros.)</t>
  </si>
  <si>
    <t>Repérage . (Vous pouvez me jouer de votre main pour avec « Effet de main : Envoyez-moi en Réserve ».) Effet flèche : Amplifiez n'importe quel nombre de cartes ciblées en jeu ou en Réserve. (Si elles ont des compteurs, elles en gagnent 1 de plus. Cet effet ne peut cibler une carte Héros.)</t>
  </si>
  <si>
    <t>Achille</t>
  </si>
  <si>
    <t>Bravos</t>
  </si>
  <si>
    <t>Soldat</t>
  </si>
  <si>
    <t>5</t>
  </si>
  <si>
    <t>Coriace 1 . (Les Sorts et capacités d'un adversaire qui me ciblent coûtent de plus.)</t>
  </si>
  <si>
    <t>6</t>
  </si>
  <si>
    <t>Coriace 2 . (Les Sorts et capacités d'un adversaire qui me ciblent coûtent de plus.)</t>
  </si>
  <si>
    <t>Ada Lovelace</t>
  </si>
  <si>
    <t>Ingénieur</t>
  </si>
  <si>
    <t>Effet de réserve : Vous pouvez mettre une carte de votre main en Réserve. Si c'est un Permanent, piochez une carte.</t>
  </si>
  <si>
    <t>Effet de réserve : Vous pouvez mettre une carte de votre main en Réserve pour piocher une carte .</t>
  </si>
  <si>
    <t>Yzmir</t>
  </si>
  <si>
    <t>Effet de réserve : Vous pouvez mettre une carte de votre main en Réserve. Si c'est un Sort , piochez une carte.</t>
  </si>
  <si>
    <t>Afanas &amp; Senka</t>
  </si>
  <si>
    <t>Héros</t>
  </si>
  <si>
    <t>Lorsque vous jouez un Sort — Un Personnage ciblé que vous contrôlez gagne 1 boost. (Faites cela après la résolution du sort. Un boost est un compteur +1/+1/+1. Retirez-le lorsqu'il quitte la zone d'Expédition.)</t>
  </si>
  <si>
    <t>Aja</t>
  </si>
  <si>
    <t>Divinité</t>
  </si>
  <si>
    <t>4</t>
  </si>
  <si>
    <t>Effet de main : Chaque joueur met la carte du dessus de son deck dans sa zone de Mana (en tant qu'Orbe de Mana épuisé) .</t>
  </si>
  <si>
    <t>Effet flèche : Chaque joueur met la carte du dessus de son deck dans sa zone de Mana (en tant qu'Orbe de Mana épuisé) . Effet de soutien : : Un Personnage ciblé de Coût de Main ou moins gagne Ancré . (Défaussez-moi de la Réserve pour ça.)</t>
  </si>
  <si>
    <t>Akesha &amp; Taru</t>
  </si>
  <si>
    <t>Effet d'épuisement : : Après vous . Vous pouvez seulement activer cela si vous êtes le premier joueur. (Terminez votre tour comme si vous aviez joué une carte. Vous pouvez encore jouer des cartes plus tard ce Jour.)</t>
  </si>
  <si>
    <t>Akhlut</t>
  </si>
  <si>
    <t>Épreuve du froid</t>
  </si>
  <si>
    <t>Animal , Esprit</t>
  </si>
  <si>
    <t>Lorsque je gagne au moins 1 boost — Vous pouvez épuiser ( Effet d'épuisement : ) une carte ciblée en Réserve. (Une carte épuisée ne peut pas être jouée et n'a pas de capacité de Soutien.) Effet de réserve : Je gagne 1 boost.</t>
  </si>
  <si>
    <t>Lorsque je gagne au moins 1 boost — Vous pouvez épuiser ( Effet d'épuisement : ) une carte ciblée en Réserve. (Une carte épuisée ne peut pas être jouée et n'a pas de capacité de Soutien.) Effet flèche : Je gagne 1 boost.</t>
  </si>
  <si>
    <t>Alchimiste du Kadigir</t>
  </si>
  <si>
    <t>Érudit</t>
  </si>
  <si>
    <t>Effet de main : Je gagne 2 boosts . (Un boost est un compteur +1/+1/+1. Retirez-le lorsqu'il quitte la zone d'Expédition.)</t>
  </si>
  <si>
    <t>Effet de main : Je gagne 3 boosts .</t>
  </si>
  <si>
    <t>Effet de main : Je gagne 3 boosts . (Un boost est un compteur +1/+1/+1. Retirez-le lorsqu'il quitte la zone d'Expédition.)</t>
  </si>
  <si>
    <t>Alice</t>
  </si>
  <si>
    <t>Citoyen</t>
  </si>
  <si>
    <t>Effet de soutien : : Après vous . (Défaussez-moi de la Réserve pour terminer votre tour comme si vous aviez joué une carte.)</t>
  </si>
  <si>
    <t>Lyra</t>
  </si>
  <si>
    <t>Aloe Vera</t>
  </si>
  <si>
    <t>Plante</t>
  </si>
  <si>
    <t>À Midi — Ravitaillez . (Mettez la première carte de votre deck en Réserve.)</t>
  </si>
  <si>
    <t>Effet flèche : Vous pouvez payer pour que je gagne Ancré . (Au Repos, je ne vais pas en Réserve et je perds Ancré.) À Midi — Ravitaillez . (Mettez la première carte de votre deck en Réserve.)</t>
  </si>
  <si>
    <t>Amahle, Paria Asgarthi</t>
  </si>
  <si>
    <t>Effet flèche : Vous pouvez défausser une carte de votre Réserve pour piocher une carte.</t>
  </si>
  <si>
    <t>Effet flèche : Vous pouvez défausser autant de cartes que vous le voulez de votre Réserve pour piocher le même nombre de cartes .</t>
  </si>
  <si>
    <t>Amarok</t>
  </si>
  <si>
    <t>Animal</t>
  </si>
  <si>
    <t>Je coûte de moins à jouer dans une Expédition où il n’y a aucun Personnage. Lorsqu'un autre Personnage rejoint mon Expédition — Sacrifiez-le.</t>
  </si>
  <si>
    <t>Je coûte de moins à jouer dans une Expédition où il n’y a aucun Personnage. Lorsqu'un autre Personnage rejoint mon Expédition — Sacrifiez-le et je gagne 1 boost .</t>
  </si>
  <si>
    <t>Amelia Earhart</t>
  </si>
  <si>
    <t>Aventurier</t>
  </si>
  <si>
    <t>Effet de main : Je gagne 1 boost.</t>
  </si>
  <si>
    <t>Anansi</t>
  </si>
  <si>
    <t>Artiste , Divinité</t>
  </si>
  <si>
    <t>Effet flèche : Je gagne 1 boost par carte dans votre Réserve. (Un boost est un compteur +1/+1/+1. Retirez-le lorsqu'il quitte la zone d'Expédition.)</t>
  </si>
  <si>
    <t>Effet flèche : Je gagne 1 boost par carte dans votre Réserve.</t>
  </si>
  <si>
    <t>0</t>
  </si>
  <si>
    <t>Effet flèche : Je gagne 1 boost par carte dans la Réserve de chaque joueur.</t>
  </si>
  <si>
    <t>Anubis</t>
  </si>
  <si>
    <t>Effet flèche : Chaque joueur sacrifie un Personnage.</t>
  </si>
  <si>
    <t>Aoife, Avatar de Feu</t>
  </si>
  <si>
    <t>Aventurier , Élémentaire</t>
  </si>
  <si>
    <t>Repérage . (Vous pouvez me jouer de votre main pour avec « Effet de main : Envoyez-moi en Réserve ».) Effet flèche : Vous pouvez faire perdre Fugace et gagner 1 boost à un autre Personnage ciblé.</t>
  </si>
  <si>
    <t>Apothéose de l'Esprit</t>
  </si>
  <si>
    <t>Conjuration</t>
  </si>
  <si>
    <t>9</t>
  </si>
  <si>
    <t>Fugace . (Envoyez-moi à la Défausse plutôt qu'en Réserve après résolution de mon effet.) Révélez les quatre premières cartes de votre deck. Choisissez jusqu'à deux Personnages parmi ces cartes et mettez-les dans vos Expéditions. Ils gagnent Fugace . Défaussez les autres cartes. (N'activez pas de capacités Effet de main : .)</t>
  </si>
  <si>
    <t>Fugace . Révélez les quatre premières cartes de votre deck. Choisissez jusqu'à deux Personnages parmi ces cartes et mettez-les dans vos Expéditions. Ils gagnent Fugace . Défaussez les autres cartes. (N'activez pas de capacités Effet de main : .)</t>
  </si>
  <si>
    <t>8</t>
  </si>
  <si>
    <t>Arawn</t>
  </si>
  <si>
    <t>Esprit</t>
  </si>
  <si>
    <t>Repérage . (Vous pouvez me jouer de votre main pour avec « Effet de main : Envoyez-moi en Réserve ».) Effet flèche : Les Animaux que vous contrôlez gagnent 1 boost.</t>
  </si>
  <si>
    <t>Repérage . (Vous pouvez me jouer de votre main pour avec « Effet de main : Envoyez-moi en Réserve ».) Effet flèche : Les Artistes que vous contrôlez gagnent 1 boost.</t>
  </si>
  <si>
    <t>Archiviste du Monolithe</t>
  </si>
  <si>
    <t>Bureaucrate</t>
  </si>
  <si>
    <t>Défenseur . (Mon Expédition ne peut pas avancer pendant le Crépuscule.)</t>
  </si>
  <si>
    <t>Je suis Défenseur sauf si vous contrôlez au moins deux autres Bureaucrates . (Mon Expédition ne peut pas avancer pendant le Crépuscule.)</t>
  </si>
  <si>
    <t>Ariane</t>
  </si>
  <si>
    <t>Bureaucrate , Noble</t>
  </si>
  <si>
    <t>Lorsqu'un adversaire joue un Personnage — S'il n'y a aucun Personnage dans l'Expédition qui me fait face, ce Personnage change d'Expédition.</t>
  </si>
  <si>
    <t>Arjun &amp; Spike</t>
  </si>
  <si>
    <t>Effet d'épuisement : , Défaussez une carte de votre Réserve : le prochain Personnage de Coût de Main ou moins que vous jouez ce tour gagne Ancré . (Au Repos, il ne va pas en Réserve et il perd Ancré.)</t>
  </si>
  <si>
    <t>Armurerie Mobile</t>
  </si>
  <si>
    <t>Permanent d’Expédition</t>
  </si>
  <si>
    <t>Matos</t>
  </si>
  <si>
    <t>Effet flèche : Créez un jeton Soldat 1/1/1 Recrue Ordis dans mon Expédition.</t>
  </si>
  <si>
    <t>Effet flèche : Créez un jeton Soldat 1/1/1 Recrue Ordis dans mon Expédition. Les Personnages Défenseurs n'empêchent pas mon Expédition d'avancer.</t>
  </si>
  <si>
    <t>Armurière de la Fonderie</t>
  </si>
  <si>
    <t>Effet de réserve : Créez un jeton Robot 2/2/2 Scarabot dans une Expédition ciblée.</t>
  </si>
  <si>
    <t>Effet flèche : Créez un jeton Robot 2/2/2 Scarabot dans une Expédition ciblée.</t>
  </si>
  <si>
    <t>Aroro, Rempart d'Asgartha</t>
  </si>
  <si>
    <t>Mage</t>
  </si>
  <si>
    <t>Effet de main : Vous pouvez défausser un Sort de votre Réserve pour me donner 1 boost.</t>
  </si>
  <si>
    <t>Effet de main : Vous pouvez défausser un Personnage de votre Réserve pour me donner 2 boosts. Effet de soutien : : Le prochain Personnage que vous jouez ce tour coûte de moins. (Défaussez-moi de la Réserve pour ça.)</t>
  </si>
  <si>
    <t>Effet de main : Vous pouvez défausser un Sort de votre Réserve pour me donner 2 boosts. Effet de soutien : : Le prochain Sort que vous jouez ce tour coûte de moins. (Défaussez-moi de la Réserve pour ça.)</t>
  </si>
  <si>
    <t>Asmodée</t>
  </si>
  <si>
    <t>Effet flèche : Lancez un dé. Sur 4+, je gagne Ancré . Sur 1-3, je gagne 3 boosts. (Au Repos, je ne vais pas en Réserve et je perds Ancré. Un boost est un compteur +1/+1/+1. Retirez-le lorsqu'il quitte la zone d'Expédition.)</t>
  </si>
  <si>
    <t>Effet flèche : Lancez un dé. Sur 4+, je gagne Ancré . Sur 1-3, je gagne 3 boosts. (Au Repos, je ne vais pas en Réserve et je perds Ancré.)</t>
  </si>
  <si>
    <t>Aspirant de Havre</t>
  </si>
  <si>
    <t>Apprenti</t>
  </si>
  <si>
    <t>Effet de réserve : Je gagne 2 boosts . (Un boost est un compteur +1/+1/+1. Retirez-le lorsqu'il quitte la zone d'Expédition.)</t>
  </si>
  <si>
    <t>Effet de réserve : Je gagne 2 boosts. Effet de soutien : : Le prochain Personnage que vous jouez ce tour gagne 1 boost. (Défaussez-moi de la Réserve pour ça.)</t>
  </si>
  <si>
    <t>Effet de réserve : Créez un jeton Soldat 1/1/1 Recrue Ordis dans chacune de vos Expéditions.</t>
  </si>
  <si>
    <t>Athéna</t>
  </si>
  <si>
    <t>Effet de réserve : Si vous contrôlez au moins deux Repères, je perds Fugace .</t>
  </si>
  <si>
    <t>Effet de main : Si vous contrôlez au moins deux Repères, je gagne 2 boosts. Effet de réserve : Si vous contrôlez au moins deux Repères, je perds Fugace .</t>
  </si>
  <si>
    <t>Effet de main : Si vous contrôlez au moins deux autres Personnages, je gagne 2 boosts. Effet de réserve : Si vous contrôlez au moins deux autres Personnages , je perds Fugace .</t>
  </si>
  <si>
    <t>Atlas</t>
  </si>
  <si>
    <t>Titan</t>
  </si>
  <si>
    <t>Gigantesque . (Je suis considéré présent dans chacune de vos Expéditions.)</t>
  </si>
  <si>
    <t>Gigantesque . (Je suis considéré présent dans chacune de vos Expéditions.) Aguerri . (Je conserve mes boosts lorsque je vais en Réserve.) Effet de soutien : : Le prochain Personnage que vous jouez ce tour gagne 2 boosts. (Défaussez-moi de la Réserve pour ça.)</t>
  </si>
  <si>
    <t>Gigantesque . (Je suis considéré présent dans chacune de vos Expéditions.) Les jetons que vous contrôlez sont Gigantesques .</t>
  </si>
  <si>
    <t>Atsadi &amp; Surge</t>
  </si>
  <si>
    <t>Je commence la partie avec 5 compteurs Héroïsme. Lorsque vous jouez un Personnage de Coût de Main supérieur ou égal à mon nombre de compteurs Héroïsme — Piochez une carte et je gagne 1 compteur Héroïsme.</t>
  </si>
  <si>
    <t>Augure Yzmir</t>
  </si>
  <si>
    <t>Mage , Érudit</t>
  </si>
  <si>
    <t>Lorsque je suis sacrifiée — Vous pouvez faire gagner 2 boosts au Personnage ciblé.</t>
  </si>
  <si>
    <t>Auraq &amp; Kibble</t>
  </si>
  <si>
    <t>Lorsque vous jouez un Personnage avec une statistique de base 0 — Je gagne 1 compteur Spectacle. À Midi — Vous pouvez dépenser 5 de mes compteurs Spectacle pour révéler la première carte de votre deck. Vous pouvez la jouer gratuitement ou la mettre dans votre main. (N'activez pas de capacités Effet de main : .)</t>
  </si>
  <si>
    <t>Avalanche</t>
  </si>
  <si>
    <t>Interférence</t>
  </si>
  <si>
    <t>Fugace . (Envoyez-moi à la Défausse plutôt qu'en Réserve après résolution de mon effet.) Envoyez en Réserve n'importe quel nombre de Personnages ciblés avec un total de 4 montagne ou moins.</t>
  </si>
  <si>
    <t>Fugace . Envoyez en Réserve n'importe quel nombre de Personnages ciblés avec un total de 5 montagne ou moins.</t>
  </si>
  <si>
    <t>Fugace . Envoyez en Réserve n'importe quel nombre de Personnages ciblés avec un total de 4 montagne ou moins.</t>
  </si>
  <si>
    <t>Avant-Garde Bravos</t>
  </si>
  <si>
    <t>Effet flèche : Vous pouvez faire perdre Fugace à un autre Personnage ciblé.</t>
  </si>
  <si>
    <t>Effet flèche : Vous pouvez faire perdre Fugace et gagner 1 boost à un autre Personnage ciblé.</t>
  </si>
  <si>
    <t>Baba Yaga</t>
  </si>
  <si>
    <t>Effet de main : Piochez une carte.</t>
  </si>
  <si>
    <t>Baku</t>
  </si>
  <si>
    <t>Effet de main : L'adversaire ciblé se défausse d'une carte de sa main.</t>
  </si>
  <si>
    <t>Effet flèche : L'adversaire ciblé se défausse d'une carte de sa main.</t>
  </si>
  <si>
    <t>Barre Énergétique Mangez-Moi</t>
  </si>
  <si>
    <t>S'il n'y a qu'un seul Personnage dans mon Expédition, il est Gigantesque . (Il est considéré présent dans chacune de vos Expéditions.)</t>
  </si>
  <si>
    <t>Effet flèche : Je gagne Fugace . S'il n'y a qu'un seul Personnage dans mon Expédition, il est Gigantesque . (Il est considéré présent dans chacune de vos Expéditions.)</t>
  </si>
  <si>
    <t>Basira &amp; Kaizaimon</t>
  </si>
  <si>
    <t>Lorsqu'un Personnage que vous contrôlez gagne au moins 1 boost — Vous pouvez m'épuiser ( Effet d'épuisement : ) pour donner 1 boost à un Personnage ciblé. (Un boost est un compteur +1/+1/+1. Retirez-le lorsqu'il quitte la zone d'Expédition.)</t>
  </si>
  <si>
    <t>Bassiste de Bliss</t>
  </si>
  <si>
    <t>Artiste</t>
  </si>
  <si>
    <t>Si je suis Boosté , les forêt , montagne et océan des autres Personnages que vous contrôlez sont égales à leur statistique la plus élevée. Effet continu de réserve : Lorsque vous jouez un autre Personnage avec une stat de base 0 — Je gagne 1 boost, jusqu'à un max de 2.</t>
  </si>
  <si>
    <t>Si je suis Boosté , les forêt , montagne et océan des autres Personnages que vous contrôlez sont égales à leur statistique la plus élevée. Effet continu de réserve : Lorsque vous jouez un Sort — Je gagne 1 boost, jusqu'à un max de 2.</t>
  </si>
  <si>
    <t>Batteur de Bliss</t>
  </si>
  <si>
    <t>Si je suis Boosté , vous pouvez jouer les autres Personnages de votre Réserve pour de moins, jusqu'à un minimum de . (D'autres effets peuvent réduire ce coût davantage.) Effet continu de réserve : Lorsque vous jouez un autre Personnage avec une stat de base 0 — Je gagne 1 boost, jusqu'à un max de 2.</t>
  </si>
  <si>
    <t>Si je suis Boosté , vous pouvez les Robots depuis votre Réserve pour de moins, jusqu'à un minimum de . (D'autres effets peuvent réduire ce coût davantage.) Effet continu de réserve : À Midi — Choisissez l'un : • Je gagne 1 boost, jusqu'à un max de 3. • Effet d'épuisement : : Je gagne 2 boosts , jusqu'à un max de 3.</t>
  </si>
  <si>
    <t>Si je suis Boosté , vous pouvez jouer les autres Artistes depuis votre Réserve pour de moins, jusqu'à un minimum de . (D'autres effets peuvent réduire ce coût davantage.) Effet continu de réserve : Lorsque vous jouez un autre Personnage avec une stat de base 0 — Je gagne 1 boost, jusqu'à un max de 2.</t>
  </si>
  <si>
    <t>Beillerave</t>
  </si>
  <si>
    <t>Animal , Plante</t>
  </si>
  <si>
    <t>Effet de réserve : Je gagne Ancré . Effet continu de réserve : À Midi — Je gagne 1 boost, jusqu'à un max de 2.</t>
  </si>
  <si>
    <t>Effet de réserve : Je gagne Ancré . Effet continu de réserve : Lorsqu'un autre Personnage rejoint vos Expéditions — Je gagne 1 boost, jusqu'à un max de 2.</t>
  </si>
  <si>
    <t>Belasenka</t>
  </si>
  <si>
    <t>Effet de main : Vous pouvez épuiser ( Effet d'épuisement : ) une carte ciblée en Réserve. (Une carte épuisée ne peut pas être jouée et n'a pas de capacité de Soutien.)</t>
  </si>
  <si>
    <t>Effet de main : Vous pouvez épuiser ( Effet d'épuisement : ) une carte ciblée en Réserve. Puis, s'il y a au moins deux cartes épuisées en Réserve, je gagne 1 boost.</t>
  </si>
  <si>
    <t>Benzaiten</t>
  </si>
  <si>
    <t>Effet flèche : Si mon Expédition est en retard, piochez une carte.</t>
  </si>
  <si>
    <t>Effet flèche : Si mon Expédition est en retard, piochez une carte. Sinon, Ravitaillez .</t>
  </si>
  <si>
    <t>Bis</t>
  </si>
  <si>
    <t>Chant</t>
  </si>
  <si>
    <t>Un Personnage ciblé Fugace gagne Ancré . (Au Repos, il ne va pas en Réserve et il perd Ancré.)</t>
  </si>
  <si>
    <t>Fugace . Un Personnage ciblé Fugace ou Boosté gagne Ancré . (Au Repos, il ne va pas en Réserve et il perd Ancré.)</t>
  </si>
  <si>
    <t>Blizzard</t>
  </si>
  <si>
    <t>Fugace . Envoyez en Réserve tous les Personnages d'une Expédition ciblée, puis épuisez-les ( Effet d'épuisement : ) . (Une carte épuisée ne peut pas être jouée et n'a pas de capacité de Soutien.)</t>
  </si>
  <si>
    <t>Fugace . Envoyez en Réserve tous les Personnages d'une Expédition ciblée, puis épuisez-les ( Effet d'épuisement : ) .</t>
  </si>
  <si>
    <t>Fugace . Je coûte de moins s'il y a au moins deux cartes épuisées en Réserve. Envoyez en Réserve tous les Personnages d'une Expédition ciblée, puis épuisez-les ( Effet d'épuisement : ) .</t>
  </si>
  <si>
    <t>Booda</t>
  </si>
  <si>
    <t>Jeton Personnage</t>
  </si>
  <si>
    <t>Compagnon</t>
  </si>
  <si>
    <t>(Si je quitte la zone d'Expédition, retirez-moi du jeu.)</t>
  </si>
  <si>
    <t>Botfix</t>
  </si>
  <si>
    <t>Manœuvre</t>
  </si>
  <si>
    <t>Rafraîchissement . (Si je vais en Réserve après la résolution de mon effet, épuisez-moi Effet d'épuisement : . Une carte épuisée ne peut pas être jouée et n'a pas de capacité de Soutien.) Vous pouvez dépenser 1 compteur d'une carte que vous contrôlez ou dans votre Réserve pour créer un jeton Robot 2/2/2 Scarabot dans une Expédition ciblée.</t>
  </si>
  <si>
    <t>Rafraîchissement . Vous pouvez dépenser 1 compteur d'une carte que vous contrôlez ou dans votre Réserve pour créer un jeton Robot 2/2/2 Scarabot dans une Expédition ciblée.</t>
  </si>
  <si>
    <t>Bottes Techniques</t>
  </si>
  <si>
    <t>Lorsque mon Expédition avance — Un Personnage ciblé dans mon Expédition perd Fugace .</t>
  </si>
  <si>
    <t>Effet de réserve : Ravitaillez . (Mettez la première carte de votre deck en Réserve.) Lorsque mon Expédition avance — Un Personnage ciblé dans mon Expédition perd Fugace .</t>
  </si>
  <si>
    <t>Boum !</t>
  </si>
  <si>
    <t>Fugace . (Envoyez-moi à la Défausse plutôt qu'en Réserve après résolution de mon effet.) Sacrifiez un Personnage. Si vous le faites, défaussez un Personnage ou un Permanent ciblé.</t>
  </si>
  <si>
    <t>Fugace . (Envoyez-moi à la Défausse plutôt qu'en Réserve après résolution de mon effet.) Sacrifiez un Personnage ou un Permanent . Si vous le faites, défaussez un Personnage ou Permanent ciblé.</t>
  </si>
  <si>
    <t>Briser la Glace</t>
  </si>
  <si>
    <t>Fugace . Je coûte de moins s'il y a au moins trois statistiques de base 0 parmi les Personnages que vous contrôlez. Envoyez un Personnage ciblé en Réserve, puis épuisez-le ( Effet d'épuisement : ) . (Une carte épuisée ne peut pas être jouée et n'a pas de capacité de Soutien.)</t>
  </si>
  <si>
    <t>Rafraîchissement . (Si je vais en Réserve après résolution de mon effet, épuisez-moi Effet d'épuisement : .) Je coûte de moins s'il y a au moins trois statistiques de base 0 parmi les Personnages que vous contrôlez. Envoyez un Personnage ciblé en Réserve, puis épuisez-le ( Effet d'épuisement : ) .</t>
  </si>
  <si>
    <t>Fugace . Je coûte de moins si vous contrôlez au moins trois Personnages. Envoyez un Personnage ciblé en Réserve, puis épuisez-le ( Effet d'épuisement : ) . (Une carte épuisée ne peut pas être jouée et n'a pas de capacité de Soutien.)</t>
  </si>
  <si>
    <t>Brouilleur Axiom</t>
  </si>
  <si>
    <t>Effet de main : Sabotez . (Défaussez jusqu'à une carte d'une Réserve.)</t>
  </si>
  <si>
    <t>Brouilleur Blindé</t>
  </si>
  <si>
    <t>Permanent</t>
  </si>
  <si>
    <t>Repère</t>
  </si>
  <si>
    <t>Effet flèche : Sabotez . (Défaussez jusqu'à une carte d'une Réserve.)</t>
  </si>
  <si>
    <t>Effet flèche : Sabotez . (Défaussez jusqu'à une carte d'une Réserve.) Lorsque je quitte votre zone de Repères — Sabotez .</t>
  </si>
  <si>
    <t>Cabas à Scara</t>
  </si>
  <si>
    <t>Effet flèche : Créez un jeton Robot 2/2/2 Scarabot dans mon Expédition.</t>
  </si>
  <si>
    <t>Effet de main : Créez un jeton Robot 2/2/2 Scarabot dans mon Expédition. Effet de réserve : Ravitaillez .</t>
  </si>
  <si>
    <t>Effet flèche : Créez un jeton Robot 2/2/2 Scarabot dans mon Expédition. Effet de réserve : Ravitaillez .</t>
  </si>
  <si>
    <t>Cadets Ordis</t>
  </si>
  <si>
    <t>Apprenti , Soldat</t>
  </si>
  <si>
    <t>Effet flèche : Créez un jeton Soldat 1/1/1 Recrue Ordis dans votre autre Expédition .</t>
  </si>
  <si>
    <t>Effet flèche : Créez un jeton Soldat 1/1/1 Recrue Ordis dans mon Expédition. Effet de soutien : : Le prochain Sort que vous jouez ce tour coûte de moins. (Défaussez-moi de la Réserve pour ça.)</t>
  </si>
  <si>
    <t>Canalisation de Mana</t>
  </si>
  <si>
    <t>Fugace . (Envoyez-moi à la Défausse plutôt qu'en Réserve après résolution de mon effet.) Mettez la première carte de votre deck dans votre zone de Mana (en tant qu'Orbe de Mana épuisé) .</t>
  </si>
  <si>
    <t>Mettez les deux premières cartes de votre deck dans votre zone de Mana (en tant qu'Orbes de Mana épuisés) .</t>
  </si>
  <si>
    <t>Case Prison</t>
  </si>
  <si>
    <t>Fugace . Envoyez en Réserve un Personnage ciblé dont aucune statistique n'est supérieure à 3.</t>
  </si>
  <si>
    <t>Rafraîchissement . (Si je vais en Réserve après résolution de mon effet, épuisez-moi Effet d'épuisement : .) Envoyez en Réserve un Personnage ciblé dont aucune statistique n'est supérieure à 3.</t>
  </si>
  <si>
    <t>Cernunnos</t>
  </si>
  <si>
    <t>Druide , Divinité</t>
  </si>
  <si>
    <t>Champignon Exténueur</t>
  </si>
  <si>
    <t>Effet de soutien : : Un Personnage ciblé que vous contrôlez de Coût de Main ou moins gagne Endormi . (Défaussez-moi de la Réserve pour ça.)</t>
  </si>
  <si>
    <t>Effet de main : Vous pouvez payer . Si vous le faites, un Personnage ciblé dans l'Expédition qui me fait face gagne Endormi . Effet de soutien : : Un Personnage ciblé que vous contrôlez de Coût de Main ou moins gagne Endormi . (Défaussez-moi de la Réserve pour ça.)</t>
  </si>
  <si>
    <t>Champignon Éternueur</t>
  </si>
  <si>
    <t>Effet flèche : Je gagne Ancré . (Au Repos, je ne vais pas en Réserve et je perds Ancré.)</t>
  </si>
  <si>
    <t>Effet flèche : Je gagne Ancré . (Au Repos, je ne vais pas en Réserve et je perds Ancré.) À Midi — Je gagne 1 boost . (Un boost est un compteur +1/+1/+1. Retirez-le lorsqu'il quitte la zone d'Expédition.)</t>
  </si>
  <si>
    <t>Effet flèche : Je gagne Ancré . (Au Repos, je ne vais pas en Réserve et je perds Ancré.) À Midi — Je gagne 1 boost.</t>
  </si>
  <si>
    <t>Chargez !</t>
  </si>
  <si>
    <t>Fugace . (Envoyez-moi à la Défausse plutôt qu'en Réserve après résolution de mon effet.) Les Personnages que vous contrôlez gagnent 1 boost . (Les cartes en Réserve ne sont pas contrôlées. Un boost est un compteur +1/+1/+1. Retirez-le lorsqu'il quitte la zone d'Expédition.)</t>
  </si>
  <si>
    <t>Les Personnages que vous contrôlez gagnent 1 boost.</t>
  </si>
  <si>
    <t>Chef Pâtissier</t>
  </si>
  <si>
    <t>Effet de réserve : Si j'ai au moins 2 boosts, piochez une carte. Effet continu de réserve : Lorsque vous jouez un autre Personnage — Je gagne 1 boost, jusqu'à un max de 3.</t>
  </si>
  <si>
    <t>Aguerri . (Je conserve mes boosts lorsque je vais en Réserve.) Effet de réserve : Si j'ai au moins 2 boosts, piochez une carte. Effet continu de réserve : Lorsque vous jouez un autre Personnage — Je gagne 1 boost, jusqu'à un max de 3.</t>
  </si>
  <si>
    <t>Aguerri . (Je conserve mes boosts lorsque je vais en Réserve.) Effet de réserve : Si j'ai au moins 2 boosts, piochez une carte. Effet continu de réserve : Lorsque vous jouez un Sort — Je gagne 1 boost, jusqu'à un max de 2.</t>
  </si>
  <si>
    <t>Chiron</t>
  </si>
  <si>
    <t>Mentor</t>
  </si>
  <si>
    <t>Effet flèche : Un Personnage ciblé gagne 1 boost . (Un boost est un compteur +1/+1/+1. Retirez-le lorsqu'il quitte la zone d'Expédition.)</t>
  </si>
  <si>
    <t>Effet flèche : Jusqu'à deux Personnages ciblés gagnent chacun 1 boost.</t>
  </si>
  <si>
    <t>Chroniqueuse Lyra</t>
  </si>
  <si>
    <t>Effet de soutien : : Ravitaillez . (Mettez la première carte de votre deck en Réserve. Défaussez-moi de la Réserve pour ça.)</t>
  </si>
  <si>
    <t>Chrysalide</t>
  </si>
  <si>
    <t>Défenseur . (Mon Expédition ne peut pas avancer pendant le Crépuscule.) Lorsque je quitte la zone d'Expédition — Créez un jeton Illusion 2/2/2 Phalène de Mana dans mon Expédition.</t>
  </si>
  <si>
    <t>Défenseur . (Mon Expédition ne peut pas avancer pendant le Crépuscule.) Lorsque je quitte la zone d'Expédition — Créez un jeton Illusion 2/2/2 Phalène de Mana dans mon Expédition. Effet de soutien : : Épuisez une carte ciblée en Réserve. (Défaussez-moi de la Réserve pour ça.)</t>
  </si>
  <si>
    <t>Claviériste de Bliss</t>
  </si>
  <si>
    <t>Au Crépuscule — Si je suis Boosté , révélez la première carte de votre deck. Si c'est un Personnage avec une statistique de base 0, piochez-la. Sinon, défaussez-la. Effet continu de réserve : Lorsque vous jouez un autre Personnage avec une stat de base 0 — Je gagne 1 boost, jusqu'à un max de 2.</t>
  </si>
  <si>
    <t>Au Crépuscule — Si je suis Boosté , révélez la première carte de votre deck. Si c'est un Robot ou un Permanent , piochez-la. Sinon, défaussez-la. Effet continu de réserve : À Midi — Choisissez l'un :</t>
  </si>
  <si>
    <t>Au Crépuscule — Si je suis Boosté , révélez la première carte de votre deck. Si c'est un Artiste ou un Chant , piochez-la. Sinon, défaussez-la. Effet continu de réserve : Lorsque vous jouez un autre Personnage avec une stat de base 0 — Je gagne 1 boost, jusqu'à un max de 2.</t>
  </si>
  <si>
    <t>Cocon d'Étoffe</t>
  </si>
  <si>
    <t>Fugace . (Envoyez-moi à la Défausse plutôt qu'en Réserve après résolution de mon effet.) Choisissez l'un : • Défaussez un Personnage Fugace , Ancré ou Endormi ciblé. • Défaussez un Permanent ciblé.</t>
  </si>
  <si>
    <t>Fugace . (Envoyez-moi à la Défausse plutôt qu'en Réserve après résolution de mon effet.) Défaussez un Personnage Fugace , Ancré ou Endormi ciblé.</t>
  </si>
  <si>
    <t>Col Saisi par les Glaces</t>
  </si>
  <si>
    <t>Repère Permanent</t>
  </si>
  <si>
    <t>Lieu</t>
  </si>
  <si>
    <t>Lorsque vous épuisez une carte en Réserve — Je gagne 1 compteur Épreuve. Lorsque je gagne mon troisième compteur Épreuve — Sacrifiez-moi. Si vous le faites, créez un jeton Illusion 5/5/5 Reflet Draconique dans une Expédition ciblée, puis piochez une carte.</t>
  </si>
  <si>
    <t>Commando Boule-de-Neige</t>
  </si>
  <si>
    <t>Effet de main : Vous pouvez épuiser ( Effet d'épuisement : ) une carte ciblée dans la Réserve d'un adversaire, puis lancez un dé. Sur un résultat de 1-3 — Cet adversaire cible une carte dans votre Réserve. Épuisez-la. (Une carte épuisée ne peut pas être jouée et n'a pas de capacité de Soutien.)</t>
  </si>
  <si>
    <t>Effet de main : Vous pouvez épuiser ( Effet d'épuisement : ) une carte ciblée dans la Réserve d'un adversaire, puis lancez un dé. Sur un résultat de 1-3 — Cet adversaire cible une carte dans votre Réserve. Épuisez-la.</t>
  </si>
  <si>
    <t>Commis du Personnel</t>
  </si>
  <si>
    <t>Lorsqu'un adversaire joue une carte depuis la Réserve — Créez un jeton Soldat 1/1/1 Recrue Ordis dans mon Expédition.</t>
  </si>
  <si>
    <t>Lorsque vous jouez une autre carte depuis la Réserve — Créez un jeton Soldat 1/1/1 Recrue Ordis dans mon Expédition.</t>
  </si>
  <si>
    <t>Lorsqu'un adversaire joue une carte depuis la Réserve — Créez un jeton Soldat 1/1/1 Recrue Ordis dans une Expédition ciblée.</t>
  </si>
  <si>
    <t>Comptable Ordis</t>
  </si>
  <si>
    <t>Effet de réserve : Vous pouvez dépenser 1 de mes boosts pour qu'un Personnage ciblé gagne Endormi . (Au Crépuscule, ignorez ses statistiques. Au Repos, il ne va pas en Réserve et il perd Endormi.) Effet continu de réserve : Lorsqu'un autre Personnage rejoint vos Expéditions — Je gagne 1 boost, jusqu'à un max de 2.</t>
  </si>
  <si>
    <t>Effet de réserve : Vous pouvez dépenser 1 de mes boosts pour qu'un Personnage ciblé gagne Endormi . Vous pouvez lui donner 2 boosts. Effet continu de réserve : À Midi — Je gagne 1 boost, jusqu'à un max de 2.</t>
  </si>
  <si>
    <t>Effet de réserve : Vous pouvez dépenser 1 de mes boosts pour qu'un Personnage ciblé gagne Endormi . Vous pouvez lui donner 2 boosts. Effet continu de réserve : Lorsqu'un autre Personnage rejoint vos Expéditions — Je gagne 1 boost, jusqu'à un max de 2.</t>
  </si>
  <si>
    <t>Comédien Lyra</t>
  </si>
  <si>
    <t>Effet flèche : Si vous avez au moins trois statistiques de base 0 parmi les Personnages que vous contrôlez, je gagne 1 boost . (Un boost est un compteur +1/+1/+1. Retirez-le lorsqu'il quitte la zone d'Expédition.)</t>
  </si>
  <si>
    <t>Effet flèche : Si vous avez au moins trois statistiques de base 0 parmi les Personnages que vous contrôlez, je gagne 2 boosts .</t>
  </si>
  <si>
    <t>Effet flèche : Si vous contrôlez au moins deux Personnages Boostés , je gagne 2 boosts .</t>
  </si>
  <si>
    <t>Conscription</t>
  </si>
  <si>
    <t>Fugace . (Envoyez-moi à la Défausse plutôt qu'en Réserve après résolution de mon effet.) Ciblez une Expédition. Créez-y X jetons Soldat 1/1/1 Recrue Ordis , X étant le nombre de cartes en Réserve d'un joueur ciblé.</t>
  </si>
  <si>
    <t>Rafraîchissement . (Si je vais en Réserve après la résolution de mon effet, épuisez-moi Effet d'épuisement : . Une carte épuisée ne peut pas être jouée et n'a pas de capacité de Soutien.) Ciblez une Expédition. Créez-y X jetons Soldat 1/1/1 Recrue Ordis , X étant le nombre de cartes en Réserve d'un joueur ciblé.</t>
  </si>
  <si>
    <t>Contorsionniste Lyra</t>
  </si>
  <si>
    <t>Effet de réserve : Je perds Fugace . Effet continu de réserve : Je ne compte pas dans la limite de votre Réserve.</t>
  </si>
  <si>
    <t>Coppélia</t>
  </si>
  <si>
    <t>Robot</t>
  </si>
  <si>
    <t>Lorsque je vais en Réserve depuis votre main — Vous pouvez me jouer gratuitement et je gagne Endormi . (Ignorez mes statistiques pendant le Crépuscule. Au Repos, je ne vais pas en Réserve et je perds Endormi.)</t>
  </si>
  <si>
    <t>Corgi Câline</t>
  </si>
  <si>
    <t>Lorsqu'un Personnage que vous contrôlez gagne Ancré — Je gagne 1 boost.</t>
  </si>
  <si>
    <t>Lorsqu'un Personnage que vous contrôlez gagne Fugace — Je gagne 1 boost.</t>
  </si>
  <si>
    <t>Lorsqu'un Personnage que vous contrôlez gagne Ancré — Ce Personnage gagne 1 boost.</t>
  </si>
  <si>
    <t>Cri de Ralliement</t>
  </si>
  <si>
    <t>Un Personnage ciblé gagne 1 boost. S'il est Endormi , il perd Endormi .</t>
  </si>
  <si>
    <t>Un Personnage ciblé gagne 1 boost. S'il est Endormi , il gagne Ancré et perd Endormi . (Au Repos, il ne va pas en Réserve et il perd Ancré.)</t>
  </si>
  <si>
    <t>Crieur Ordis</t>
  </si>
  <si>
    <t>Effet de réserve : Vous pouvez dépenser 1 de mes boosts pour redresser deux Orbes de Mana. Effet continu de réserve : Lorsqu'un autre Personnage rejoint vos Expéditions — Je gagne 1 boost, jusqu'à un max de 2.</t>
  </si>
  <si>
    <t>Effet de réserve : Vous pouvez dépenser 1 de mes boosts pour redresser deux Orbes de Mana. Effet continu de réserve : Lorsque vous jouez un Sort — Je gagne 1 boost, jusqu'à un max de 2.</t>
  </si>
  <si>
    <t>Croupière de l'Ouroboros</t>
  </si>
  <si>
    <t>Effet de main : Lancez un dé. Sur 4+, piochez une carte. Sur 1-3, Ravitaillez . (Mettez la première carte de votre deck en Réserve.)</t>
  </si>
  <si>
    <t>Effet de main : Lancez un dé. Sur 4+, piochez une carte. Sur 1-3, Ravitaillez . (Mettez la première carte de votre deck en Réserve.) Effet de soutien : : La prochaine carte que vous jouez ce tour coûte de moins. (Défaussez-moi de la Réserve pour ça.)</t>
  </si>
  <si>
    <t>Cylindre de Kélon</t>
  </si>
  <si>
    <t>Effet d'épuisement : : Je gagne 2 compteurs Kélon. Effet d'épuisement : , dépensez 1 de mes compteurs Kélon : le prochain Personnage que vous jouez ce tour-ci gagne 1 boost.</t>
  </si>
  <si>
    <t>Effet flèche : Un Personnage ciblé gagne 1 boost. Effet d'épuisement : : Je gagne 2 compteurs Kélon. Effet d'épuisement : , dépensez 1 de mes compteurs Kélon : un Personnage ciblé gagne 1 boost.</t>
  </si>
  <si>
    <t>Dame du Lac</t>
  </si>
  <si>
    <t>Fée , Esprit</t>
  </si>
  <si>
    <t>Effet de soutien : : Le prochain Personnage que vous jouez ce tour perd Fugace . (Défaussez-moi de la Réserve pour ça.)</t>
  </si>
  <si>
    <t>Effet de soutien : : Le prochain Sort que vous jouez ce tour perd Fugace . (Défaussez-moi de la Réserve pour ça.)</t>
  </si>
  <si>
    <t>Danseuse d'Étoffe Lyra</t>
  </si>
  <si>
    <t>Effet de main : Jusqu'à un Personnage ciblé gagne Fugace . (S'il devait être envoyé en Réserve, défaussez-le à la place.)</t>
  </si>
  <si>
    <t>Effet de main : Chaque Personnage contrôlé par le joueur ciblé gagne Fugace . (S'il devait être envoyé en Réserve, défaussez-le à la place.)</t>
  </si>
  <si>
    <t>Danseuse de Lames Bravos</t>
  </si>
  <si>
    <t>Aguerrie . (Je conserve mes boosts lorsque je vais en Réserve.) Effet flèche : Je gagne 1 boost.</t>
  </si>
  <si>
    <t>Aguerrie . (Je conserve mes boosts lorsque je vais en Réserve.) Effet flèche : Je gagne 1 boost. Effet de réserve : Si j'ai 4 boosts ou moins, je perds Fugace .</t>
  </si>
  <si>
    <t>Disciple Studieux</t>
  </si>
  <si>
    <t>Apprenti , Mage</t>
  </si>
  <si>
    <t>Effet de soutien : : Le prochain Sort que vous jouez ce tour coûte de moins. (Défaussez-moi de la Réserve pour ça.)</t>
  </si>
  <si>
    <t>Effet de réserve : Le prochain Sort que vous jouez cet Après-midi coûte de moins. Effet de soutien : : Le prochain Sort que vous jouez ce tour coûte de moins. (Défaussez-moi de la Réserve pour ça.)</t>
  </si>
  <si>
    <t>Dissémination de Sève</t>
  </si>
  <si>
    <t>Les Personnages dans votre Réserve gagnent 1 boost.</t>
  </si>
  <si>
    <t>Fugace . Doublez le nombre de boosts de chaque Personnage que vous contrôlez et dans votre Réserve.</t>
  </si>
  <si>
    <t>Djinn Fulgurant</t>
  </si>
  <si>
    <t>Élémentaire</t>
  </si>
  <si>
    <t>Repérage . (Vous pouvez me jouer de votre main pour avec « Effet de main : Envoyez-moi en Réserve ».) Effet flèche : Vous pouvez mettre une carte de votre Réserve dans votre zone de Mana (en tant qu'Orbe de Mana épuisé) .</t>
  </si>
  <si>
    <t>Repérage . (Vous pouvez me jouer de votre main pour avec « Effet de main : Envoyez-moi en Réserve ».) Effet flèche : Vous pouvez mettre une carte de votre Réserve dans votre zone de Mana en tant qu'Orbe de Mana redressé.</t>
  </si>
  <si>
    <t>Don de Soi</t>
  </si>
  <si>
    <t>Fugace . (Envoyez-moi à la Défausse plutôt qu'en Réserve après résolution de mon effet.) Sacrifiez un Personnage. Si vous le faites, piochez deux cartes.</t>
  </si>
  <si>
    <t>Fugace . (Envoyez-moi à la Défausse plutôt qu'en Réserve après résolution de mon effet.) Sacrifiez un Personnage. Si vous le faites, piochez trois cartes .</t>
  </si>
  <si>
    <t>Dong Da Shen</t>
  </si>
  <si>
    <t>Bureaucrate , Divinité</t>
  </si>
  <si>
    <t>Effet flèche : Vous pouvez épuiser ( Effet d'épuisement : ) une carte ciblée en Réserve. (Une carte épuisée ne peut pas être jouée et n'a pas de capacité de Soutien.)</t>
  </si>
  <si>
    <t>À Midi — Vous pouvez épuiser ( Effet d'épuisement : ) une carte ciblée en Réserve. (Une carte épuisée ne peut pas être jouée et n'a pas de capacité de Soutien.)</t>
  </si>
  <si>
    <t>Dorothy Gale</t>
  </si>
  <si>
    <t>Effet de main : Vous pouvez envoyer un Personnage ciblé en Réserve.</t>
  </si>
  <si>
    <t>Effet flèche : Vous pouvez envoyer un Personnage ciblé en Réserve.</t>
  </si>
  <si>
    <t>Douce Nuit</t>
  </si>
  <si>
    <t>Fugace . Ciblez un Personnage, puis lancez un dé. Sur un résultat de : • 4+, il gagne Ancré . (Au Repos, il ne va pas en Réserve et il perd Ancré.) • 1-3, il gagne Endormi . (Au Crépuscule, ignorez ses statistiques. Au Repos, il ne va pas en Réserve et il perd Endormi.)</t>
  </si>
  <si>
    <t>Fugace . Lancez un dé, puis ciblez un Personnage. Sur un résultat de : • 4+, il gagne Ancré . (Au Repos, il ne va pas en Réserve et il perd Ancré.) • 1-3, il gagne Endormi . (Au Crépuscule, ignorez ses statistiques. Au Repos, il ne va pas en Réserve et il perd Endormi.)</t>
  </si>
  <si>
    <t>Dr Frankenstein</t>
  </si>
  <si>
    <t>Effet de réserve : Vous pouvez activer les capacités Effet flèche : d'un Permanent ciblé que vous contrôlez.</t>
  </si>
  <si>
    <t>Dracaena</t>
  </si>
  <si>
    <t>Dragon , Plante</t>
  </si>
  <si>
    <t>Effet flèche : Je gagne Ancré . (Au Repos, je ne vais pas en Réserve et je perds Ancré.) À Midi — Je gagne 2 boosts .</t>
  </si>
  <si>
    <t>Drone Designer</t>
  </si>
  <si>
    <t>Ingénieur , Robot</t>
  </si>
  <si>
    <t>Effet de réserve : Vous pouvez dépenser 1 compteur d'une carte que vous contrôlez ou dans votre Réserve pour réduire le coût du prochain Permanent que vous jouez cet Après-midi de . Effet continu de réserve : À Midi — Choisissez l'un : • Je gagne 1 boost, jusqu'à un max de 3. • Effet d'épuisement : : Je gagne 2 boosts, jusqu'à un max de 3.</t>
  </si>
  <si>
    <t>Effet de réserve : Vous pouvez dépenser 1 compteur d'une carte que vous contrôlez ou dans votre Réserve pour réduire le coût du prochain Permanent que vous jouez cet Après-midi de . Effet continu de réserve : Lorsqu'un autre Personnage rejoint vos Expéditions — Je gagne 1 boost, jusqu'à un max de 2.</t>
  </si>
  <si>
    <t>Drone Ratisseur</t>
  </si>
  <si>
    <t>Effet de réserve : Vous pouvez dépenser 1 de mes boosts pour Ravitailler . (Mettez la première carte de votre deck en Réserve.) Effet continu de réserve : À Midi — Choisissez l'un : • Je gagne 1 boost, jusqu'à un max de 3. • Effet d'épuisement : : Je gagne 2 boosts, jusqu'à un max de 3.</t>
  </si>
  <si>
    <t>Effet de réserve : Vous pouvez dépenser 1 compteur d'une carte que vous contrôlez ou dans votre Réserve pour Ravitailler . Effet continu de réserve : À Midi — Choisissez l'un : • Je gagne 1 boost, jusqu'à un max de 3. • Effet d'épuisement : : Je gagne 2 boosts, jusqu'à un max de 3.</t>
  </si>
  <si>
    <t>Effet de réserve : Vous pouvez dépenser 1 compteur d'une carte que vous contrôlez ou dans votre Réserve pour Ravitailler . Effet continu de réserve : Lorsque vous jouez un autre Personnage avec une stat de base 0 — Je gagne 1 boost, jusqu'à un max de 2.</t>
  </si>
  <si>
    <t>Druide Muna</t>
  </si>
  <si>
    <t>Druide</t>
  </si>
  <si>
    <t>Effet de soutien : : Un Personnage ciblé de Coût de Main ou moins gagne Ancré . (Défaussez-moi de la Réserve pour ça.)</t>
  </si>
  <si>
    <t>Effet de main : Jusqu'à une Plante ciblée gagne 2 boosts. Effet de soutien : : Un Personnage ciblé de Coût de Main ou moins gagne Ancré . (Défaussez-moi de la Réserve pour ça.)</t>
  </si>
  <si>
    <t>Duel de Cran</t>
  </si>
  <si>
    <t>Fugace . (Envoyez-moi à la Défausse plutôt qu'en Réserve après résolution de mon effet.) Envoyez en Réserve un Personnage ciblé de Coût de Main inférieur ou égal au Coût de Main d'un Personnage que vous contrôlez.</t>
  </si>
  <si>
    <t>Fugace . Défaussez un Personnage ciblé de Coût de Main inférieur ou égal au Coût de Main d'un Personnage que vous contrôlez.</t>
  </si>
  <si>
    <t>Duende de Sève</t>
  </si>
  <si>
    <t>Fugace . (Envoyez-moi à la Défausse plutôt qu'en Réserve après résolution de mon effet.) Ciblez deux Personnages Boostés en jeu ou en Réserve et échangez leurs boosts.</t>
  </si>
  <si>
    <t>Fugace . Ciblez deux Personnages en jeu ou en Réserve et échangez leurs boosts.</t>
  </si>
  <si>
    <t>Effet flèche : Si vous contrôlez un Personnage Fugace , je gagne 1 boost.</t>
  </si>
  <si>
    <t>Effet flèche : Je gagne 1 boost par Personnage Fugace que vous contrôlez.</t>
  </si>
  <si>
    <t>Débordement de Sève</t>
  </si>
  <si>
    <t>Fugace . (Envoyez-moi à la Défausse plutôt qu'en Réserve après résolution de mon effet.) Défaussez un Personnage ciblé en jeu ou en Réserve.</t>
  </si>
  <si>
    <t>Fugace . Choisissez l'un : • Dépensez 1 compteur d'une carte que vous contrôlez ou dans votre Réserve pour défausser un Permanent ciblé. • Défaussez un Personnage ciblé en jeu ou en Réserve.</t>
  </si>
  <si>
    <t>Décharge de Kélon</t>
  </si>
  <si>
    <t>Fugace . (Envoyez-moi à la Défausse plutôt qu'en Réserve après résolution de mon effet.) Choisissez l'un : • Envoyez en Réserve un Personnage ciblé avec un Coût de Main ou moins. • Défaussez un Permanent ciblé avec un Coût de Main ou moins.</t>
  </si>
  <si>
    <t>Fugace . Choisissez l'un : • Envoyez en Réserve un Personnage ciblé avec un Coût de Main ou moins. • Défaussez un Permanent ciblé avec un Coût de Main ou moins. Si vous contrôlez au moins deux Repères, créez un jeton Robot 2/2/2 Scarabot dans une Expédition ciblée.</t>
  </si>
  <si>
    <t>Dédale</t>
  </si>
  <si>
    <t>Effet de main : Ciblez un Personnage en Réserve, puis lancez un dé. Sur : • 4+, nous gagnons tous les deux 1 boost. • 1-3, il gagne 1 boost.</t>
  </si>
  <si>
    <t>Repérage . (Vous pouvez me jouer de votre main pour avec « Effet de main : Envoyez-moi en Réserve ».) Effet flèche : Ciblez un autre Personnage en jeu ou en Réserve, puis lancez un dé. Sur : • 4+, nous gagnons tous les deux 1 boost. • 1-3, il gagne 1 boost.</t>
  </si>
  <si>
    <t>Plante , Divinité</t>
  </si>
  <si>
    <t>Si je suis en forêt , je suis Éternelle . (Au Repos, je ne vais pas en Réserve.)</t>
  </si>
  <si>
    <t>7</t>
  </si>
  <si>
    <t>Effet flèche : Un Personnage ciblé gagne Ancré . Si je suis en forêt , je suis Éternelle . (Au Repos, je ne vais pas en Réserve.)</t>
  </si>
  <si>
    <t>Ebenezer Scrooge</t>
  </si>
  <si>
    <t>Les cartes jouées depuis la Réserve coûtent de moins, jusqu'à un minimum de . (D'autres effets peuvent réduire ce coût davantage.) Effet de soutien : : Un Personnage ciblé que vous contrôlez de Coût de Main ou moins gagne Endormi . (Défaussez-moi de la Réserve pour ça.)</t>
  </si>
  <si>
    <t>Les cartes jouées depuis la Réserve coûtent de plus. Effet de soutien : : Un Personnage ciblé que vous contrôlez de Coût de Main ou moins gagne Endormi . (Défaussez-moi de la Réserve pour ça.)</t>
  </si>
  <si>
    <t>Efrén, Marionnettiste</t>
  </si>
  <si>
    <t>Effet de main : Lancez un dé : • Sur 4+, Sabotez . • Sur 1-3, Ravitaillez .</t>
  </si>
  <si>
    <t>Repérage . (Vous pouvez me jouer de votre main pour avec « Effet de main : Envoyez-moi en Réserve ».) Effet de main : Lancez un dé : • Sur 4+, Sabotez . • Sur 1-3, Ravitaillez .</t>
  </si>
  <si>
    <t>Embrasement de Mana</t>
  </si>
  <si>
    <t>Fugace . Jouez immédiatement un Personnage pour de moins. Il gagne Fugace . (S'il devait être envoyé en Réserve, défaussez-le à la place.)</t>
  </si>
  <si>
    <t>Fugace . (Envoyez-moi à la Défausse plutôt qu'en Réserve après résolution de mon effet.) Jouez immédiatement un Personnage pour de moins.</t>
  </si>
  <si>
    <t>Fugace . (Envoyez-moi à la Défausse plutôt qu'en Réserve après résolution de mon effet.) Jouez immédiatement un Sort pour de moins.</t>
  </si>
  <si>
    <t>Encrière de l'Ouroboros</t>
  </si>
  <si>
    <t>Lorsque je vais en Réserve depuis la zone d'Expédition — Vous pouvez renvoyer une autre carte de votre Réserve dans votre main.</t>
  </si>
  <si>
    <t>Lorsque je vais en Réserve depuis la zone d'Expédition — Vous pouvez renvoyer une autre carte de votre Réserve dans votre main. Effet de soutien : : La prochaine carte que vous jouez ce tour coûte de moins. (Défaussez-moi de la Réserve pour ça.)</t>
  </si>
  <si>
    <t>Entasseur Magpeng</t>
  </si>
  <si>
    <t>Effet flèche : Si vous avez au moins deux cartes en Réserve, je gagne 1 boost et Fugace . (Si je devais être envoyé en Réserve, défaussez-moi à la place.)</t>
  </si>
  <si>
    <t>Effet flèche : Si vous avez au moins deux cartes en Réserve, je gagne 2 boosts et Fugace . (Si je devais être envoyé en Réserve, défaussez-moi à la place.)</t>
  </si>
  <si>
    <t>Entomologiste Yzmir</t>
  </si>
  <si>
    <t>Repérage . (Vous pouvez me jouer de votre main pour avec « Effet de main : Envoyez-moi en Réserve ».) Effet de main : Créez un jeton Illusion 2/2/2 Phalène de Mana dans une Expédition ciblée.</t>
  </si>
  <si>
    <t>Entraînement A Cappella</t>
  </si>
  <si>
    <t>Un Personnage ciblé gagne Fugace . (S'il devait être envoyé en Réserve, défaussez-le à la place.)</t>
  </si>
  <si>
    <t>Fugace . Un Personnage ciblé gagne Fugace . (S'il devait être envoyé en Réserve, défaussez-le à la place.) Piochez une carte.</t>
  </si>
  <si>
    <t>Entraînement Magique</t>
  </si>
  <si>
    <t>Piochez une carte.</t>
  </si>
  <si>
    <t>Entraînement Mécanique</t>
  </si>
  <si>
    <t>Activez les capacités Effet flèche : d'un Permanent ciblé que vous contrôlez.</t>
  </si>
  <si>
    <t>Activez les capacités Effet flèche : de jusqu'à deux Permanents ciblés que vous contrôlez.</t>
  </si>
  <si>
    <t>Activez les capacités Effet flèche : d'un Personnage ciblé que vous contrôlez.</t>
  </si>
  <si>
    <t>Entraînement Physique</t>
  </si>
  <si>
    <t>Un Personnage ciblé gagne 3 boosts . (Un boost est un compteur +1/+1/+1. Retirez-le lorsqu'il quitte la zone d'Expédition.)</t>
  </si>
  <si>
    <t>Un Personnage ciblé gagne 3 boosts . (Un boost est un compteur +1/+1/+1. Retirez-le lorsqu'il quitte la zone d'Expédition.) Piochez une carte.</t>
  </si>
  <si>
    <t>Entraînement à l'Esprit d'Équipe</t>
  </si>
  <si>
    <t>Fugace . (Envoyez-moi à la Défausse plutôt qu'en Réserve après résolution de mon effet.) Envoyez en Réserve un Personnage ciblé avec un Coût de Main ou moins, où X est le nombre de Personnages que vous contrôlez.</t>
  </si>
  <si>
    <t>Fugace . (Envoyez-moi à la Défausse plutôt qu'en Réserve après résolution de mon effet.) Créez un jeton Soldat 1/1/1 Recrue Ordis dans une Expédition ciblée. Envoyez en Réserve un Personnage ciblé avec un Coût de Main ou moins, où X est le nombre de Personnages que vous contrôlez.</t>
  </si>
  <si>
    <t>Entraînement à la Méditation</t>
  </si>
  <si>
    <t>Un Personnage ciblé de Coût de Main ou moins gagne Ancré . (Au Repos, il ne va pas en Réserve et il perd Ancré.)</t>
  </si>
  <si>
    <t>Un Personnage ciblé de Coût de Main ou moins gagne Ancré . (Au Repos, il ne va pas en Réserve et il perd Ancré.) Effet de soutien : : Le prochain Personnage que vous jouez ce tour gagne 1 boost. (Défaussez-moi de la Réserve pour ça.)</t>
  </si>
  <si>
    <t>Esmeralda</t>
  </si>
  <si>
    <t>Effet de main : Ravitaillez . (Mettez la première carte de votre deck en Réserve.)</t>
  </si>
  <si>
    <t>Effet flèche : Ravitaillez . (Mettez la première carte de votre deck en Réserve.)</t>
  </si>
  <si>
    <t>Espionnage</t>
  </si>
  <si>
    <t>Fugace . (Envoyez-moi à la Défausse plutôt qu'en Réserve après résolution de mon effet.) Sabotez , puis Ravitaillez . (Défaussez jusqu'à une carte d'une Réserve. Mettez la première carte de votre deck en Réserve.)</t>
  </si>
  <si>
    <t>Sabotez , puis Ravitaillez . (Défaussez jusqu'à une carte d'une Réserve. Mettez la première carte de votre deck en Réserve.)</t>
  </si>
  <si>
    <t>Espionne Ordis</t>
  </si>
  <si>
    <t>Effet de main : Sabotez . (Défaussez jusqu'à une carte d'une Réserve.) Effet de réserve : Créez un jeton Soldat 1/1/1 Recrue Ordis dans mon Expédition.</t>
  </si>
  <si>
    <t>Essaim de Libellumines</t>
  </si>
  <si>
    <t>Effet flèche : Je gagne Ancré . (Au Repos, je ne vais pas en Réserve et je perds Ancré.) À Midi — Un Personnage ciblé en jeu ou en Réserve gagne 1 boost.</t>
  </si>
  <si>
    <t>Effet flèche : Je gagne Ancré . À Midi — Jusqu'à deux Personnages ciblés en jeu ou en Réserve gagnent chacun 1 boost.</t>
  </si>
  <si>
    <t>Effet flèche : Je gagne Ancré . À Midi — Un Personnage ciblé en jeu ou en Réserve gagne 1 boost.</t>
  </si>
  <si>
    <t>Excavateur Bravos</t>
  </si>
  <si>
    <t>Lorsque je quitte la zone d'Expédition, pour chacun de mes boosts — Un autre Personnage ciblé dans votre Réserve gagne 1 boost.</t>
  </si>
  <si>
    <t>Lorsque je quitte la zone d'Expédition, pour chacun de mes boosts — Vous pouvez Amplifier une carte ciblée en jeu ou en Réserve. (Si elle a des compteurs, elle en gagne 1 de plus. Cet effet ne peut cibler une carte Héros.)</t>
  </si>
  <si>
    <t>Lorsque je quitte la zone d'Expédition, pour chacun de mes boosts — Un autre Personnage ciblé dans votre Réserve gagne 1 boost. Effet continu de réserve : Lorsque vous jouez un autre Personnage — Je gagne 1 boost, jusqu'à un max de 3.</t>
  </si>
  <si>
    <t>Explosion Céleste</t>
  </si>
  <si>
    <t>Fugace . (Envoyez-moi à la Défausse plutôt qu'en Réserve après résolution de mon effet.) Défaussez jusqu'à deux cibles, Personnages ou Permanents.</t>
  </si>
  <si>
    <t>Fugace . (Envoyez-moi à la Défausse plutôt qu'en Réserve après résolution de mon effet.) Défaussez jusqu'à deux cibles, Personnages ou Permanents. Piochez une carte.</t>
  </si>
  <si>
    <t>Extracteur de Sève</t>
  </si>
  <si>
    <t>Construction</t>
  </si>
  <si>
    <t>À Midi — Vous pouvez Amplifier une carte ciblée en jeu ou en Réserve. (Si elle a des compteurs, elle en gagne 1 de plus. Cet effet ne peut cibler une carte Héros.)</t>
  </si>
  <si>
    <t>À Midi — Amplifiez n'importe quel nombre de cartes ciblées en jeu ou en Réserve. (Si elles ont des compteurs, elles en gagnent 1 de plus. Cet effet ne peut cibler une carte Héros.)</t>
  </si>
  <si>
    <t>Fan de Bliss</t>
  </si>
  <si>
    <t>Lorsqu'un Personnage dans votre Réserve gagne au moins 1 boost — Je gagne 1 boost.</t>
  </si>
  <si>
    <t>Lorsqu'un Personnage dans votre Réserve gagne au moins 1 boost — Un Personnage ciblé gagne 1 boost.</t>
  </si>
  <si>
    <t>Fen &amp; Crowbar</t>
  </si>
  <si>
    <t>Le Matin, piochez une seule carte. Puis, mettez la première carte de votre deck dans votre zone de Mana, au lieu d'une carte de votre main. À Midi — Ravitaillez . (Mettez la première carte de votre deck en Réserve.) Ignorez mes capacités le premier Jour.</t>
  </si>
  <si>
    <t>Festin de Pensées</t>
  </si>
  <si>
    <t>Conjuration , Interférence</t>
  </si>
  <si>
    <t>Choisissez X+1, X étant mon nombre de compteurs Arcane : • Piochez une carte. • Créez un jeton Illusion 2/2/2 Phalène de Mana dans une Expédition ciblée. • Retirez 3 compteurs d'une carte ciblée en jeu ou en Réserve. • Sabotez . Effet continu de réserve : Lorsque vous jouez un autre Sort — Je gagne 1 compteur Arcane, jusqu'à un max de 3.</t>
  </si>
  <si>
    <t>Choisissez X+1, X étant mon nombre de compteurs Arcane : • Piochez une carte. • Créez un jeton Illusion 2/2/2 Phalène de Mana dans une Expédition ciblée. • Retirez 3 compteurs d'une carte ciblée en jeu ou en Réserve. • Sabotez . Effet continu de réserve : Lorsqu' un Personnage rejoint vos Expéditions — Je gagne 1 compteur Arcane, jusqu'à un max de 3.</t>
  </si>
  <si>
    <t>Choisissez X+1, X étant mon nombre de compteurs Arcane. Vous pouvez choisir la même option plusieurs fois : • Piochez une carte. • Créez un jeton Illusion 2/2/2 Phalène de Mana dans une Expédition ciblée. • Retirez 3 compteurs d'une carte ciblée en jeu ou en Réserve. • Sabotez . Effet continu de réserve : Lorsque vous jouez un autre Sort — Je gagne 1 compteur Arcane, jusqu'à un max de 6.</t>
  </si>
  <si>
    <t>Festival Lyra</t>
  </si>
  <si>
    <t>Effet flèche : Piochez une carte. Au Crépuscule, si vous contrôlez un Personnage Fugace , un autre Personnage Ancré , et encore un Personnage Endormi — vous gagnez la partie.</t>
  </si>
  <si>
    <t>Effet flèche : Un Personnage ciblé gagne Fugace , Ancré ou Endormi . Au Crépuscule, si vous contrôlez un Personnage Fugace , un autre Personnage Ancré , et encore un Personnage Endormi — vous gagnez la partie.</t>
  </si>
  <si>
    <t>Feu Follet</t>
  </si>
  <si>
    <t>Si une Expédition qui me fait face est en océan , elle ne peut pas avancer, sauf grâce à océan . Effet de soutien : : La prochaine carte que vous jouez ce tour coûte de moins. (Défaussez-moi de la Réserve pour ça.)</t>
  </si>
  <si>
    <t>Si une Expédition qui me fait face est en forêt , elle ne peut pas avancer, sauf grâce à forêt . Effet de soutien : : La prochaine carte que vous jouez ce tour coûte de moins. (Défaussez-moi de la Réserve pour ça.)</t>
  </si>
  <si>
    <t>Fille d'Yggdrasil</t>
  </si>
  <si>
    <t>Effet de main : L'adversaire ciblé pioche une carte.</t>
  </si>
  <si>
    <t>Effet de main : Chaque joueur pioche une carte.</t>
  </si>
  <si>
    <t>Fils d'Yggdrasil</t>
  </si>
  <si>
    <t>Gigantesque . (Je suis considéré présent dans chacune de vos Expéditions.) Coriace 1 . (Les Sorts et capacités d'un adversaire qui me ciblent coûtent de plus.) Effet de soutien : : Un Personnage ciblé de Coût de Main ou moins gagne Ancré . (Défaussez-moi de la Réserve pour ça.)</t>
  </si>
  <si>
    <t>Fiore dei Liberi</t>
  </si>
  <si>
    <t>Noble , Soldat</t>
  </si>
  <si>
    <t>Si je suis Boosté , je suis Éternel . (Au Repos, je ne vais pas en Réserve.) Effet flèche : Je gagne 1 boost pour chaque autre Personnage dans mon Expédition, puis envoyez-les tous en Réserve. À la tombée de la Nuit — Je perds 1 boost.</t>
  </si>
  <si>
    <t>Flamel</t>
  </si>
  <si>
    <t>Effet de main : Vous pouvez renvoyer un Sort de votre Réserve dans votre main. Effet de soutien : : Le prochain Sort que vous jouez ce tour coûte de moins. (Défaussez-moi de la Réserve pour ça.)</t>
  </si>
  <si>
    <t>Effet de main : Ravitaillez . Puis, vous pouvez renvoyer un Sort de votre Réserve dans votre main. (Mettez la première carte de votre deck en Réserve.) Effet de soutien : : Le prochain Sort que vous jouez ce tour coûte de moins. (Défaussez-moi de la Réserve pour ça.)</t>
  </si>
  <si>
    <t>Flore, Maraîchère Attentive</t>
  </si>
  <si>
    <t>Fouisseur Nouch</t>
  </si>
  <si>
    <t>Lorsqu'un adversaire pioche au moins une carte ou Ravitaille — Je gagne 1 boost.</t>
  </si>
  <si>
    <t>Fragment d'Éther</t>
  </si>
  <si>
    <t>À Midi — Piochez une carte.</t>
  </si>
  <si>
    <t>Effet flèche : Piochez une carte. À Midi — Piochez une carte.</t>
  </si>
  <si>
    <t>Franchir le Bifröst</t>
  </si>
  <si>
    <t>Fugace . (Envoyez-moi à la Défausse plutôt qu'en Réserve après résolution de mon effet.) Chaque Personnage que vous contrôlez change d'Expédition. (Il quitte son Expédition et rejoint l'autre Expédition de son contrôleur.)</t>
  </si>
  <si>
    <t>Fugace . (Envoyez-moi à la Défausse plutôt qu'en Réserve après résolution de mon effet.) Chaque Personnage contrôlé par le joueur ciblé change d'Expédition. (Il quitte son Expédition et rejoint l'autre Expédition de son contrôleur.)</t>
  </si>
  <si>
    <t>Furie du Kraken</t>
  </si>
  <si>
    <t>Fugace . (Envoyez-moi à la Défausse plutôt qu'en Réserve après résolution de mon effet.) Envoyez en Réserve jusqu'à trois Personnages ciblés avec un Coût de Main total de ou moins.</t>
  </si>
  <si>
    <t>Fugace . (Envoyez-moi à la Défausse plutôt qu'en Réserve après résolution de mon effet.) Envoyez en Réserve jusqu'à quatre Personnages ciblés avec un Coût de Main total de ou moins .</t>
  </si>
  <si>
    <t>Fée Clochette</t>
  </si>
  <si>
    <t>Fée</t>
  </si>
  <si>
    <t>Effet de réserve : Sabotez . (Défaussez jusqu'à une carte d'une Réserve.)</t>
  </si>
  <si>
    <t>Fée des Dents</t>
  </si>
  <si>
    <t>Galeries Saisies par les Glaces</t>
  </si>
  <si>
    <t>Lorsqu'une carte va en Réserve depuis votre deck ou votre main — Je gagne 1 compteur Épreuve. Lorsque je gagne mon troisième compteur Épreuve — Sacrifiez-moi. Si vous le faites, créez un jeton Illusion 5/5/5 Reflet Draconique dans une Expédition ciblée, puis redressez toutes les cartes dans votre Réserve.</t>
  </si>
  <si>
    <t>Ganesh</t>
  </si>
  <si>
    <t>Effet flèche : Pour chaque Permanent que vous contrôlez, vous pouvez activer ses capacités Effet flèche : .</t>
  </si>
  <si>
    <t>Effet flèche : Pour chaque autre Personnage que vous contrôlez, vous pouvez activer ses capacités Effet flèche : .</t>
  </si>
  <si>
    <t>Gardienne Ordis</t>
  </si>
  <si>
    <t>Effet flèche : Créez un jeton Soldat 1/1/1 Recrue Ordis dans votre autre Expédition.</t>
  </si>
  <si>
    <t>Effet flèche : Un Personnage ciblé dans votre autre Expédition gagne 2 boosts .</t>
  </si>
  <si>
    <t>Effet flèche : Créez un jeton Soldat 1/1/1 Recrue Ordis dans chacune de vos Expéditions.</t>
  </si>
  <si>
    <t>Gel</t>
  </si>
  <si>
    <t>Rafraîchissement . (Si je vais en Réserve après résolution de mon effet, épuisez-moi Effet d'épuisement : .) Envoyez un Personnage ciblé en Réserve, puis épuisez-le ( Effet d'épuisement : ) . (Une carte épuisée ne peut pas être jouée et n'a pas de capacité de Soutien.)</t>
  </si>
  <si>
    <t>Rafraîchissement . (Si je vais en Réserve après résolution de mon effet, épuisez-moi Effet d'épuisement : .) Envoyez un Personnage ciblé en Réserve, puis épuisez-le ( Effet d'épuisement : ) .</t>
  </si>
  <si>
    <t>Lorsque je gagne Fugace — Je gagne 1 boost. Je peux gagner Fugace même si j'étais déjà Fugace .</t>
  </si>
  <si>
    <t>Si je devais gagner Fugace , je gagne 1 boost à la place.</t>
  </si>
  <si>
    <t>Gestionnaire de Pénurie</t>
  </si>
  <si>
    <t>Effet de réserve : Si votre main est vide, je gagne 1 boost.</t>
  </si>
  <si>
    <t>Effet de réserve : Si votre main est vide, je gagne 2 boosts. Sinon, je gagne 1 boost.</t>
  </si>
  <si>
    <t>Geyser</t>
  </si>
  <si>
    <t>Renvoyez un Personnage ou Permanent ciblé dans la main de son propriétaire, puis mettez-moi dans votre zone de Mana (en tant qu'Orbe de Mana épuisé) .</t>
  </si>
  <si>
    <t>Gibil</t>
  </si>
  <si>
    <t>Ingénieur , Divinité</t>
  </si>
  <si>
    <t>Effet flèche : Créez un jeton Robot 2/2/2 Scarabot dans une Expédition ciblée. Effet de soutien : : Activez les capacités Effet flèche : d'un Permanent ciblé que vous contrôlez. (Défaussez-moi de la Réserve pour ça.)</t>
  </si>
  <si>
    <t>Effet flèche : Si vous contrôlez au moins deux Permanents, créez deux jetons Robot 2/2/2 Scarabot dans une Expédition ciblée. Sinon, créez-en un seul. Effet de soutien : : Activez les capacités Effet flèche : d'un Permanent ciblé que vous contrôlez. (Défaussez-moi de la Réserve pour ça.)</t>
  </si>
  <si>
    <t>Givre</t>
  </si>
  <si>
    <t>Épuisez ( Effet d'épuisement : ) une carte ciblée en Réserve. (Une carte épuisée ne peut pas être jouée et n'a pas de capacité de Soutien.)</t>
  </si>
  <si>
    <t>Choisissez l'un : • Défaussez une carte épuisée ciblée d'une Réserve. • Épuisez ( Effet d'épuisement : ) une carte ciblée en Réserve. (Une carte épuisée ne peut pas être jouée et n'a pas de capacité de Soutien.)</t>
  </si>
  <si>
    <t>Grand Bois</t>
  </si>
  <si>
    <t>Effet flèche : Vous pouvez faire piocher une carte à un adversaire ciblé. Si vous le faites, je gagne Ancré . (Au Repos, je ne vais pas en Réserve et je perds Ancré.) Effet continu de réserve : À Midi — Je gagne 1 boost, jusqu'à un max de 2.</t>
  </si>
  <si>
    <t>Effet flèche : Vous pouvez faire piocher une carte à un adversaire ciblé. Si vous le faites, je gagne Ancré . Lorsqu'un adversaire pioche au moins une carte ou Ravitaille — Je gagne 1 boost. Effet continu de réserve : À Midi — Je gagne 1 boost, jusqu'à un max de 2.</t>
  </si>
  <si>
    <t>Effet flèche : Vous pouvez faire piocher une carte à un adversaire ciblé. Si vous le faites, je gagne Ancré . Lorsqu'un adversaire pioche au moins une carte ou Ravitaille — Je gagne 1 boost. Effet continu de réserve : Lorsqu'un autre Personnage rejoint vos Expéditions — Je gagne 1 boost, jusqu'à un max de 2.</t>
  </si>
  <si>
    <t>Grand Projet</t>
  </si>
  <si>
    <t>À Midi — Une Expédition ciblée avance d'une région.</t>
  </si>
  <si>
    <t>Coriace 2 . (Les Sorts et capacités d'un adversaire qui me ciblent coûtent de plus.) À Midi — Une Expédition ciblée avance d'une région.</t>
  </si>
  <si>
    <t>Griffonneur Étoilé</t>
  </si>
  <si>
    <t>Effet de réserve : Vous pouvez dépenser 1 de mes boosts pour piocher une carte. Effet continu de réserve : Lorsque vous jouez un autre Personnage avec une stat de base 0 — Je gagne 1 boost, jusqu'à un max de 2.</t>
  </si>
  <si>
    <t>Effet de réserve : Vous pouvez dépenser 1 de mes boosts pour piocher une carte. Effet continu de réserve : Lorsque vous jouez un Sort — Je gagne 1 boost, jusqu'à un max de 2.</t>
  </si>
  <si>
    <t>Guerrière de Havre</t>
  </si>
  <si>
    <t>Effet de soutien : : Le prochain Personnage que vous jouez ce tour gagne 1 boost. (Défaussez-moi de la Réserve pour ça.)</t>
  </si>
  <si>
    <t>Gulrang &amp; Tocsin</t>
  </si>
  <si>
    <t>Lorsque vous créez un jeton Personnage — Il gagne 1 boost. Si vous avez moins de huit Orbes de Mana, les jetons Boostés que vous contrôlez sont Défenseurs . (Leurs Expéditions ne peuvent pas avancer au Crépuscule.)</t>
  </si>
  <si>
    <t>Générateur Kélonique</t>
  </si>
  <si>
    <t>Effet d'épuisement : : Piochez une carte.</t>
  </si>
  <si>
    <t>Happé</t>
  </si>
  <si>
    <t>Un Personnage ciblé change d'Expédition. (Il quitte son Expédition et rejoint l'autre Expédition de son contrôleur.)</t>
  </si>
  <si>
    <t>Un Personnage ciblé change d'Expédition. (Il quitte son Expédition et rejoint l'autre Expédition de son contrôleur.) Piochez une carte.</t>
  </si>
  <si>
    <t>Haricots Magiques</t>
  </si>
  <si>
    <t>Effet flèche : Un Personnage ciblé dans mon Expédition gagne 1 boost. Ma région est forêt en plus de ses autres terrains.</t>
  </si>
  <si>
    <t>Effet flèche : Un Personnage ciblé dans mon Expédition gagne 1 boost. Ma région et la région de l'Expédition qui me fait face sont forêt et perdent leurs autres terrains.</t>
  </si>
  <si>
    <t>Hathor</t>
  </si>
  <si>
    <t>Effet de soutien : : Renvoyez une autre carte de votre Réserve dans votre main. (Défaussez-moi de la Réserve pour ça.)</t>
  </si>
  <si>
    <t>Havre, Bastion Bravos</t>
  </si>
  <si>
    <t>Vos Personnages ont : « Effet de réserve : Je gagne 1 boost . » (Un boost est un compteur +1/+1/+1. Retirez-le lorsqu'il quitte la zone d'Expédition.)</t>
  </si>
  <si>
    <t>Effet flèche : Ravitaillez . (Mettez la première carte de votre deck en Réserve.) Effet d'épuisement : : Le prochain Personnage que vous jouez depuis votre Réserve ce tour-ci gagne 1 boost.</t>
  </si>
  <si>
    <t>Effet flèche : Ravitaillez . (Mettez la première carte de votre deck en Réserve.) Vos Personnages ont : « Effet de réserve : Je gagne 1 boost. »</t>
  </si>
  <si>
    <t>Heimdall</t>
  </si>
  <si>
    <t>Soldat , Divinité</t>
  </si>
  <si>
    <t>Effet de main : Vous pouvez changer un Personnage ciblé d'Expédition. (Il quitte son Expédition et rejoint l'autre Expédition de son contrôleur.)</t>
  </si>
  <si>
    <t>Effet de main : Vous pouvez changer un Personnage ou Permanent d'Expédition ciblé d'Expédition. (Il quitte son Expédition et rejoint l'autre Expédition de son contrôleur.)</t>
  </si>
  <si>
    <t>Hestia</t>
  </si>
  <si>
    <t>Repérage . (Vous pouvez me jouer de votre main pour avec « Effet de main : Envoyez-moi en Réserve ».) Effet continu de réserve : Lorsque vous jouez un autre Personnage — Vous pouvez payer pour qu'il gagne 1 boost.</t>
  </si>
  <si>
    <t>Hua Mulan</t>
  </si>
  <si>
    <t>Effet de réserve : Je perds Fugace .</t>
  </si>
  <si>
    <t>Hub des Scarabots</t>
  </si>
  <si>
    <t>Effet flèche : Je gagne 3 compteurs Kélon. À Midi — Vous pouvez payer et dépenser 1 de mes compteurs Kélon pour créer un jeton Robot 2/2/2 Scarabot dans une Expédition ciblée.</t>
  </si>
  <si>
    <t>Hydracaena</t>
  </si>
  <si>
    <t>Éternel . (Au Repos, je ne vais pas en Réserve.) Effet flèche : Je gagne 4 boosts. À Midi — Je gagne 4 boosts.</t>
  </si>
  <si>
    <t>Éternel . (Au Repos, je ne vais pas en Réserve.) Coriace X , X étant le nombre de Plantes que vous contrôlez. (Les Sorts et capacités d'un adversaire qui me ciblent coûtent de plus.) Effet flèche : Je gagne 4 boosts. À Midi — Je gagne 4 boosts.</t>
  </si>
  <si>
    <t>Hydre de Lerne</t>
  </si>
  <si>
    <t>Dragon</t>
  </si>
  <si>
    <t>Effet flèche : Je gagne 1 boost par Orbe de Mana dans votre zone de Mana.</t>
  </si>
  <si>
    <t>Hypothermie</t>
  </si>
  <si>
    <t>Chaque joueur choisit un Personnage qu'il contrôle. Il gagne Endormi . (Vous choisissez en premier. Au Crépuscule, ignorez les statistiques des Personnages Endormis. Au Repos, ils ne vont pas en Réserve et ils perdent Endormi.)</t>
  </si>
  <si>
    <t>Héraut de Papier</t>
  </si>
  <si>
    <t>Émissaire</t>
  </si>
  <si>
    <t>Effet de soutien : : Créez un jeton Soldat 1/1/1 Recrue Ordis dans une Expédition ciblée. (Défaussez-moi de la Réserve pour ça.)</t>
  </si>
  <si>
    <t>Icare</t>
  </si>
  <si>
    <t>Repérage . (Vous pouvez me jouer de votre main pour avec « Effet de main : Envoyez-moi en Réserve ».) Effet flèche : Redressez toutes les cartes dans votre Réserve.</t>
  </si>
  <si>
    <t>Repérage . (Vous pouvez me jouer de votre main pour avec « Effet de main : Envoyez-moi en Réserve ».) Effet continu de réserve : Vous pouvez jouer les cartes épuisées de votre Réserve.</t>
  </si>
  <si>
    <t>Inari</t>
  </si>
  <si>
    <t>Effet de soutien : : Activez les capacités Effet flèche : d'un Permanent ciblé que vous contrôlez. (Défaussez-moi de la Réserve pour ça.)</t>
  </si>
  <si>
    <t>Indic du Qorgan</t>
  </si>
  <si>
    <t>Bureaucrate , Mage , Émissaire</t>
  </si>
  <si>
    <t>Effet de main : Retirez jusqu'à 2 compteurs d'une carte ciblée en jeu ou en Réserve. (Cet effet ne peut cibler une carte Héros.)</t>
  </si>
  <si>
    <t>Repérage . (Vous pouvez me jouer de votre main pour avec « Effet de main : Envoyez-moi en Réserve ».) Effet de main : Retirez jusqu'à 2 compteurs d'une carte ciblée en jeu ou en Réserve. (Cet effet ne peut cibler une carte Héros.)</t>
  </si>
  <si>
    <t>Infirmière Yzmir</t>
  </si>
  <si>
    <t>Effet de main : Vous pouvez sacrifier un Personnage. Si vous le faites, je gagne 2 boosts.</t>
  </si>
  <si>
    <t>Effet de main : Vous pouvez sacrifier un Robot ou un Permanent. Si vous le faites, je gagne 2 boosts.</t>
  </si>
  <si>
    <t>Effet de main : Vous pouvez sacrifier un Personnage. Si vous le faites, un Personnage ciblé gagne 2 boosts.</t>
  </si>
  <si>
    <t>Infusion de Sève</t>
  </si>
  <si>
    <t>Un Personnage ciblé gagne X+2 boosts, X étant mon nombre de compteurs Arcane. Effet continu de réserve : Lorsque vous jouez un autre Sort — Je gagne 1 compteur Arcane, jusqu'à un max de 3.</t>
  </si>
  <si>
    <t>Faites ce qui suit X+1 fois, X étant mon nombre de compteurs Arcane : • Un Personnage ciblé gagne 1 boost. Effet continu de réserve : Lorsque vous jouez un Personnage — Je gagne 1 compteur Arcane, jusqu'à un max de 3.</t>
  </si>
  <si>
    <t>Faites ce qui suit X+1 fois, X étant mon nombre de compteurs Arcane : • Un Personnage ciblé gagne 1 boost. Effet continu de réserve : Lorsque vous jouez un autre Sort — Je gagne 1 compteur Arcane, jusqu'à un max de 3.</t>
  </si>
  <si>
    <t>Ingénieure de la Fonderie</t>
  </si>
  <si>
    <t>Effet de réserve : Le prochain Permanent que vous jouez cet Après-midi coûte de moins.</t>
  </si>
  <si>
    <t>Effet de réserve : Le prochain Permanent que vous jouez cet Après-midi coûte de moins .</t>
  </si>
  <si>
    <t>Inspecteur Sanitaire</t>
  </si>
  <si>
    <t>Les cartes dans la Réserve de votre adversaire ne peuvent pas gagner de compteurs.</t>
  </si>
  <si>
    <t>Les cartes en jeu ou en Réserve avec des compteurs ne peuvent pas gagner de compteurs. (Cela n'affecte pas les cartes Héros.)</t>
  </si>
  <si>
    <t>Intimidation</t>
  </si>
  <si>
    <t>Fugace . (Envoyez-moi à la Défausse plutôt qu'en Réserve après résolution de mon effet.) Renvoyez un Personnage ou Permanent ciblé avec un Coût de Main ou moins dans la main de son propriétaire.</t>
  </si>
  <si>
    <t>Invocation de Phalène</t>
  </si>
  <si>
    <t>Rafraîchissement . (Si je vais en Réserve après la résolution de mon effet, épuisez-moi Effet d'épuisement : . Une carte épuisée ne peut pas être jouée et n'a pas de capacité de Soutien.) Créez un jeton Illusion 2/2/2 Phalène de Mana dans une Expédition ciblée.</t>
  </si>
  <si>
    <t>Rafraîchissement . (Si je vais en Réserve après résolution de mon effet, épuisez-moi Effet d'épuisement : .) Créez un jeton Illusion 2/2/2 Phalène de Mana dans chacune de vos Expéditions .</t>
  </si>
  <si>
    <t>Issitoq</t>
  </si>
  <si>
    <t>Votre autre Expédition et l'Expédition qui lui fait face ne peuvent pas avancer. Effet de soutien : : Piochez une carte. (Défaussez-moi de la Réserve pour ça.)</t>
  </si>
  <si>
    <t>Issun-bōshi</t>
  </si>
  <si>
    <t>Effet de réserve : Un Personnage ciblé gagne 1 boost. Effet de soutien : : Le prochain Personnage que vous jouez ce tour gagne 1 boost. (Défaussez-moi de la Réserve pour ça.)</t>
  </si>
  <si>
    <t>Jack Frost</t>
  </si>
  <si>
    <t>Jeanne d'Arc</t>
  </si>
  <si>
    <t>Lorsque je quitte la zone d'Expédition — Créez un jeton Soldat 1/1/1 Recrue Ordis dans chacune de vos Expéditions.</t>
  </si>
  <si>
    <t>Lorsque je quitte la zone d'Expédition — Créez un jeton Robot 2/2/2 Scarabot dans chacune de vos Expéditions.</t>
  </si>
  <si>
    <t>Lorsque je quitte la zone d'Expédition — Créez deux jetons Soldat 1/1/1 Recrue Ordis dans chacune de vos Expéditions.</t>
  </si>
  <si>
    <t>Jian, Superviseur d'Assemblage</t>
  </si>
  <si>
    <t>Jour de Célébration</t>
  </si>
  <si>
    <t>Fugace . (Envoyez-moi à la Défausse plutôt qu'en Réserve après résolution de mon effet.) Une Expédition ciblée ne peut pas avancer ce Jour.</t>
  </si>
  <si>
    <t>Fugace . (Envoyez-moi à la Défausse plutôt qu'en Réserve après résolution de mon effet.) Les Expéditions ne peuvent pas avancer ce Jour.</t>
  </si>
  <si>
    <t>Kaibara, Léviathan Asgarthi</t>
  </si>
  <si>
    <t>Léviathan</t>
  </si>
  <si>
    <t>Gigantesque . (Je suis considéré présent dans chacune de vos Expéditions.) Coriace X , où X est le nombre de régions entre votre Héros et votre Compagnon. (S'ils sont adjacents, X est égal à 0. Les Sorts et capacités d'un adversaire qui me ciblent coûtent de plus.)</t>
  </si>
  <si>
    <t>Kakoba, Commandant de Légion</t>
  </si>
  <si>
    <t>Effet flèche : Si vous contrôlez au moins trois autres Personnages, je gagne 2 boosts . (Les cartes en Réserve ne sont pas contrôlées. Un boost est un compteur +1/+1/+1. Retirez-le lorsqu'il quitte la zone d'Expédition.)</t>
  </si>
  <si>
    <t>Effet flèche : Si vous contrôlez au moins trois autres Personnages, je gagne 3 boosts .</t>
  </si>
  <si>
    <t>Effet flèche : Si vous contrôlez au moins trois autres Personnages, je gagne 3 boosts . (Les cartes en Réserve ne sont pas contrôlées. Un boost est un compteur +1/+1/+1. Retirez-le lorsqu'il quitte la zone d'Expédition.)</t>
  </si>
  <si>
    <t>Kappa</t>
  </si>
  <si>
    <t>Mentor , Esprit</t>
  </si>
  <si>
    <t>Aguerri . (Je conserve mes boosts lorsque je vais en Réserve.) Effet de soutien : : Le prochain Personnage que vous jouez ce tour gagne 1 boost. (Défaussez-moi de la Réserve pour ça.)</t>
  </si>
  <si>
    <t>Kitsune</t>
  </si>
  <si>
    <t>Effet de main : Chaque joueur peut Ravitailler . (Mettre la première carte de son deck en Réserve.)</t>
  </si>
  <si>
    <t>Kodama</t>
  </si>
  <si>
    <t>Plante , Esprit</t>
  </si>
  <si>
    <t>Effet de main : Je gagne Endormi . (Ignorez mes statistiques pendant le Crépuscule. Au Repos, je ne vais pas en Réserve et je perds Endormi.)</t>
  </si>
  <si>
    <t>Effet de main : Je gagne Endormi . (Ignorez mes statistiques pendant le Crépuscule. Au Repos, je ne vais pas en Réserve et je perds Endormi.) Effet de soutien : : Un Personnage ciblé de Coût de Main ou moins gagne Ancré . (Défaussez-moi de la Réserve pour ça.)</t>
  </si>
  <si>
    <t>Kojo &amp; Booda</t>
  </si>
  <si>
    <t>À Midi — Si vous êtes le premier joueur, créez un jeton Compagnon 2/2/2 Booda dans votre Expédition Compagnon.</t>
  </si>
  <si>
    <t>Kuwat, le Dissident</t>
  </si>
  <si>
    <t>Effet flèche : Sacrifiez un Personnage dans mon Expédition.</t>
  </si>
  <si>
    <t>Effet flèche : Sacrifiez un Personnage.</t>
  </si>
  <si>
    <t>L'Affamé</t>
  </si>
  <si>
    <t>Effet de main : Défaussez toutes les autres cartes en jeu ou en Réserve. Lorsqu'une carte va dans la défausse — Je gagne 1 boost.</t>
  </si>
  <si>
    <t>Effet de main : Défaussez toutes les autres cartes en jeu ou en Réserve. Lorsqu'une carte va dans la défausse — Je gagne 1 boost. Si je suis Fugace , je suis Gigantesque .</t>
  </si>
  <si>
    <t>L'Homme dans le Labyrinthe</t>
  </si>
  <si>
    <t>Effet de main : Retirez tous les boosts des Personnages en jeu et en Réserve. Puis, en fonction du nombre de boosts retirés de cette manière : • 1-4 : Je gagne 2 boosts. • 5-8 : Jouez une carte de Coût de Main ou moins gratuitement. • 9+ : Mon Expédition avance d'une région.</t>
  </si>
  <si>
    <t>Effet de main : Retirez tous les boosts des Personnages en jeu et en Réserve. Puis, en fonction du nombre de boosts retirés de cette manière : • 1+ : Je gagne 2 boosts. • 5+ : Jouez une carte de Coût de Main ou moins gratuitement. • 9+ : Mon Expédition avance d'une région.</t>
  </si>
  <si>
    <t>Effet de main : Retirez tous les boosts des Personnages en jeu et en Réserve. Puis, en fonction du nombre de boosts retirés de cette manière : • 1-4 : Je gagne 2 boosts. • 5-8 : Jouez une carte de Coût de Main ou moins gratuitement. • 9+ : l'Expédition qui me fait face recule d'une région.</t>
  </si>
  <si>
    <t>L'Isba de Baba</t>
  </si>
  <si>
    <t>Effet flèche : Piochez une carte. Effet d'épuisement : , Sacrifiez un Personnage : Après vous . (Terminez votre tour comme si vous aviez joué une carte. Vous pouvez encore jouer des cartes plus tard ce Jour.)</t>
  </si>
  <si>
    <t>L'Ouroboros, Bastion Lyra</t>
  </si>
  <si>
    <t>Si vous deviez lancer au moins un dé, lancez un dé supplémentaire et ignorez le résultat du dé de votre choix.</t>
  </si>
  <si>
    <t>Effet flèche : Ravitaillez . Si vous deviez Ravitailler , à la place, révélez les deux premières cartes de votre deck. Mettez-en une en Réserve, et défaussez l'autre.</t>
  </si>
  <si>
    <t>La Demoiselle des Neiges</t>
  </si>
  <si>
    <t>Effet de main : Un adversaire ciblé peut Ravitailler Épuisé . (Il met la première carte de son deck en Réserve, puis l'épuise Effet d'épuisement : . Une carte épuisée ne peut pas être jouée et n'a pas de capacité de Soutien.)</t>
  </si>
  <si>
    <t>Effet de main : Un adversaire ciblé peut Ravitailler Épuisé , puis le faire à nouveau. (Il met la première carte de son deck en Réserve, puis l'épuise Effet d'épuisement : .)</t>
  </si>
  <si>
    <t>La Ferme</t>
  </si>
  <si>
    <t>À Midi — Je gagne 1 compteur Nourriture pour chaque Personnage que vous contrôlez. Effet d'épuisement : , Dépensez 2 de mes compteurs Nourriture : Ravitaillez . (Mettez la première carte de votre deck en Réserve.)</t>
  </si>
  <si>
    <t>À Midi — Je gagne 1 compteur Nourriture pour chaque Personnage que vous contrôlez. Effet d'épuisement : , Dépensez 2 de mes compteurs Nourriture : Ravitaillez .</t>
  </si>
  <si>
    <t>La Fonderie, Bastion Axiom</t>
  </si>
  <si>
    <t>Effet d'épuisement : : Le prochain Personnage que vous jouez de votre main ce tour-ci active ses capacités Effet de réserve : (comme s'il avait été joué depuis la Réserve) .</t>
  </si>
  <si>
    <t>Effet flèche : Piochez une carte. Effet d'épuisement : : Le prochain Personnage que vous jouez de votre main ce tour-ci active ses capacités Effet de réserve : (comme s'il avait été joué depuis la Réserve) .</t>
  </si>
  <si>
    <t>La Grand-Place</t>
  </si>
  <si>
    <t>Au Crépuscule — Je gagne 1 compteur Moral pour chaque Personnage que vous contrôlez. Effet d'épuisement : , Dépensez 6 de mes compteurs Moral : les Personnages dans une Expédition ciblée gagnent 1 boost.</t>
  </si>
  <si>
    <t>Au Crépuscule — Je gagne 1 compteur Moral pour chaque Personnage que vous contrôlez. Effet d'épuisement : , Dépensez 6 de mes compteurs Moral : les Personnages que vous contrôlez gagnent 1 boost.</t>
  </si>
  <si>
    <t>La Machine dans la Glace</t>
  </si>
  <si>
    <t>Lorsque je vais en Réserve depuis n'importe où — Épuisez-moi ( Effet d'épuisement : ) . (Une carte épuisée ne peut pas être jouée et n'a pas de capacité de Soutien.) Effet de main : Envoyez-moi en Réserve.</t>
  </si>
  <si>
    <t>La Petite Fille aux Allumettes</t>
  </si>
  <si>
    <t>Effet de réserve : Si votre main est vide, piochez une carte.</t>
  </si>
  <si>
    <t>Effet de réserve : Si votre main est vide, piochez une carte. Si votre Réserve est vide, piochez une carte.</t>
  </si>
  <si>
    <t>La Petite Souris</t>
  </si>
  <si>
    <t>Effet de main : Sabotez . Si vous avez défaussé une carte de cette façon, son propriétaire Ravitaille Épuisé . (Il met la première carte de son deck en Réserve, puis l'épuise Effet d'épuisement : . Une carte épuisée ne peut pas être jouée et n'a pas de capacité de Soutien.)</t>
  </si>
  <si>
    <t>Effet flèche : Sabotez . Si vous avez défaussé une carte de cette façon, son propriétaire Ravitaille Épuisé . (Il met la première carte de son deck en Réserve, puis l'épuise Effet d'épuisement : . Une carte épuisée ne peut pas être jouée et n'a pas de capacité de Soutien.)</t>
  </si>
  <si>
    <t>La Raffinerie</t>
  </si>
  <si>
    <t>Lorsqu'une carte quitte votre Réserve pendant l'Après-midi — Je gagne 1 compteur Sève. Effet d'épuisement : , Dépensez 3 de mes compteurs Sève : les Personnages dans votre Réserve gagnent 1 boost.</t>
  </si>
  <si>
    <t>Lorsqu'une carte quitte votre Réserve pendant l'Après-midi — Je gagne 1 compteur Sève. Effet d'épuisement : , Dépensez 3 de mes compteurs Sève : distribuez 3 boosts parmi les Personnages en Réserve.</t>
  </si>
  <si>
    <t>La Reine des Neiges</t>
  </si>
  <si>
    <t>Noble , Fée</t>
  </si>
  <si>
    <t>Éternelle . (Au Repos, je ne vais pas en Réserve.) Les Personnages épuisés en Réserve restent épuisés le Matin.</t>
  </si>
  <si>
    <t>Éternelle . Coriace X , X étant le nombre de cartes épuisées en Réserve. Effet flèche : Vous pouvez épuiser ( Effet d'épuisement : ) une carte ciblée en Réserve. Les Personnages épuisés en Réserve restent épuisés le Matin.</t>
  </si>
  <si>
    <t>La Scène</t>
  </si>
  <si>
    <t>Lorsque vous jouez un Personnage avec une stat de base 0 — Je gagne 1 compteur Spectacle. Effet d'épuisement : , Dépensez 3 de mes compteurs Spectacle : le prochain Personnage avec une stat de base 0 que vous jouez ce tour perd Fugace .</t>
  </si>
  <si>
    <t>Lorsque vous jouez un Chant ou un Artiste — Je gagne 1 compteur Spectacle. Effet d'épuisement : , Dépensez 3 de mes compteurs Spectacle : le prochain Chant ou Artiste que vous jouez ce tour perd Fugace .</t>
  </si>
  <si>
    <t>Lorsque vous jouez un Sort — Je gagne 1 compteur Spectacle. Effet d'épuisement : , Dépensez 3 de mes compteurs Spectacle : le prochain Sort que vous jouez ce tour perd Fugace .</t>
  </si>
  <si>
    <t>Lac Saisi par les Glaces</t>
  </si>
  <si>
    <t>Lorsque vous jouez un Personnage — Si son Expédition est en retard, je gagne 1 compteur Épreuve. Lorsque je gagne mon troisième compteur Épreuve — Sacrifiez-moi. Si vous le faites, créez un jeton Illusion 5/5/5 Reflet Draconique dans une Expédition ciblée, puis un Personnage ciblé gagne Endormi .</t>
  </si>
  <si>
    <t>Lait d'Arcolano</t>
  </si>
  <si>
    <t>Lorsqu'un Personnage rejoint mon Expédition — Il gagne 1 boost et Fugace . (S'il devait être envoyé en Réserve, défaussez-le à la place.)</t>
  </si>
  <si>
    <t>Lorsqu'un Personnage rejoint mon Expédition — Il gagne 1 boost et Fugace .</t>
  </si>
  <si>
    <t>Lorsqu'un Personnage rejoint mon Expédition — Il gagne 2 boosts et Fugace .</t>
  </si>
  <si>
    <t>Lakshmi</t>
  </si>
  <si>
    <t>Lorsque vous lancez au moins un dé — Je gagne 1 boost.</t>
  </si>
  <si>
    <t>Lorsque vous lancez au moins un dé — Si le résultat est 6+, piochez une carte. Effet continu de réserve : Lorsque vous lancez au moins un dé — Je gagne 1 boost, jusqu'à un max de 2.</t>
  </si>
  <si>
    <t>Lorsque vous sacrifiez un Personnage — Je gagne 1 boost.</t>
  </si>
  <si>
    <t>Lanterne aux Phalènes</t>
  </si>
  <si>
    <t>Lorsque vous sacrifiez un Personnage non-Illusion — Créez un jeton Illusion 2/2/2 Phalène de Mana dans mon Expédition. Effet flèche : Sacrifiez un Personnage dans mon Expédition.</t>
  </si>
  <si>
    <t>Lapin Ardent</t>
  </si>
  <si>
    <t>Effet de main : Vous pouvez me faire gagner Fugace . Si vous le faites, un autre Personnage ciblé gagne 1 boost.</t>
  </si>
  <si>
    <t>Effet de main : Vous pouvez me faire gagner Fugace . Si vous le faites, un autre Personnage ciblé gagne 1 boost. Effet de soutien : : Le prochain Personnage que vous jouez ce tour gagne 1 boost. (Défaussez-moi de la Réserve pour ça.)</t>
  </si>
  <si>
    <t>Larve de Phalène</t>
  </si>
  <si>
    <t>Effet de main : S'il y a au moins deux cartes épuisées en Réserve, je gagne 1 boost.</t>
  </si>
  <si>
    <t>Effet flèche : S'il y a au moins deux cartes épuisées en Réserve, je gagne 1 boost. Effet de soutien : : Épuisez une carte ciblée en Réserve. (Défaussez-moi de la Réserve pour ça.)</t>
  </si>
  <si>
    <t>Le Bonhomme de Neige</t>
  </si>
  <si>
    <t>Effet flèche : Je gagne Fugace sauf si je suis en océan . (Si je devais être envoyé en Réserve, défaussez-moi à la place.)</t>
  </si>
  <si>
    <t>Effet flèche : Je gagne Fugace sauf si je suis en océan . (Si je devais être envoyé en Réserve, défaussez-moi à la place.) Effet de soutien : : Ravitaillez Épuisé . (Défaussez-moi de la Réserve pour ça.)</t>
  </si>
  <si>
    <t>Le Chapelier</t>
  </si>
  <si>
    <t>Le Conseil</t>
  </si>
  <si>
    <t>Les capacités Effet flèche : , Effet de main : et Effet de réserve : des Personnages qui me font face ne peuvent pas s'activer.</t>
  </si>
  <si>
    <t>Le Fuseau, Bastion Muna</t>
  </si>
  <si>
    <t>Les Personnages que vous contrôlez sont Coriaces 2 . (Les adversaires doivent payer pour les cibler.)</t>
  </si>
  <si>
    <t>Les Personnages que vous contrôlez sont Coriaces 2 . (Les adversaires doivent payer pour les cibler. Les cartes en Réserve ne sont pas contrôlées.)</t>
  </si>
  <si>
    <t>Les Personnages que vous contrôlez sont Coriaces 2 . (Les adversaires doivent payer pour les cibler.) À Midi — Un Personnage ciblé que vous contrôlez gagne 1 boost.</t>
  </si>
  <si>
    <t>Le Kadigir, Bastion Yzmir</t>
  </si>
  <si>
    <t>Effet d'épuisement : : Le prochain Sort que vous jouez ce tour est gratuit.</t>
  </si>
  <si>
    <t>Effet d'épuisement : : Le prochain Sort que vous jouez ce tour est gratuit. Si vous le jouez de votre main, il perd Fugace .</t>
  </si>
  <si>
    <t>Le Kraken</t>
  </si>
  <si>
    <t>Gigantesque . (Je suis considéré présent dans chacune de vos Expéditions.) Effet flèche : Sacrifiez deux Personnages. Toutes les régions sont océan et perdent leurs autres terrains.</t>
  </si>
  <si>
    <t>Gigantesque . (Je suis considéré présent dans chacune de vos Expéditions.) Effet flèche : Sacrifiez un Personnage. Toutes les régions sont océan et perdent leurs autres terrains.</t>
  </si>
  <si>
    <t>Le Marchand de Sable</t>
  </si>
  <si>
    <t>Effet de main : Jusqu'à un Personnage ciblé gagne Endormi . (Au Crépuscule, ignorez ses statistiques. Au Repos, il ne va pas en Réserve et il perd Endormi.)</t>
  </si>
  <si>
    <t>Effet de main : Jusqu'à un Personnage ciblé gagne Endormi . Vous pouvez lui faire gagner 2 boosts. (Au Crépuscule, ignorez ses statistiques. Au Repos, il ne va pas en Réserve et il perd Endormi.)</t>
  </si>
  <si>
    <t>Le Mess</t>
  </si>
  <si>
    <t>Lorsqu'un Personnage quitte vos Expéditions — Je gagne 1 compteur Nourriture. Effet d'épuisement : , Dépensez 3 de mes compteurs Nourriture : Ravitaillez . (Mettez la première carte de votre deck en Réserve.)</t>
  </si>
  <si>
    <t>Lorsqu'un Personnage non-jeton quitte vos Expéditions — Je gagne 1 compteur Nourriture. Effet d'épuisement : , Dépensez 4 de mes compteurs Nourriture : piochez une carte.</t>
  </si>
  <si>
    <t>Le Minotaure</t>
  </si>
  <si>
    <t>Druide , Animal</t>
  </si>
  <si>
    <t>Repérage . (Vous pouvez me jouer de votre main pour avec « Effet de main : Envoyez-moi en Réserve ».) Effet flèche : Un Personnage ciblé de Coût de Main ou moins gagne Ancré .</t>
  </si>
  <si>
    <t>Repérage . (Vous pouvez me jouer de votre main pour avec « Effet de main : Envoyez-moi en Réserve ».) Effet flèche : Un Personnage ciblé gagne Ancré . Effet continu de réserve : Lorsque vous jouez un Personnage avec une stat de base 0 — Je gagne 1 boost, jusqu'à un max de 2.</t>
  </si>
  <si>
    <t>Repérage . (Vous pouvez me jouer de votre main pour avec « Effet de main : Envoyez-moi en Réserve ».) Effet flèche : Un Personnage ciblé gagne Ancré . Effet continu de réserve : À Midi — Je gagne 1 boost, jusqu'à un max de 2.</t>
  </si>
  <si>
    <t>Le Monolithe, Bastion Ordis</t>
  </si>
  <si>
    <t>Lorsqu'un Personnage rejoint vos Expéditions — Il gagne 1 boost . (Un boost est un compteur +1/+1/+1. Retirez-le lorsqu'il quitte la zone d'Expédition.)</t>
  </si>
  <si>
    <t>Lorsqu'un Personnage non-jeton rejoint vos Expéditions — Il gagne 1 boost.</t>
  </si>
  <si>
    <t>Le Nilam, Arbre-Monde Flétri</t>
  </si>
  <si>
    <t>Lorsque vous épuisez une carte en Réserve — Vous pouvez m'épuiser ( Effet d'épuisement : ) pour créer un jeton Illusion 2/2/2 Phalène de Mana dans une Expédition ciblée. Effet flèche : Vous pouvez épuiser une carte ciblée en Réserve. (Une carte épuisée ne peut pas être jouée et n'a pas de capacité de Soutien.)</t>
  </si>
  <si>
    <t>Lorsque vous épuisez une carte en Réserve — Vous pouvez m'épuiser ( Effet d'épuisement : ) pour créer un jeton Illusion 2/2/2 Phalène de Mana dans une Expédition ciblée. Effet flèche : Vous pouvez épuiser une carte ciblée en Réserve.</t>
  </si>
  <si>
    <t>Lorsque vous épuisez une carte en Réserve — Vous pouvez m'épuiser ( Effet d'épuisement : ) pour créer un jeton Illusion 2/2/2 Phalène de Mana dans une Expédition ciblée.</t>
  </si>
  <si>
    <t>Le Père Noël</t>
  </si>
  <si>
    <t>Effet de main : En commençant par vous, chaque joueur peut immédiatement jouer une carte de Coût de Main ou moins gratuitement.</t>
  </si>
  <si>
    <t>Le Ragoût</t>
  </si>
  <si>
    <t>Effet flèche : Un Personnage ciblé gagne 1 boost. Les Personnages dans mon Expédition sont Aguerris . (Ils conservent leurs boosts lorsqu'ils vont en Réserve.)</t>
  </si>
  <si>
    <t>Effet flèche : Vous pouvez payer pour qu'un Personnage ciblé gagne 1 boost ou perde Fugace . Les Personnages dans mon Expédition sont Aguerris . (Ils conservent leurs boosts lorsqu'ils vont en Réserve.)</t>
  </si>
  <si>
    <t>Le Roi-Grenouille</t>
  </si>
  <si>
    <t>Effet de soutien : : Le prochain Permanent que vous jouez ce tour coûte de moins. (Défaussez-moi de la Réserve pour ça.)</t>
  </si>
  <si>
    <t>Le Sous-Bois</t>
  </si>
  <si>
    <t>Effet d'épuisement : : Le prochain Personnage que vous jouez en forêt ce tour gagne 1 boost.</t>
  </si>
  <si>
    <t>Effet d'épuisement : : Le prochain Personnage que vous jouez en forêt ce tour gagne 1 boost. Lorsqu'un adversaire pioche au moins une carte ou Ravitaille — Redressez-moi.</t>
  </si>
  <si>
    <t>Le Sépulcre des Sages</t>
  </si>
  <si>
    <t>S'il y a au moins un Sort dans votre Réserve, la limite de votre Réserve augmente d'une carte.</t>
  </si>
  <si>
    <t>Vous pouvez jouer les Personnages de Coût de Main ou plus pour de moins. S'il y a au moins un Personnage de Coût de Main ou plus dans votre Réserve, la limite de votre Réserve augmente d'une carte.</t>
  </si>
  <si>
    <t>Vous pouvez jouer les Sorts de Coût de Main ou plus pour de moins. S'il y a au moins un Sort dans votre Réserve, la limite de votre Réserve augmente d'une carte.</t>
  </si>
  <si>
    <t>Le Traîneau Enchanté</t>
  </si>
  <si>
    <t>Si mon Expédition devait avancer pendant le Crépuscule, elle avance d'une région supplémentaire à la place.</t>
  </si>
  <si>
    <t>Effet flèche : Je gagne Fugace . Si mon Expédition devait avancer pendant le Crépuscule, elle avance d'une région supplémentaire à la place.</t>
  </si>
  <si>
    <t>Le Wayfarer</t>
  </si>
  <si>
    <t>Si vous lancez au moins un dé, révélez également la première carte de votre deck. Lorsque vous révélez une carte de cette façon — Si son Coût de Main est égal au résultat du dé, piochez-la.</t>
  </si>
  <si>
    <t>Si vous lancez au moins un dé, révélez également la première carte de votre deck. Lorsque vous révélez une carte de cette façon — Si son Coût de Main est égal au résultat du dé, vous pouvez m'épuiser ( Effet d'épuisement : ) pour la jouer gratuitement. (N'activez aucune capacité Effet de main : .)</t>
  </si>
  <si>
    <t>Lorsque vous jouez un Bureaucrate — Lancez un dé et révélez la première carte de votre deck. Lorsque vous révélez une carte de cette façon — Si son Coût de Main est égal au résultat du dé, piochez-la.</t>
  </si>
  <si>
    <t>Leo, Expert en Reliques</t>
  </si>
  <si>
    <t>Bureaucrate , Érudit</t>
  </si>
  <si>
    <t>À la tombée de la Nuit — Vous pouvez dépenser 1 compteur d'une carte dans votre Réserve ou vos Repères pour Saboter après le Repos. (Défaussez jusqu'à une carte ciblée d'une Réserve.)</t>
  </si>
  <si>
    <t>À la tombée de la Nuit — Vous pouvez dépenser 1 compteur d'une carte dans votre Réserve ou vos Repères pour Saboter après le Repos.</t>
  </si>
  <si>
    <t>À la tombée de la Nuit — Sabotez après le Repos. (Défaussez jusqu'à une carte d'une Réserve.)</t>
  </si>
  <si>
    <t>Les Flèches du Nilam</t>
  </si>
  <si>
    <t>Lorsque vous jouez un Sort — Je gagne 1 compteur Arcane. Puis, vous pouvez m'épuiser ( Effet d'épuisement : ) et dépenser 4 de mes compteurs Arcane pour créer un jeton Illusion 2/2/2 Phalène de Mana dans une Expédition ciblée.</t>
  </si>
  <si>
    <t>Lorsqu'un autre Permanent rejoint vos Expéditions ou Repères — Je gagne 1 compteur Arcane. Puis, vous pouvez m'épuiser ( Effet d'épuisement : ) et dépenser 3 de mes compteurs Arcane pour créer un jeton Robot 2/2/2 Scarabot dans une Expédition ciblée.</t>
  </si>
  <si>
    <t>Lorsque vous jouez un Sort — Je gagne 1 compteur Arcane. Puis, vous pouvez m'épuiser ( Effet d'épuisement : ) et dépenser 3 de mes compteurs Arcane pour créer un jeton Illusion 2/2/2 Phalène de Mana dans une Expédition ciblée.</t>
  </si>
  <si>
    <t>Les Grems</t>
  </si>
  <si>
    <t>Effet de réserve : Choisissez jusqu’à l'un : • Défaussez un Permanent ciblé de Coût de Main ou moins. • Sacrifiez un Permanent. Si vous le faites, créez un jeton Robot 2/2/2 Scarabot dans une Expédition ciblée.</t>
  </si>
  <si>
    <t>Limier</t>
  </si>
  <si>
    <t>Effet flèche : Si mon Expédition est en retard, je gagne 1 boost.</t>
  </si>
  <si>
    <t>Lindiwe &amp; Maw</t>
  </si>
  <si>
    <t>Effet d'épuisement : : Créez un jeton Compagnon 0/0/0 Maw dans votre Expédition Compagnon avec « Lorsque vous sacrifiez un Personnage — Je gagne 2 boosts ». Cette action coûte de plus si vous n'êtes pas le premier joueur.</t>
  </si>
  <si>
    <t>Livraison Gelée</t>
  </si>
  <si>
    <t>Rafraîchissement . (Si je vais en Réserve après la résolution de mon effet, épuisez-moi Effet d'épuisement : . Une carte épuisée ne peut pas être jouée et n'a pas de capacité de Soutien.) Ravitaillez . (Mettez la première carte de votre deck en Réserve.)</t>
  </si>
  <si>
    <t>Ravitaillez Épuisé . (Mettez la première carte de votre deck en Réserve, puis épuisez-la Effet d'épuisement : . Une carte épuisée ne peut pas être jouée et n'a pas de capacité de Soutien.)</t>
  </si>
  <si>
    <t>Liéchi</t>
  </si>
  <si>
    <t>Effet flèche : Je gagne 1 boost par Expédition en forêt .</t>
  </si>
  <si>
    <t>Gigantesque . (Je suis considéré présent dans chacune de vos Expéditions.) Effet flèche : Je gagne 1 boost par Expédition en forêt .</t>
  </si>
  <si>
    <t>Loki</t>
  </si>
  <si>
    <t>Effet de main : Chaque joueur défausse sa main, puis pioche trois cartes.</t>
  </si>
  <si>
    <t>Effet de main : Chaque joueur défausse sa main et sa Réserve , puis pioche trois cartes.</t>
  </si>
  <si>
    <t>Lord Kelvin</t>
  </si>
  <si>
    <t>Noble , Érudit</t>
  </si>
  <si>
    <t>Effet de réserve : Vous pouvez épuiser ( Effet d'épuisement : ) une carte ciblée en Réserve. (Une carte épuisée ne peut pas être jouée et n'a pas de capacité de Soutien.)</t>
  </si>
  <si>
    <t>Loutre Rempoteuse</t>
  </si>
  <si>
    <t>Effet flèche : Chaque joueur peut mettre une carte de sa main en Réserve.</t>
  </si>
  <si>
    <t>Effet flèche : Chaque joueur peut mettre une carte de sa main en Réserve pour piocher une carte.</t>
  </si>
  <si>
    <t>Légat du Monolithe</t>
  </si>
  <si>
    <t>Lorsque mon Expédition n'avance pas pendant le Crépuscule — Sabotez après le Repos. (Défaussez jusqu'à une carte d'une Réserve.)</t>
  </si>
  <si>
    <t>Lorsque mon Expédition n'avance pas pendant le Crépuscule — Sabotez après le Repos. (Défaussez jusqu'à une carte d'une Réserve.) Effet de soutien : : Créez un jeton Soldat 1/1/1 Recrue Ordis dans une Expédition ciblée. (Défaussez-moi de la Réserve pour ça.)</t>
  </si>
  <si>
    <t>Macareux à Roquettes</t>
  </si>
  <si>
    <t>Effet flèche : Vous pouvez redresser une carte épuisée en Réserve.</t>
  </si>
  <si>
    <t>Effet flèche : Vous pouvez redresser une carte épuisée en Réserve. Si vous le faites, je gagne 1 boost.</t>
  </si>
  <si>
    <t>Mage-Danseur du Kadigir</t>
  </si>
  <si>
    <t>Mage , Soldat</t>
  </si>
  <si>
    <t>Lorsque vous jouez un Sort — Je gagne 1 boost . (Un boost est un compteur +1/+1/+1. Retirez-le lorsqu'il quitte la zone d'Expédition.)</t>
  </si>
  <si>
    <t>Lorsque vous lancez au moins un dé — Je gagne 1 boost . (Un boost est un compteur +1/+1/+1. Retirez-le lorsqu'il quitte la zone d'Expédition.)</t>
  </si>
  <si>
    <t>Lorsque vous jouez un Sort — Je gagne 1 boost. Au Crépuscule — Si j'ai au moins 3 boosts, piochez une carte.</t>
  </si>
  <si>
    <t>Main Tendue</t>
  </si>
  <si>
    <t>Un Personnage ciblé gagne 1 boost et perd Fugace . (Un boost est un compteur +1/+1/+1. Retirez-le lorsqu'il quitte la zone d'Expédition.)</t>
  </si>
  <si>
    <t>Fugace . (Envoyez-moi à la Défausse plutôt qu'en Réserve après résolution de mon effet.) Un Personnage ciblé gagne 2 boosts et perd Fugace .</t>
  </si>
  <si>
    <t>Un Personnage ciblé gagne 1 boost et perd Fugace .</t>
  </si>
  <si>
    <t>Marchand Muna</t>
  </si>
  <si>
    <t>Effet de réserve : Ravitaillez . (Mettez la première carte de votre deck en Réserve.)</t>
  </si>
  <si>
    <t>Marqué d'une Croix</t>
  </si>
  <si>
    <t>Fugace . (Envoyez-moi à la Défausse plutôt qu'en Réserve après résolution de mon effet.) Lancez un dé. Envoyez un Personnage ciblé à la Xe position du deck de son propriétaire, X étant le résultat.</t>
  </si>
  <si>
    <t>Fugace . Lancez un dé. Envoyez un Personnage ciblé à la Xe position du deck de son propriétaire, X étant le résultat. Si X est supérieur au Coût de Main de la cible, redressez un Orbe de Mana.</t>
  </si>
  <si>
    <t>Martengale</t>
  </si>
  <si>
    <t>Effet de soutien : : La prochaine carte que vous jouez ce tour coûte de moins. (Défaussez-moi de la Réserve pour ça.)</t>
  </si>
  <si>
    <t>Si vous deviez lancer un dé, vous pouvez ajouter 1 au résultat. (Choisissez après avoir vu le résultat.) Effet de soutien : : La prochaine carte que vous jouez ce tour coûte de moins. (Défaussez-moi de la Réserve pour ça.)</t>
  </si>
  <si>
    <t>Maw</t>
  </si>
  <si>
    <t>Lorsque vous sacrifiez un Personnage — Je gagne 2 boosts.</t>
  </si>
  <si>
    <t>Merlin</t>
  </si>
  <si>
    <t>Repérage . (Vous pouvez me jouer de votre main pour avec « Effet de main : Envoyez-moi en Réserve ».) Effet de main : Vous pouvez envoyer un Personnage ciblé en Réserve.</t>
  </si>
  <si>
    <t>Repérage . (Vous pouvez me jouer de votre main pour avec « Effet de main : Envoyez-moi en Réserve ».) Effet de main : Vous pouvez défausser un Personnage ou Permanent ciblé.</t>
  </si>
  <si>
    <t>Mesektet</t>
  </si>
  <si>
    <t>À Midi — Créez un jeton Soldat 1/1/1 Recrue Ordis dans chacune de vos Expéditions qui est en retard ou à égalité.</t>
  </si>
  <si>
    <t>À Midi — Créez un jeton Robot 2/2/2 Scarabot dans chacune de vos Expéditions qui est en retard ou à égalité.</t>
  </si>
  <si>
    <t>Effet flèche : Créez un jeton Soldat 1/1/1 Recrue Ordis dans chacune de vos Expéditions qui est en retard ou à égalité. À Midi — Créez un jeton Soldat 1/1/1 Recrue Ordis dans chacune de vos Expéditions qui est en retard ou à égalité.</t>
  </si>
  <si>
    <t>Meunier, Tu Dors</t>
  </si>
  <si>
    <t>Un Personnage ciblé gagne Endormi . (Au Crépuscule, ignorez ses statistiques. Au Repos, il ne va pas en Réserve et il perd Endormi.) Effet de soutien : : La prochaine carte que vous jouez ce tour coûte de moins. (Défaussez-moi de la Réserve pour ça.)</t>
  </si>
  <si>
    <t>Fugace . (Envoyez-moi à la Défausse plutôt qu'en Réserve après résolution de mon effet.) Chaque Personnage dans une Expédition ciblée gagne Endormi . (Cela affecte les personnages d'un seul joueur. Au Crépuscule, ignorez leurs statistiques. Au Repos, ils ne vont pas en Réserve et ils perdent Endormi.) Effet de soutien : : La prochaine carte que vous jouez ce tour coûte de moins. (Défaussez-moi de la Réserve pour ça.)</t>
  </si>
  <si>
    <t>Moisson de Mana</t>
  </si>
  <si>
    <t>Fugace . (Envoyez-moi à la Défausse plutôt qu'en Réserve après résolution de mon effet.) Mettez un Personnage ou Permanent ciblé dans la zone de Mana de son Propriétaire (en tant qu'Orbe de Mana épuisé) .</t>
  </si>
  <si>
    <t>Mettez un Personnage ou Permanent ciblé dans la zone de Mana de son Propriétaire (en tant qu'Orbe de Mana épuisé) .</t>
  </si>
  <si>
    <t>Mowgli</t>
  </si>
  <si>
    <t>Mécanicienne de la Fonderie</t>
  </si>
  <si>
    <t>Méduse Lunaire</t>
  </si>
  <si>
    <t>Lorsque je suis sacrifiée, si je n'étais pas Fugace — Mettez-moi en Réserve.</t>
  </si>
  <si>
    <t>Lorsqu'un Robot rejoint vos Expéditions — Vous pouvez me sacrifier pour lui donner 2 boosts. Lorsque je suis sacrifiée, si je n'étais pas Fugace — Mettez-moi en Réserve.</t>
  </si>
  <si>
    <t>Lorsque je suis sacrifiée, si je n'étais pas Fugace — Mettez-moi en Réserve. Lorsque je suis sacrifiée, si j'étais Fugace — Piochez une carte.</t>
  </si>
  <si>
    <t>Métamorphose</t>
  </si>
  <si>
    <t>Fugace . (Envoyez-moi à la Défausse plutôt qu'en Réserve après résolution de mon effet.) Défaussez un Personnage ciblé, puis créez un jeton Illusion 2/2/2 Phalène de Mana dans son Expédition.</t>
  </si>
  <si>
    <t>Fugace . Défaussez un Personnage ciblé de Coût de Main ou moins, puis créez un jeton Illusion 2/2/2 Phalène de Mana dans son Expédition.</t>
  </si>
  <si>
    <t>Navigatrice Lyra</t>
  </si>
  <si>
    <t>Nevenka &amp; Blotch</t>
  </si>
  <si>
    <t>Effet d'épuisement : : Ciblez un Personnage que vous contrôlez, puis lancez un dé. Sur : • 6+, il gagne Ancré . (Au Repos, il ne va pas en Réserve et il perd Ancré.) • 2-5, il gagne 1 boost. (Un boost est un compteur +1/+1/+1. Retirez-le lorsqu'il quitte la zone d'Expédition.) • 1, envoyez-le en Réserve.</t>
  </si>
  <si>
    <t>Nisse</t>
  </si>
  <si>
    <t>Effet de main : Lancez un dé : • 4+, Ravitaillez . • 1-3, Ravitaillez Épuisé . (Mettez la première carte de votre deck en Réserve, puis épuisez-la Effet d'épuisement : . Une carte épuisée ne peut pas être jouée et n'a pas de capacité de Soutien.)</t>
  </si>
  <si>
    <t>Nourrissement</t>
  </si>
  <si>
    <t>Fugace . (Envoyez-moi à la Défausse plutôt qu'en Réserve après résolution de mon effet.) Piochez une carte. Chaque joueur met la première carte de son deck dans sa zone de Mana (en tant qu'Orbe de Mana épuisé) .</t>
  </si>
  <si>
    <t>Fugace . Piochez une carte. Chaque joueur met la première carte de son deck dans sa zone de Mana (en tant qu'Orbe de Mana épuisé) .</t>
  </si>
  <si>
    <t>Fugace . Chaque joueur pioche une carte. Mettez la première carte de votre deck dans votre zone de Mana (en tant qu'Orbe de Mana épuisé) .</t>
  </si>
  <si>
    <t>Nova Hivernale</t>
  </si>
  <si>
    <t>Interférence , Manœuvre</t>
  </si>
  <si>
    <t>Fugace . Choisissez trois : • Épuisez jusqu'à deux cartes en Réserve. • Créez deux jetons Illusion 2/2/2 Phalène de Mana dans une Expédition ciblée. • Défaussez un Permanent ciblé. • Un joueur ciblé sacrifie un Personnage.</t>
  </si>
  <si>
    <t>Fugace . Choisissez trois. Vous pouvez choisir la même option plusieurs fois : • Épuisez jusqu'à deux cartes en Réserve. • Créez deux jetons Illusion 2/2/2 Phalène de Mana dans une Expédition ciblée. • Défaussez un Permanent ciblé. • Un joueur ciblé sacrifie un Personnage.</t>
  </si>
  <si>
    <t>Nuée de Phalènes</t>
  </si>
  <si>
    <t>Je coûte de moins s'il y a au moins deux cartes épuisées en Réserve. Créez trois jetons Illusion 2/2/2 Phalène de Mana , distribués comme vous le souhaitez dans n'importe quel nombre d'Expéditions ciblées.</t>
  </si>
  <si>
    <t>Je coûte de moins par carte épuisée en Réserve . Créez trois jetons Illusion 2/2/2 Phalène de Mana , distribués comme vous le souhaitez dans n'importe quel nombre d'Expéditions ciblées.</t>
  </si>
  <si>
    <t>Nyala, Habile Illusionniste</t>
  </si>
  <si>
    <t>Effet flèche : Échangez une carte ciblée de votre Réserve contre une carte de votre main.</t>
  </si>
  <si>
    <t>Effet de main : Ravitaillez Épuisé . (Mettez la première carte de votre deck en Réserve, puis épuisez-la Effet d'épuisement : .) Effet flèche : Échangez une carte ciblée de votre Réserve contre une carte de votre main.</t>
  </si>
  <si>
    <t>Ogun</t>
  </si>
  <si>
    <t>Effet flèche : Les Robots que vous contrôlez gagnent 1 boost . (Un boost est un compteur +1/+1/+1. Retirez-le lorsqu'il quitte la zone d'Expédition.)</t>
  </si>
  <si>
    <t>Effet flèche : Vous pouvez payer pour créer un jeton Robot 2/2/2 Scarabot dans une Expédition ciblée. Puis, les Robots que vous contrôlez gagnent 1 boost.</t>
  </si>
  <si>
    <t>Effet flèche : Les Plantes que vous contrôlez gagnent 1 boost.</t>
  </si>
  <si>
    <t>Opératrice Ordis</t>
  </si>
  <si>
    <t>Émissaire , Soldat</t>
  </si>
  <si>
    <t>Effet flèche : Chaque autre Personnage que vous contrôlez gagne 1 boost.</t>
  </si>
  <si>
    <t>Effet flèche : Chaque Personnage dans une Expédition ciblée gagne 1 boost.</t>
  </si>
  <si>
    <t>Ouvrez les Portes</t>
  </si>
  <si>
    <t>Créez deux jetons Soldat 1/1/1 Recrue Ordis dans chacune de vos Expéditions.</t>
  </si>
  <si>
    <t>Créez un jeton Robot 2/2/2 Scarabot dans chacune de vos Expéditions.</t>
  </si>
  <si>
    <t>Créez quatre jetons Soldat 1/1/1 Recrue Ordis , distribués comme vous le souhaitez dans n'importe quel nombre d'Expéditions ciblées .</t>
  </si>
  <si>
    <t>Ozma</t>
  </si>
  <si>
    <t>Noble</t>
  </si>
  <si>
    <t>Effet flèche : Si vous contrôlez au moins trois autres Personnages, Ravitaillez . (Mettez la première carte de votre deck en Réserve. Les cartes en Réserve ne sont pas contrôlées.)</t>
  </si>
  <si>
    <t>Effet flèche : Si vous contrôlez au moins deux autres Personnages Boostés , piochez une carte.</t>
  </si>
  <si>
    <t>Pamola</t>
  </si>
  <si>
    <t>Effet de soutien : : Épuisez une carte ciblée en Réserve. (Défaussez-moi de la Réserve pour ça.)</t>
  </si>
  <si>
    <t>Parvati</t>
  </si>
  <si>
    <t>Effet de main : Un Personnage ciblé gagne Ancré . (Au Repos, il ne va pas en Réserve et il perd Ancré.)</t>
  </si>
  <si>
    <t>Effet flèche : Un Personnage ciblé gagne Ancré . (Au Repos, il ne va pas en Réserve et il perd Ancré.)</t>
  </si>
  <si>
    <t>Pasiphaé</t>
  </si>
  <si>
    <t>Effet flèche : Je gagne Fugace . Effet flèche : Je gagne 1 boost pour chaque Personnage qu'un adversaire ciblé contrôle.</t>
  </si>
  <si>
    <t>Effet flèche : Je gagne 1 boost pour chaque Personnage qu'un adversaire ciblé contrôle.</t>
  </si>
  <si>
    <t>Pendekar Bravos</t>
  </si>
  <si>
    <t>À la tombée de la Nuit — Si j'ai au moins 2 boosts, Sabotez après le Repos. (Défaussez jusqu'à une carte d'une Réserve.)</t>
  </si>
  <si>
    <t>Aguerri . (Je conserve mes boosts lorsque je vais en Réserve.) À la tombée de la Nuit — Si j'ai au moins 2 boosts, Sabotez après le Repos.</t>
  </si>
  <si>
    <t>À la tombée de la Nuit — Si j'ai au moins 2 boosts, Sabotez après le Repos.</t>
  </si>
  <si>
    <t>Perdu en Forêt</t>
  </si>
  <si>
    <t>Fugace . Choisissez l'un : • Envoyez un Personnage ciblé en forêt en Réserve. • Défaussez un Permanent ciblé.</t>
  </si>
  <si>
    <t>Fugace . Choisissez l'un : • Envoyez un Personnage ciblé en Réserve. S'il n'était pas en forêt , son contrôleur pioche une carte. • Défaussez un Permanent ciblé.</t>
  </si>
  <si>
    <t>Perséphone</t>
  </si>
  <si>
    <t>Ma région est forêt en plus de ses autres terrains.</t>
  </si>
  <si>
    <t>Ma région et la région de l'Expédition qui me fait face sont forêt et perdent leurs autres terrains.</t>
  </si>
  <si>
    <t>Petit Cuistot</t>
  </si>
  <si>
    <t>Apprenti , Animal</t>
  </si>
  <si>
    <t>Effet de réserve : Si j'ai au moins 2 boosts, Ravitaillez . Effet continu de réserve : À Midi — Choisissez l'un : • Je gagne 1 boost, jusqu'à un max de 3. • Effet d'épuisement : : Je gagne 2 boosts , jusqu'à un max de 3.</t>
  </si>
  <si>
    <t>Effet de réserve : Si j'ai au moins 2 boosts, Ravitaillez . Effet continu de réserve : Lorsque vous jouez un autre Personnage — Je gagne 1 boost, jusqu'à un max de 3.</t>
  </si>
  <si>
    <t>Petit Djinn</t>
  </si>
  <si>
    <t>Si je devais quitter la zone d'Expédition en étant Boosté , mettez-moi dans la zone de Mana de mon propriétaire à la place (en tant qu'Orbe de Mana épuisé) . Effet de réserve : Je gagne 1 boost.</t>
  </si>
  <si>
    <t>Petit Pas, Bond de Géant</t>
  </si>
  <si>
    <t>Fugace . (Envoyez-moi à la Défausse plutôt qu'en Réserve après résolution de mon effet.) Une Expédition ciblée avance d'une région.</t>
  </si>
  <si>
    <t>Une Expédition ciblée avance d'une région.</t>
  </si>
  <si>
    <t>Phalène de Mana</t>
  </si>
  <si>
    <t>Illusion</t>
  </si>
  <si>
    <t>Pic Saisi par les Glaces</t>
  </si>
  <si>
    <t>Lorsqu'un Personnage que vous contrôlez gagne Fugace — Je gagne 1 compteur Épreuve. Lorsque je gagne mon troisième compteur Épreuve — Sacrifiez-moi. Si vous le faites, créez un jeton Illusion 5/5/5 Reflet Draconique dans une Expédition ciblée, puis tous les Personnages que vous contrôlez gagnent 1 boost.</t>
  </si>
  <si>
    <t>Pignon Pugnace</t>
  </si>
  <si>
    <t>Pionnière Bravos</t>
  </si>
  <si>
    <t>Aguerrie . (Je conserve mes boosts lorsque je vais en Réserve.) Effet de main : Vous pouvez payer pour que je gagne 1 boost.</t>
  </si>
  <si>
    <t>Poignantes Retrouvailles</t>
  </si>
  <si>
    <t>Ravitaillez . Si vous mettez un Personnage en Réserve de cette façon, vous pouvez immédiatement le jouer pour de moins. (Mettez la première carte de votre deck en Réserve.)</t>
  </si>
  <si>
    <t>Rafraîchissement . (Si je vais en Réserve après la résolution de mon effet, épuisez-moi Effet d'épuisement : . Une carte épuisée ne peut pas être jouée et n'a pas de capacité de Soutien.) Ravitaillez . Si vous mettez un Personnage en Réserve de cette façon, vous pouvez ensuite le mettre dans votre main.</t>
  </si>
  <si>
    <t>Portail de Bannissement</t>
  </si>
  <si>
    <t>Fugace . (Envoyez-moi à la Défausse plutôt qu'en Réserve après résolution de mon effet.) Défaussez un Personnage ou Permanent ciblé.</t>
  </si>
  <si>
    <t>Défaussez un Personnage ou Permanent ciblé.</t>
  </si>
  <si>
    <t>Porteuse Intrépide</t>
  </si>
  <si>
    <t>Effet de réserve : Ravitaillez Épuisé . (Mettez la première carte de votre deck en Réserve, puis épuisez-la Effet d'épuisement : . Une carte épuisée ne peut pas être jouée et n'a pas de capacité de Soutien.)</t>
  </si>
  <si>
    <t>Effet flèche : Ravitaillez Épuisé . (Mettez la première carte de votre deck en Réserve, puis épuisez-la Effet d'épuisement : . Une carte épuisée ne peut pas être jouée et n'a pas de capacité de Soutien.)</t>
  </si>
  <si>
    <t>Porteuse d'Esprit</t>
  </si>
  <si>
    <t>Effet flèche : Je gagne 1 boost par Personnage Boosté que vous contrôlez. (Les cartes dans la Réserve ne sont pas contrôlées.)</t>
  </si>
  <si>
    <t>Effet flèche : Je gagne 1 boost par Personnage Boosté que vous contrôlez. Effet de réserve : Je gagne 1 boost.</t>
  </si>
  <si>
    <t>Effet flèche : Je gagne 1 boost par Personnage Ancré que vous contrôlez. Effet de réserve : Je gagne Ancré . (Au Repos, je ne vais pas en Réserve et je perds Ancré.)</t>
  </si>
  <si>
    <t>Prairie Prolifique</t>
  </si>
  <si>
    <t>Effet d'épuisement : : La prochaine Plante que vous jouez ce tour coûte de moins.</t>
  </si>
  <si>
    <t>Effet flèche : Vous pouvez payer pour Ravitailler . (Mettez la première carte de votre deck en Réserve.) Effet d'épuisement : : La prochaine Plante que vous jouez ce tour coûte de moins.</t>
  </si>
  <si>
    <t>Effet d'épuisement : Le prochain Bureaucrate que vous jouez ce tour coûte de moins.</t>
  </si>
  <si>
    <t>Prestidigitatrice de l'Ouroboros</t>
  </si>
  <si>
    <t>Effet flèche : Lancez un dé. Sur 4+, je gagne 2 boosts. Sur 1-3, je gagne 1 boost . (Un boost est un compteur +1/+1/+1. Retirez-le lorsqu'il quitte la zone d'Expédition.)</t>
  </si>
  <si>
    <t>Effet flèche : Lancez un dé. Sur 4+, je gagne 2 boosts. Sur 1-3, je gagne 1 boost.</t>
  </si>
  <si>
    <t>Effet flèche : Lancez un dé. Sur 4+, je gagne 3 boosts . Sur 1-3, je gagne 1 boost . (Un boost est un compteur +1/+1/+1. Retirez-le lorsqu'il quitte la zone d'Expédition.)</t>
  </si>
  <si>
    <t>Prison de Peinture</t>
  </si>
  <si>
    <t>Fugace . (Envoyez-moi à la Défausse plutôt qu'en Réserve après résolution de mon effet.) Vous pouvez défausser une carte de votre Réserve pour réduire mon coût de . Renvoyez un Personnage ou Permanent ciblé sur le dessus du deck de son propriétaire.</t>
  </si>
  <si>
    <t>Procuratrice Ordis</t>
  </si>
  <si>
    <t>Lorsque mon Expédition n'avance pas pendant le Crépuscule — Piochez une carte.</t>
  </si>
  <si>
    <t>Prototype Amélioré</t>
  </si>
  <si>
    <t>Effet de réserve : Vous pouvez dépenser 1 de mes boosts pour redresser deux Orbes de Mana. Effet continu de réserve : À Midi — Choisissez l'un : • Je gagne 1 boost, jusqu'à un max de 3. • Effet d'épuisement : : Je gagne 2 boosts, jusqu'à un max de 3.</t>
  </si>
  <si>
    <t>Effet de réserve : Vous pouvez dépenser 1 compteur d'une carte que vous contrôlez ou dans votre Réserve pour redresser deux Orbes de Mana. Effet continu de réserve : À Midi — Choisissez l'un : • Je gagne 1 boost, jusqu'à un max de 3. • Effet d'épuisement : : Je gagne 2 boosts, jusqu'à un max de 3.</t>
  </si>
  <si>
    <t>Effet de réserve : Vous pouvez dépenser 1 compteur d'une carte que vous contrôlez ou dans votre Réserve pour redresser deux Orbes de Mana. Effet continu de réserve : Lorsque vous jouez un autre Personnage — Je gagne 1 boost, jusqu'à un max de 3.</t>
  </si>
  <si>
    <t>Prototype Défectueux</t>
  </si>
  <si>
    <t>Effet flèche : Sacrifiez un autre Robot ou Permanent. Si vous ne pouvez pas le faire, sacrifiez-moi.</t>
  </si>
  <si>
    <t>Effet flèche : Sacrifiez un autre Robot ou Permanent. Si son Coût de Main était ou plus, je gagne 3 boosts. Si vous ne pouvez pas le faire, sacrifiez-moi.</t>
  </si>
  <si>
    <t>Effet flèche : Sacrifiez une Plante ou un Permanent. Si vous ne pouvez pas le faire, sacrifiez-moi.</t>
  </si>
  <si>
    <t>Si je devais quitter la zone d’Expédition, vous pouvez me mettre dans la zone de Mana de mon propriétaire à la place (en tant qu'Orbe de Mana épuisé) .</t>
  </si>
  <si>
    <t>Si je devais quitter la zone d’Expédition, vous pouvez me mettre dans la zone de Mana de mon propriétaire à la place (en tant qu'Orbe de Mana épuisé) . Si vous ne le faites pas, piochez une carte.</t>
  </si>
  <si>
    <t>Puissant Simbi</t>
  </si>
  <si>
    <t>Élémentaire , Plante</t>
  </si>
  <si>
    <t>Lorsque mon Expédition avance grâce à forêt — Vous pouvez me sacrifier pour piocher une carte.</t>
  </si>
  <si>
    <t>Lorsque mon Expédition avance grâce à forêt — Vous pouvez me mettre dans la zone de Mana de mon propriétaire (en tant qu'Orbe de Mana épuisé) .</t>
  </si>
  <si>
    <t>Quetzalcóatl</t>
  </si>
  <si>
    <t>Lorsqu'un adversaire pioche au moins une carte ou Ravitaille — Créez un jeton Soldat 1/1/1 Recrue Ordis dans une Expédition ciblée.</t>
  </si>
  <si>
    <t>Radiateur Kélonique</t>
  </si>
  <si>
    <t>Effet flèche : Ravitaillez Épuisé . (Mettez la première carte de votre deck en Réserve, puis épuisez-la Effet d'épuisement : .) Vous pouvez jouer les Personnages épuisés de votre Réserve dans mon Expédition.</t>
  </si>
  <si>
    <t>Effet de main : Ravitaillez Épuisé . (Mettez la première carte de votre deck en Réserve, puis épuisez-la Effet d'épuisement : .) Vous pouvez jouer les Personnages épuisés de votre Réserve dans mon Expédition.</t>
  </si>
  <si>
    <t>Ratatosk</t>
  </si>
  <si>
    <t>Effet de réserve : Je gagne 3 boosts . (Un boost est un compteur +1/+1/+1. Retirez-le lorsqu'il quitte la zone d'Expédition.)</t>
  </si>
  <si>
    <t>Effet de réserve : Créez deux jetons Soldat 1/1/1 Recrue Ordis dans mon Expédition.</t>
  </si>
  <si>
    <t>Recrue Ordis</t>
  </si>
  <si>
    <t>Recycleur Axiom</t>
  </si>
  <si>
    <t>Effet flèche : Ravitaillez . À Midi — Ravitaillez . (Mettez la première carte de votre deck en Réserve.)</t>
  </si>
  <si>
    <t>Recycleur Gelé</t>
  </si>
  <si>
    <t>À Midi — Ravitaillez Épuisé . (Mettez la première carte de votre deck en Réserve, puis épuisez-la Effet d'épuisement : . Une carte épuisée ne peut pas être jouée et n'a pas de capacité de Soutien.) Vous pouvez conserver une carte de plus en Réserve pendant la Nuit si elle est épuisée.</t>
  </si>
  <si>
    <t>Effet flèche : Ravitaillez Épuisé . (Mettez la première carte de votre deck en Réserve, puis épuisez-la Effet d'épuisement : .) À Midi — Ravitaillez Épuisé . Vous pouvez conserver une carte de plus en Réserve pendant la Nuit si elle est épuisée.</t>
  </si>
  <si>
    <t>Red</t>
  </si>
  <si>
    <t>Aguerrie . (Je conserve mes boosts lorsque je vais en Réserve.)</t>
  </si>
  <si>
    <t>Aguerrie . (Je conserve mes boosts lorsque je vais en Réserve.) Au Crépuscule — Si j'ai au moins 3 boosts, piochez une carte.</t>
  </si>
  <si>
    <t>Renarde Intègre</t>
  </si>
  <si>
    <t>Effet de main : Un adversaire ciblé Ravitaille . (Mettre la première carte de son deck en Réserve.)</t>
  </si>
  <si>
    <t>Effet de main : Vous pouvez payer pour défausser un Permanent ciblé de Coût de Main ou moins. Si vous le faites, son contrôleur Ravitaille .</t>
  </si>
  <si>
    <t>Renforts</t>
  </si>
  <si>
    <t>Fugace . Choisissez l'un. Si chacune de vos Expéditions est en retard ou à égalité, vous pouvez choisir les deux : • Piochez une carte. • Créez un jeton Soldat 1/1/1 Recrue Ordis dans une Expédition ciblée.</t>
  </si>
  <si>
    <t>Rafraîchissement . (Si je vais en Réserve après résolution de mon effet, épuisez-moi Effet d'épuisement : .) Choisissez l'un. Si chacune de vos Expéditions est en retard ou à égalité, vous pouvez choisir les deux : • Piochez une carte. • Créez un jeton Soldat 1/1/1 Recrue Ordis dans une Expédition ciblée.</t>
  </si>
  <si>
    <t>Renifleur de Sève</t>
  </si>
  <si>
    <t>Effet de réserve : Vous pouvez Amplifier une carte ciblée en jeu ou en Réserve. (Si elle a des compteurs, elle en gagne 1 de plus. Cet effet ne peut cibler une carte Héros.)</t>
  </si>
  <si>
    <t>Effet flèche : Vous pouvez Amplifier une carte ciblée en jeu ou en Réserve. (Si elle a des compteurs, elle en gagne 1 de plus. Cet effet ne peut cibler une carte Héros.)</t>
  </si>
  <si>
    <t>Requiem</t>
  </si>
  <si>
    <t>Interférence , Chant</t>
  </si>
  <si>
    <t>Fugace . (Envoyez-moi à la Défausse plutôt qu'en Réserve après résolution de mon effet.) Choisissez l'un : • Défaussez un Personnage Fugace ciblé de Coût de Main ou moins. • Défaussez un Permanent ciblé de Coût de Main ou moins.</t>
  </si>
  <si>
    <t>Rafraîchissement . (Si je vais en Réserve après la résolution de mon effet, épuisez-moi Effet d'épuisement : . Une carte épuisée ne peut pas être jouée et n'a pas de capacité de Soutien.) Choisissez l'un : • Défaussez un Personnage Fugace ou Endormi ciblé de Coût de Main ou moins. • Défaussez un Permanent ciblé de Coût de Main ou moins.</t>
  </si>
  <si>
    <t>Retrait de Licence</t>
  </si>
  <si>
    <t>Fugace . (Envoyez-moi à la Défausse plutôt qu'en Réserve après résolution de mon effet.) Choisissez l'un : • Défaussez un Personnage Boosté ciblé. • Défaussez un Permanent ciblé.</t>
  </si>
  <si>
    <t>Fugace . Choisissez l'un : • Défaussez un Personnage Boosté ciblé de Coût de Main ou moins. • Défaussez un Permanent ciblé de Coût de Main ou moins.</t>
  </si>
  <si>
    <t>Rin &amp; Orchid</t>
  </si>
  <si>
    <t>Lorsqu'une de vos Expéditions avance grâce à forêt — Piochez une carte, puis mettez une carte de votre main en Réserve.</t>
  </si>
  <si>
    <t>Robin des Bois</t>
  </si>
  <si>
    <t>Les Personnages joués par vos adversaires ne peuvent pas coûter moins de . (S'ils coûtent moins, ils coûtent à la place.)</t>
  </si>
  <si>
    <t>Les Personnages joués par vos adversaires ne peuvent pas coûter moins de . (S'ils coûtent moins, ils coûtent à la place.) Effet de soutien : : La prochaine carte que vous jouez ce tour coûte de moins. (Défaussez-moi de la Réserve pour ça.)</t>
  </si>
  <si>
    <t>Les cartes jouées par vos adversaires ne peuvent pas coûter moins de . (Si elles coûtent moins, elles coûtent à la place.)</t>
  </si>
  <si>
    <t>Ruche des Scarabots</t>
  </si>
  <si>
    <t>Effet flèche : Créez un jeton Robot 2/2/2 Scarabot dans une Expédition ciblée. À Midi — Créez un jeton Robot 2/2/2 Scarabot dans une Expédition ciblée.</t>
  </si>
  <si>
    <t>Effet flèche : Créez un jeton Robot 2/2/2 Scarabot dans une Expédition ciblée. À Midi — Créez un jeton Robot 2/2/2 Scarabot dans une Expédition ciblée. Lorsqu'un Robot rejoint vos Expéditions — Il gagne 1 boost.</t>
  </si>
  <si>
    <t>Récolter</t>
  </si>
  <si>
    <t>Ravitaillez . (Mettez la première carte de votre deck en Réserve.)</t>
  </si>
  <si>
    <t>Ravitaillez , puis Ravitaillez à nouveau . (Mettez la première carte de votre deck en Réserve.)</t>
  </si>
  <si>
    <t>Récupérateur Axiom</t>
  </si>
  <si>
    <t>Régisseuse Ordis</t>
  </si>
  <si>
    <t>Effet de réserve : Vous pouvez dépenser 1 de mes boosts pour créer un jeton Soldat 1/1/1 Recrue Ordis dans votre autre Expédition. Effet continu de réserve : Lorsqu'un autre Personnage rejoint vos Expéditions — Je gagne 1 boost, jusqu'à un max de 2.</t>
  </si>
  <si>
    <t>Effet de réserve : Vous pouvez dépenser 1 de mes boosts pour créer deux jetons Soldat 1/1/1 Recrue Ordis dans votre autre Expédition. Effet continu de réserve : Lorsqu'un autre Personnage rejoint vos Expéditions — Je gagne 1 boost, jusqu'à un max de 2.</t>
  </si>
  <si>
    <t>Effet de réserve : Vous pouvez dépenser 1 de mes boosts pour créer deux jetons Soldat 1/1/1 Recrue Ordis dans votre autre Expédition. Effet continu de réserve : Lorsque vous jouez un Sort — Je gagne 1 boost, jusqu'à un max de 2.</t>
  </si>
  <si>
    <t>Sakarabru</t>
  </si>
  <si>
    <t>Effet de main : L'Expédition adverse qui me fait face recule d'une région.</t>
  </si>
  <si>
    <t>Effet de main : L'Expédition adverse qui me fait face recule d'une région. Effet de soutien : : Piochez une carte. (Défaussez-moi de la Réserve pour ça.)</t>
  </si>
  <si>
    <t>Saskia, Naturaliste Rusée</t>
  </si>
  <si>
    <t>Effet flèche : Vous pouvez donner 2 boosts à un autre Personnage ciblé en forêt .</t>
  </si>
  <si>
    <t>Effet flèche : N'importe quel nombre d'autres Personnages ciblés en forêt gagnent chacun 2 boosts.</t>
  </si>
  <si>
    <t>Scarabot</t>
  </si>
  <si>
    <t>Sceau de Conjuration</t>
  </si>
  <si>
    <t>Piochez deux cartes.</t>
  </si>
  <si>
    <t>Piochez trois cartes .</t>
  </si>
  <si>
    <t>Sceaux Adhésifs</t>
  </si>
  <si>
    <t>Fugace . (Envoyez-moi à la Défausse plutôt qu'en Réserve après résolution de mon effet.) Choisissez l'un : • Envoyez en Réserve un Personnage ciblé avec un Coût de Main ou plus. • Défaussez un Permanent ciblé avec un Coût de Main ou plus.</t>
  </si>
  <si>
    <t>Choisissez l'un : • Envoyez en Réserve un Personnage ciblé avec un Coût de Main ou plus. • Défaussez un Permanent ciblé avec un Coût de Main ou plus.</t>
  </si>
  <si>
    <t>Scribe Runique du Monolithe</t>
  </si>
  <si>
    <t>Effet de main : Si vous contrôlez un jeton, Ravitaillez . (Mettez la première carte de votre deck en Réserve.)</t>
  </si>
  <si>
    <t>Secouriste Bravos</t>
  </si>
  <si>
    <t>Effet de soutien : : Un Personnage ciblé perd Fugace . (Défaussez-moi de la Réserve pour ça.)</t>
  </si>
  <si>
    <t>Effet flèche : Vous pouvez cibler un autre Personnage Fugace . Il gagne 2 boosts. Effet de soutien : : Un Personnage ciblé perd Fugace . (Défaussez-moi de la Réserve pour ça.)</t>
  </si>
  <si>
    <t>Seiringar de Havre</t>
  </si>
  <si>
    <t>Lorsque je quitte la zone d'Expédition, si j'étais Fugace — Piochez une carte.</t>
  </si>
  <si>
    <t>Lorsque je quitte la zone d'Expédition, si j'étais Fugace — Piochez une carte. Effet de réserve : Je gagne 1 boost.</t>
  </si>
  <si>
    <t>Semer</t>
  </si>
  <si>
    <t>Rafraîchissement . (Si je vais en Réserve après la résolution de mon effet, épuisez-moi Effet d'épuisement : . Une carte épuisée ne peut pas être jouée et n'a pas de capacité de Soutien.) Un Personnage ciblé gagne 1 boost. Effet de soutien : : Le prochain Personnage que vous jouez ce tour gagne 1 boost. (Défaussez-moi de la Réserve pour ça.)</t>
  </si>
  <si>
    <t>Rafraîchissement . (Si je vais en Réserve après résolution de mon effet, épuisez-moi Effet d'épuisement : .) Un Personnage ciblé gagne 1 boost. Effet de soutien : : Un Personnage ciblé de Coût de Main ou moins gagne Ancré . (Défaussez-moi de la Réserve pour ça.)</t>
  </si>
  <si>
    <t>Shenlong</t>
  </si>
  <si>
    <t>Dragon , Divinité</t>
  </si>
  <si>
    <t>Sierra &amp; Oddball</t>
  </si>
  <si>
    <t>Lorsque vous jouez un Permanent avec un Coût de Main ou plus — Vous pouvez m'épuiser ( Effet d'épuisement : ) pour créer un jeton Robot 2/2/2 Scarabot dans une Expédition ciblée.</t>
  </si>
  <si>
    <t>Sigismar &amp; Wingspan</t>
  </si>
  <si>
    <t>À Midi — Créez un jeton Soldat 1/1/1 Recrue Ordis dans votre Expédition Héros.</t>
  </si>
  <si>
    <t>Simurgh</t>
  </si>
  <si>
    <t>Gigantesque . (Je suis considéré présent dans chacune de vos Expéditions.) Effet flèche : Si vous avez moins de cartes en Réserve qu'un adversaire ciblé, piochez une carte.</t>
  </si>
  <si>
    <t>Gigantesque . Effet flèche : Si vous avez moins de cartes en Réserve qu'un adversaire ciblé, piochez une carte.</t>
  </si>
  <si>
    <t>Gigantesque . Effet flèche : Si vous avez moins de cartes en Réserve qu'un adversaire ciblé, piochez une carte. Effet continu de réserve : La limite de toutes les Réserves est réduite de 1.</t>
  </si>
  <si>
    <t>Skadi</t>
  </si>
  <si>
    <t>Effet de réserve : Si je suis en montagne , Sabotez . Sinon, vous pouvez épuiser ( Effet d'épuisement : ) une carte ciblée en Réserve. (Une carte épuisée ne peut pas être jouée et n'a pas de capacité de Soutien.)</t>
  </si>
  <si>
    <t>Skald Lyra</t>
  </si>
  <si>
    <t>Effet de main : Vous pouvez défausser une carte de votre Réserve pour Ravitailler . (Mettez la première carte de votre deck en Réserve.) Effet de soutien : : La prochaine carte que vous jouez ce tour coûte de moins. (Défaussez-moi de la Réserve pour ça.)</t>
  </si>
  <si>
    <t>Skateuse Talarienne</t>
  </si>
  <si>
    <t>Repérage . (Vous pouvez me jouer de votre main pour avec « Effet de main : Envoyez-moi en Réserve ».) Effet flèche : Un Personnage ciblé gagne 1 boost.</t>
  </si>
  <si>
    <t>Repérage . (Vous pouvez me jouer de votre main pour avec « Effet de main : Envoyez-moi en Réserve ».) Effet flèche : Un Personnage ciblé en jeu ou en Réserve gagne 1 boost.</t>
  </si>
  <si>
    <t>Soigneuse Muna</t>
  </si>
  <si>
    <t>Sommeil Réparateur</t>
  </si>
  <si>
    <t>Un Personnage ciblé gagne Endormi . (Au Crépuscule, ignorez ses statistiques. Au Repos, il ne va pas en Réserve et il perd Endormi.)</t>
  </si>
  <si>
    <t>Un Personnage ciblé gagne Endormi . Vous pouvez lui faire gagner 2 boosts. (Au Crépuscule, ignorez ses statistiques. Au Repos, il ne va pas en Réserve et il perd Endormi.)</t>
  </si>
  <si>
    <t>Subhash &amp; Marmo</t>
  </si>
  <si>
    <t>À Midi — Vous pouvez payer et mettre une carte de votre main en Réserve pour créer un jeton Robot 2/2/2 Scarabot dans une Expédition ciblée.</t>
  </si>
  <si>
    <t>Sun Wukong</t>
  </si>
  <si>
    <t>Effet de réserve : Je gagne 2 boosts et je perds Fugace . (Un boost est un compteur +1/+1/+1. Retirez-le lorsqu'il quitte la zone d'Expédition.)</t>
  </si>
  <si>
    <t>Effet de réserve : Un Personnage ciblé gagne 2 boosts.</t>
  </si>
  <si>
    <t>Sunisa, Enseigne Dévouée</t>
  </si>
  <si>
    <t>Défenseuse . (Mon Expédition ne peut pas avancer pendant le Crépuscule.) Si mon Expédition est en retard, les Personnages Défenseurs ne l'empêchent pas d'avancer.</t>
  </si>
  <si>
    <t>Défenseuse . (Mon Expédition ne peut pas avancer pendant le Crépuscule.) Si mon Expédition est en retard, les Personnages Défenseurs ne l'empêchent pas d'avancer. Effet flèche : Créez un jeton Soldat 1/1/1 Recrue Ordis dans une Expédition ciblée.</t>
  </si>
  <si>
    <t>Superviseuse Ordis</t>
  </si>
  <si>
    <t>Bureaucrate , Soldat</t>
  </si>
  <si>
    <t>Effet flèche : Si mon Expédition est en retard, créez un jeton Soldat 1/1/1 Recrue Ordis dans mon Expédition. Effet de soutien : : Créez un jeton Soldat 1/1/1 Recrue Ordis dans une Expédition ciblée. (Défaussez-moi de la Réserve pour ça.)</t>
  </si>
  <si>
    <t>Effet flèche : Si mon Expédition est en retard, créez un jeton Soldat 1/1/1 Recrue Ordis dans mon Expédition par Bureaucrate que vous contrôlez . Effet de soutien : : Créez un jeton Soldat 1/1/1 Recrue Ordis dans une Expédition ciblée. (Défaussez-moi de la Réserve pour ça.)</t>
  </si>
  <si>
    <t>Sylas, Sorcier Insondable</t>
  </si>
  <si>
    <t>Effet de main : Piochez une carte. Effet continu de réserve : Lorsque vous jouez un Sort — Je gagne 1 boost, jusqu'à un max de 2.</t>
  </si>
  <si>
    <t>Effet de main : Piochez une carte. Effet flèche : Je gagne 1 boost pour chaque carte dans votre main. Effet continu de réserve : Lorsqu' un autre Personnage rejoint vos Expéditions — Je gagne 1 boost, jusqu'à un max de 2.</t>
  </si>
  <si>
    <t>Effet de main : Piochez une carte. Effet flèche : Je gagne 1 boost pour chaque carte dans votre main. Effet continu de réserve : Lorsque vous jouez un Sort — Je gagne 1 boost, jusqu'à un max de 2.</t>
  </si>
  <si>
    <t>Tanuki</t>
  </si>
  <si>
    <t>Effet de main : Sabotez . (Défaussez jusqu'à une carte d'une Réserve.) Effet de réserve : Lancez un dé. Sur 4+, Sabotez .</t>
  </si>
  <si>
    <t>Tapis !</t>
  </si>
  <si>
    <t>Lancez un dé. Un Personnage ciblé gagne X boosts , X étant le résultat. (Un boost est un compteur +1/+1/+1. Retirez-le lorsqu'il quitte la zone d'Expédition.)</t>
  </si>
  <si>
    <t>Lancez un dé. Un Personnage ciblé gagne X boosts, X étant le résultat.</t>
  </si>
  <si>
    <t>Lancez un dé. Vous pouvez défausser une carte de votre Réserve pour augmenter le résultat de 2. Un Personnage ciblé gagne X boosts, X étant le résultat final.</t>
  </si>
  <si>
    <t>Tasse de Sève</t>
  </si>
  <si>
    <t>Un Personnage ciblé en Réserve gagne 2 boosts.</t>
  </si>
  <si>
    <t>Un Personnage ciblé en Réserve gagne 3 boosts.</t>
  </si>
  <si>
    <t>Tatoueur Yzmir</t>
  </si>
  <si>
    <t>Artiste , Mage</t>
  </si>
  <si>
    <t>Effet de réserve : Vous pouvez dépenser 1 de mes boosts pour envoyer en Réserve un Personnage ciblé de Coût de Main ou moins. Effet continu de réserve : Lorsque vous jouez un Sort — Je gagne 1 boost, jusqu'à un max de 2.</t>
  </si>
  <si>
    <t>Effet de réserve : Vous pouvez dépenser 1 de mes boosts pour défausser un Personnage ou Permanent ciblé de Coût de Main ou moins. Effet continu de réserve : Lorsque vous jouez un autre Personnage avec une stat de base 0 — Je gagne 1 boost, jusqu'à un max de 2.</t>
  </si>
  <si>
    <t>Effet de réserve : Vous pouvez dépenser 1 de mes boosts pour défausser un Personnage ou Permanent ciblé de Coût de Main ou moins. Effet continu de réserve : Lorsque vous jouez un Sort — Je gagne 1 boost, jusqu'à un max de 2.</t>
  </si>
  <si>
    <t>Taupetaraude</t>
  </si>
  <si>
    <t>Effet de réserve : Vous pouvez dépenser 1 de mes boosts pour Saboter . (Défaussez jusqu'à une carte ciblée d'une Réserve.) Effet continu de réserve : À Midi — Choisissez l'un : • Je gagne 1 boost, jusqu'à un max de 3. • Effet d'épuisement : : Je gagne 2 boosts, jusqu'à un max de 3.</t>
  </si>
  <si>
    <t>Effet de réserve : Vous pouvez dépenser 1 compteur d'une carte que vous contrôlez ou dans votre Réserve pour Saboter . Effet continu de réserve : À Midi — Choisissez l'un : • Je gagne 1 boost, jusqu'à un max de 3. • Effet d'épuisement : : Je gagne 2 boosts, jusqu'à un max de 3.</t>
  </si>
  <si>
    <t>Effet de réserve : Vous pouvez dépenser 1 compteur d'une carte que vous contrôlez ou dans votre Réserve pour Saboter . Effet continu de réserve : Lorsqu'un autre Personnage rejoint vos Expéditions — Je gagne 1 boost, jusqu'à un max de 2.</t>
  </si>
  <si>
    <t>Taïga Saisie par les Glaces</t>
  </si>
  <si>
    <t>Lorsque vous jouez un Personnage — S'il est en forêt , je gagne 1 compteur Épreuve. Lorsque je gagne mon troisième compteur Épreuve — Sacrifiez-moi. Si vous le faites, créez un jeton Illusion 5/5/5 Reflet Draconique dans une Expédition ciblée, puis il gagne Ancré .</t>
  </si>
  <si>
    <t>Teija &amp; Nauraa</t>
  </si>
  <si>
    <t>Le premier Personnage que vous jouez chaque Après-midi gagne 1 boost . (Un boost est un compteur +1/+1/+1. Retirez-le lorsqu'il quitte la zone d'Expédition.)</t>
  </si>
  <si>
    <t>Templier de l'Aegis</t>
  </si>
  <si>
    <t>Repérage . (Vous pouvez me jouer de votre main pour avec « Effet de main : Envoyez-moi en Réserve ».) Lorsque je quitte la zone d'Expédition — Créez un jeton Soldat 1/1/1 Recrue Ordis dans mon Expédition.</t>
  </si>
  <si>
    <t>Repérage . (Vous pouvez me jouer de votre main pour avec « Effet de main : Envoyez-moi en Réserve ».) Lorsque je quitte la zone d'Expédition — Créez un jeton Robot 2/2/2 Scarabot dans mon Expédition.</t>
  </si>
  <si>
    <t>Repérage . (Vous pouvez me jouer de votre main pour avec « Effet de main : Envoyez-moi en Réserve ».) Lorsque je quitte la zone d'Expédition — Créez deux jetons Soldat 1/1/1 Recrue Ordis dans mon Expédition.</t>
  </si>
  <si>
    <t>Tente Florale</t>
  </si>
  <si>
    <t>Effet flèche : Ravitaillez . (Mettez la première carte de votre deck en Réserve.) Si un Personnage Ancré devait quitter mon Expédition pendant l'Après-midi, il perd Ancré à la place.</t>
  </si>
  <si>
    <t>Si un Personnage Boosté devait quitter mon Expédition pendant l'Après-midi, il perd tous ses boosts à la place. Effet de soutien : : Un Personnage ciblé de Coût de Main ou moins gagne Ancré . (Défaussez-moi de la Réserve pour ça.)</t>
  </si>
  <si>
    <t>Si un Personnage Ancré devait quitter mon Expédition pendant l'Après-midi, il perd Ancré à la place. Effet de soutien : : Un Personnage ciblé de Coût de Main ou moins gagne Ancré . (Défaussez-moi de la Réserve pour ça.)</t>
  </si>
  <si>
    <t>Tenue Hivernale</t>
  </si>
  <si>
    <t>Les forêt , montagne et océan des Personnages dans mon Expédition sont égales à leur statistique la plus élevée.</t>
  </si>
  <si>
    <t>Effet de réserve : Je perds Fugace . Les forêt , montagne et océan des Personnages dans mon Expédition sont égales à leur statistique la plus élevée.</t>
  </si>
  <si>
    <t>Testament de Rune</t>
  </si>
  <si>
    <t>Si mon Expédition devait avancer, vous pouvez me défausser pour piocher deux cartes à la place.</t>
  </si>
  <si>
    <t>Si mon Expédition devait avancer, vous pouvez me défausser à la place pour regarder les quatre premières cartes de votre deck. Mettez-en une dans votre main et défaussez les autres.</t>
  </si>
  <si>
    <t>Thot</t>
  </si>
  <si>
    <t>Lorsque mon Expédition n'avance pas pendant le Crépuscule — Créez un jeton Soldat 1/1/1 Recrue Ordis dans une Expédition ciblée après le Repos.</t>
  </si>
  <si>
    <t>Lorsque mon Expédition n'avance pas pendant le Crépuscule — Créez deux jetons Soldat 1/1/1 Recrue Ordis dans une Expédition ciblée après le Repos.</t>
  </si>
  <si>
    <t>Thésée</t>
  </si>
  <si>
    <t>Repérage . (Vous pouvez me jouer de votre main pour avec « Effet de main : Envoyez-moi en Réserve ».) Effet flèche : Renvoyez un Personnage ciblé dans la main de son propriétaire. Effet de réserve : Je gagne 2 boosts.</t>
  </si>
  <si>
    <t>Repérage . (Vous pouvez me jouer de votre main pour avec « Effet de main : Envoyez-moi en Réserve ».) Effet flèche : Envoyez un Personnage ciblé en Réserve. Effet de réserve : Je gagne 3 boosts.</t>
  </si>
  <si>
    <t>Tomoe Gozen</t>
  </si>
  <si>
    <t>Je ne peux pas être jouée si vous avez moins de sept Orbes de Mana.</t>
  </si>
  <si>
    <t>Je ne peux pas être jouée si vous avez moins de six Orbes de Mana .</t>
  </si>
  <si>
    <t>Toundra Saisie par les Glaces</t>
  </si>
  <si>
    <t>Lorsque vous jouez un Personnage — S'il est dans un terrain où sa statistique de base est 0, je gagne 1 compteur Épreuve. Lorsque je gagne mon troisième compteur Épreuve — Sacrifiez-moi. Si vous le faites, créez un jeton Illusion 5/5/5 Reflet Draconique dans une Expédition ciblée, puis renvoyez une carte de votre Réserve dans votre main.</t>
  </si>
  <si>
    <t>Tour de Passe-Passe</t>
  </si>
  <si>
    <t>Rafraîchissement . (Si je vais en Réserve après la résolution de mon effet, épuisez-moi Effet d'épuisement : . Une carte épuisée ne peut pas être jouée et n'a pas de capacité de Soutien.) Échangez un Personnage ciblé de votre Réserve avec une carte de votre main.</t>
  </si>
  <si>
    <t>Rafraîchissement . (Si je vais en Réserve après résolution de mon effet, épuisez-moi Effet d'épuisement : .) Échangez une carte ciblée de votre Réserve avec une carte de votre main.</t>
  </si>
  <si>
    <t>Rafraîchissement . (Si je vais en Réserve après résolution de mon effet, épuisez-moi Effet d'épuisement : .) Échangez un Sort ciblé de votre Réserve avec une carte de votre main.</t>
  </si>
  <si>
    <t>Traceuse Bravos</t>
  </si>
  <si>
    <t>Effet flèche : Je gagne Fugace . (Si je devais être envoyée en Réserve, défaussez-moi à la place.)</t>
  </si>
  <si>
    <t>Transporteur Ordis</t>
  </si>
  <si>
    <t>À Midi — Créez un jeton Soldat 1/1/1 Recrue Ordis dans votre Expédition Compagnon.</t>
  </si>
  <si>
    <t>À Midi — Créez un jeton Soldat 1/1/1 Recrue Ordis dans chacune de vos Expéditions .</t>
  </si>
  <si>
    <t>Treyst &amp; Rossum</t>
  </si>
  <si>
    <t>Lorsqu'une carte quitte votre Réserve pendant l'Après-midi — Si j'ai moins de 5 compteurs Ferraille, je gagne 1 compteur Ferraille. Si j'ai au moins 5 compteurs Ferraille, je gagne « Effet d'épuisement : : Piochez une carte, puis mettez une carte de votre main en Réserve. »</t>
  </si>
  <si>
    <t>Trois Petits Cochons</t>
  </si>
  <si>
    <t>Effet flèche : Si vous contrôlez au moins deux Repères, je gagne 1 boost . (Les cartes en Réserve ne sont pas contrôlées. Un boost est un compteur +1/+1/+1. Retirez-le lorsqu'il quitte la zone d'Expédition.)</t>
  </si>
  <si>
    <t>Effet flèche : Si vous contrôlez au moins deux Repères, je gagne 2 boosts . (Les cartes en Réserve ne sont pas contrôlées. Un boost est un compteur +1/+1/+1. Retirez-le lorsqu'il quitte la zone d'Expédition.)</t>
  </si>
  <si>
    <t>Effet flèche : Si vous contrôlez au moins un Repère, je gagne 1 boost.</t>
  </si>
  <si>
    <t>Troupière Ordis</t>
  </si>
  <si>
    <t>Unité Lab Tech</t>
  </si>
  <si>
    <t>Effet flèche : Ravitaillez . (Mettez la première carte de votre deck en Réserve.) La limite de votre Réserve augmente d'une carte.</t>
  </si>
  <si>
    <t>La limite de votre Réserve augmente d'une carte.</t>
  </si>
  <si>
    <t>Vaike, l'Énergéticienne</t>
  </si>
  <si>
    <t>Vous pouvez jouer les cartes épuisées de votre Réserve.</t>
  </si>
  <si>
    <t>Vous pouvez jouer les cartes épuisées de votre Réserve. Effet de réserve : Ravitaillez Épuisé . (Mettez la première carte de votre deck en Réserve, puis épuisez-la Effet d'épuisement : .)</t>
  </si>
  <si>
    <t>Valémon</t>
  </si>
  <si>
    <t>Noble , Animal</t>
  </si>
  <si>
    <t>Sauf si vous avez au moins huit Orbes de Mana, je suis Défenseur . (Mon Expédition ne peut pas avancer pendant le Crépuscule.)</t>
  </si>
  <si>
    <t>Sauf si vous avez au moins huit Orbes de Mana, je suis Défenseur . (Mon Expédition ne peut pas avancer pendant le Crépuscule.) Si vous avez au moins dix Orbes de Mana, je suis Gigantesque . (Je suis considéré présent dans chacune de vos Expéditions.)</t>
  </si>
  <si>
    <t>Veilleur Ordis</t>
  </si>
  <si>
    <t>Lorsque je gagne Endormi — Je gagne 1 boost.</t>
  </si>
  <si>
    <t>Si je devais gagner Endormi , je gagne Ancré à la place . (Au Repos, je ne vais pas en Réserve et je perds Ancré.)</t>
  </si>
  <si>
    <t>Vendangeurs du Fuseau</t>
  </si>
  <si>
    <t>Effet flèche : Je gagne Ancré . (Au Repos, je ne vais pas en Réserve et je perds Ancré.) À Midi — Si j'ai au moins 2 boosts, Ravitaillez . (Mettez la première carte de votre deck en Réserve.)</t>
  </si>
  <si>
    <t>Vertéchine</t>
  </si>
  <si>
    <t>J'ai Défenseur sauf si vous contrôlez au moins deux autres Plantes. (Mon Expédition ne peut pas avancer pendant le Crépuscule.)</t>
  </si>
  <si>
    <t>J'ai Défenseur sauf si vous contrôlez au moins deux Bureaucrates . (Mon Expédition ne peut pas avancer pendant le Crépuscule.)</t>
  </si>
  <si>
    <t>Videuse Bravos</t>
  </si>
  <si>
    <t>Effet de main : Sabotez . (Défaussez jusqu'à une carte d'une Réserve.) Effet de réserve : Je gagne 1 boost . (Un boost est un compteur +1/+1/+1. Retirez-le lorsqu'il quitte la zone d'Expédition.)</t>
  </si>
  <si>
    <t>Effet de main : Sabotez . (Défaussez jusqu'à une carte d'une Réserve.) Effet de réserve : Je gagne 2 boosts .</t>
  </si>
  <si>
    <t>Virée Endiablée</t>
  </si>
  <si>
    <t>Rafraîchissement . (Si je vais en Réserve après la résolution de mon effet, épuisez-moi Effet d'épuisement : . Une carte épuisée ne peut pas être jouée et n'a pas de capacité de Soutien.) Défaussez une autre carte de votre Réserve. Si vous le faites, un Personnage ciblé gagne 2 boosts.</t>
  </si>
  <si>
    <t>Défaussez une autre carte de votre Réserve. Si vous le faites, un Personnage ciblé gagne 2 boosts.</t>
  </si>
  <si>
    <t>Rafraîchissement . (Si je vais en Réserve après résolution de mon effet, épuisez-moi Effet d'épuisement : .) Défaussez une autre carte de votre Réserve. Si vous le faites, un Personnage ciblé gagne 2 boosts.</t>
  </si>
  <si>
    <t>Vishvakarma</t>
  </si>
  <si>
    <t>Effet flèche : Le prochain Permanent que vous jouez cet Après-midi coûte de moins.</t>
  </si>
  <si>
    <t>Waru &amp; Mack</t>
  </si>
  <si>
    <t>Articles Erratum [depuis le 1 février 2025]</t>
  </si>
  <si>
    <t>Lorsque vous jouez un Bureaucrate — Il gagne Endormi . (Au Crépuscule, ignorez ses statistiques. Au Repos, il ne va pas en Réserve et il perd Endormi.)</t>
  </si>
  <si>
    <t>Yong-Su, Tisserand Verdoyant</t>
  </si>
  <si>
    <t>Effet flèche : Si vous contrôlez au moins deux Plantes, je gagne 2 boosts . (Les cartes en Réserve ne sont pas contrôlées. Un boost est un compteur +1/+1/+1. Retirez-le lorsqu'il quitte la zone d'Expédition.)</t>
  </si>
  <si>
    <t>Effet flèche : Si vous avez au moins trois statistiques de base de 0 parmi les Personnages que vous contrôlez, je gagne 2 boosts.</t>
  </si>
  <si>
    <t>Yéti</t>
  </si>
  <si>
    <t>Effet de main : Je gagne Endormi . (Ignorez mes statistiques pendant le Crépuscule. Au Repos, je ne vais pas en Réserve et je perds Endormi.) Lorsqu'un autre Personnage rejoint vos Expéditions — Il gagne 1 boost.</t>
  </si>
  <si>
    <t>Effet de main : Vous pouvez me faire gagner Endormi . (Ignorez mes statistiques pendant le Crépuscule. Au Repos, je ne vais pas en Réserve et je perds Endormi.) Lorsqu'un autre Personnage rejoint vos Expéditions — Il gagne 1 boost.</t>
  </si>
  <si>
    <t>Zou !</t>
  </si>
  <si>
    <t>Envoyez en Réserve un Personnage ciblé de Coût de Main ou moins.</t>
  </si>
  <si>
    <t>Envoyez en Réserve un Personnage ciblé de Coût de Main ou moins .</t>
  </si>
  <si>
    <t>Éclaireur Morse</t>
  </si>
  <si>
    <t>Élémentaire de Kélon</t>
  </si>
  <si>
    <t>Effet de main : Mettez une carte de votre main en Réserve.</t>
  </si>
  <si>
    <t>Effet de main : Vous pouvez mettre une carte de votre main en Réserve.</t>
  </si>
  <si>
    <t>Effet flèche : Vous pouvez immédiatement jouer un Personnage pour de moins.</t>
  </si>
  <si>
    <t>Effet flèche : Vous pouvez immédiatement jouer un Personnage pour de moins. Il gagne 2 boosts.</t>
  </si>
  <si>
    <t>Effet flèche : Vous pouvez immédiatement jouer un Personnage pour de moins. Il gagne Ancré .</t>
  </si>
  <si>
    <t>Éruption de Mana</t>
  </si>
  <si>
    <t>Fugace . (Envoyez-moi à la Défausse plutôt qu'en Réserve après résolution de mon effet.) Défaussez un de vos Orbes de Mana. Si vous le faites, défaussez un Personnage ou Permanent ciblé.</t>
  </si>
  <si>
    <t>Évanescence</t>
  </si>
  <si>
    <t>Envoyez en Réserve un Personnage ciblé de Coût de Main + ou moins, X étant mon nombre de compteurs Arcane, puis épuisez-le ( Effet d'épuisement : ) . (Une carte épuisée ne peut pas être jouée et n'a pas de capacité de Soutien.) Effet continu de réserve : Lorsque vous jouez un autre Sort — Je gagne 1 compteur Arcane, jusqu'à un max de 3.</t>
  </si>
  <si>
    <t>Faites ce qui suit X+1 fois, X étant mon nombre de compteurs Arcane : • Envoyez en Réserve un Personnage ciblé de Coût de Main ou moins, puis épuisez-le ( Effet d'épuisement : ) . (Une carte épuisée ne peut pas être jouée et n'a pas de capacité de Soutien.) Effet continu de réserve : À Midi — Choisissez l'un : • Je gagne 1 compteur Arcane, jusqu'à un max de 3. • Effet d'épuisement : : Je gagne 2 compteurs Arcane, jusqu'à un max de 3.</t>
  </si>
  <si>
    <t>Faites ce qui suit X+1 fois, X étant mon nombre de compteurs Arcane : • Envoyez en Réserve un Personnage ciblé de Coût de Main ou moins, puis épuisez-le ( Effet d'épuisement : ) . (Une carte épuisée ne peut pas être jouée et n'a pas de capacité de Soutien.) Effet continu de réserve : Lorsque vous jouez un autre Sort — Je gagne 1 compteur Arcane, jusqu'à un max de 3.</t>
  </si>
  <si>
    <t>Manque (digital)</t>
  </si>
  <si>
    <t>Compléter</t>
  </si>
  <si>
    <t>Défricheur ou Sapeur Bravos</t>
  </si>
  <si>
    <t>Gericht, Honoré Bretteur</t>
  </si>
  <si>
    <t>Puissant Jinn</t>
  </si>
  <si>
    <t>Eros</t>
  </si>
  <si>
    <t>Demeter</t>
  </si>
  <si>
    <t>Acolyte Studieux</t>
  </si>
  <si>
    <t>Odyssée des cieux</t>
  </si>
  <si>
    <t>Acrobate Aérienne Lyra</t>
  </si>
  <si>
    <t>Alelo, Léviathan Énigmatique</t>
  </si>
  <si>
    <t>Apparition de Phalène</t>
  </si>
  <si>
    <t>Appât</t>
  </si>
  <si>
    <t>Beowulf</t>
  </si>
  <si>
    <t>Bessie Coleman</t>
  </si>
  <si>
    <t>Bonnet-Bleu</t>
  </si>
  <si>
    <t>Bénédiction de la Cartographe</t>
  </si>
  <si>
    <t>Caladrius</t>
  </si>
  <si>
    <t>Carrière d'Aérolithe</t>
  </si>
  <si>
    <t>Cartographe Lyra</t>
  </si>
  <si>
    <t>Champ de Laine</t>
  </si>
  <si>
    <t>Champignon Collant</t>
  </si>
  <si>
    <t>Chantier Naval Volant</t>
  </si>
  <si>
    <t>Collision de Phalènes</t>
  </si>
  <si>
    <t>Compter les Moutons</t>
  </si>
  <si>
    <t>Coucou Chamarré</t>
  </si>
  <si>
    <t>Couveuse des Scarabots</t>
  </si>
  <si>
    <t>Daikokuten</t>
  </si>
  <si>
    <t>Destins Liés</t>
  </si>
  <si>
    <t>Djinn Ardent</t>
  </si>
  <si>
    <t>Dodo Dormeur</t>
  </si>
  <si>
    <t>Doppelgänger</t>
  </si>
  <si>
    <t>Dotouffu</t>
  </si>
  <si>
    <t>Dépôt Abandonné</t>
  </si>
  <si>
    <t>Détonation</t>
  </si>
  <si>
    <t>Envol</t>
  </si>
  <si>
    <t>Eru, Émissaire de la Nature</t>
  </si>
  <si>
    <t>Expert en Démolition</t>
  </si>
  <si>
    <t>FarFetch 2.0</t>
  </si>
  <si>
    <t>Fureur de Sakarabru</t>
  </si>
  <si>
    <t>Gargouille</t>
  </si>
  <si>
    <t>Gavroche</t>
  </si>
  <si>
    <t>Grenouille Bondissante</t>
  </si>
  <si>
    <t>Grue Migratrice</t>
  </si>
  <si>
    <t>Guetteur de Léviathans</t>
  </si>
  <si>
    <t>Guide de Montagne</t>
  </si>
  <si>
    <t>Halua</t>
  </si>
  <si>
    <t>Halua, Léviathan Déchaîné</t>
  </si>
  <si>
    <t>Harponneuse Bravos</t>
  </si>
  <si>
    <t>Isaree &amp; Pebble</t>
  </si>
  <si>
    <t>Juste Ciel !</t>
  </si>
  <si>
    <t>Kali</t>
  </si>
  <si>
    <t>Kauri &amp; Puff</t>
  </si>
  <si>
    <t>Koï, Léviathan Espiègle</t>
  </si>
  <si>
    <t>L'Atelier de Peinture</t>
  </si>
  <si>
    <t>L'Intervention de Kauri</t>
  </si>
  <si>
    <t>L'Opéra</t>
  </si>
  <si>
    <t>L'Origamium</t>
  </si>
  <si>
    <t>La Chasse de Sol</t>
  </si>
  <si>
    <t>La Tortue</t>
  </si>
  <si>
    <t>Lavage de Cerveau</t>
  </si>
  <si>
    <t>Le Défi de Puff</t>
  </si>
  <si>
    <t>Le Lièvre</t>
  </si>
  <si>
    <t>Le Puits des Larmes</t>
  </si>
  <si>
    <t>Le Vilain Petit Canard</t>
  </si>
  <si>
    <t>Lucan, Léviathan Affamé</t>
  </si>
  <si>
    <t>Mandjet</t>
  </si>
  <si>
    <t>Marie Curie</t>
  </si>
  <si>
    <t>Marionnettiste Axiom</t>
  </si>
  <si>
    <t>Moyo &amp; Silk</t>
  </si>
  <si>
    <t>Méduse</t>
  </si>
  <si>
    <t>Mélusine</t>
  </si>
  <si>
    <t>Nadir &amp; Bubbles</t>
  </si>
  <si>
    <t>Navette des Scarabots</t>
  </si>
  <si>
    <t>Nikè</t>
  </si>
  <si>
    <t>Nout</t>
  </si>
  <si>
    <t>Nymphe des Forêts</t>
  </si>
  <si>
    <t>Nymphe des Mers</t>
  </si>
  <si>
    <t>Nymphe des Montagnes</t>
  </si>
  <si>
    <t>Odyssée des Cieux</t>
  </si>
  <si>
    <t>Oiseau Cuirassé</t>
  </si>
  <si>
    <t>Ondine</t>
  </si>
  <si>
    <t>Paju, Pilote Axiom</t>
  </si>
  <si>
    <t>Pan</t>
  </si>
  <si>
    <t>Parachutiste en Wingsuit</t>
  </si>
  <si>
    <t>Parlement des Cendres</t>
  </si>
  <si>
    <t>Partenaire d'Altrun</t>
  </si>
  <si>
    <t>Perdu dans le Courant</t>
  </si>
  <si>
    <t>Phileas Fogg</t>
  </si>
  <si>
    <t>Priya, Signaleuse Bravos</t>
  </si>
  <si>
    <t>Pélican Serviable</t>
  </si>
  <si>
    <t>Rage</t>
  </si>
  <si>
    <t>Rouge-gorge Rancunier</t>
  </si>
  <si>
    <t>Récif d'Aérolithe</t>
  </si>
  <si>
    <t>Sagitta, Léviathan Céleste</t>
  </si>
  <si>
    <t>Sceau Axiom</t>
  </si>
  <si>
    <t>Sceau Bravos</t>
  </si>
  <si>
    <t>Sceau Lyra</t>
  </si>
  <si>
    <t>Sceau Muna</t>
  </si>
  <si>
    <t>Sceau Ordis</t>
  </si>
  <si>
    <t>Sceau Yzmir</t>
  </si>
  <si>
    <t>Shiva</t>
  </si>
  <si>
    <t>Singe Ailé</t>
  </si>
  <si>
    <t>Sol &amp; Halua</t>
  </si>
  <si>
    <t>Station de Réapprovisionnement</t>
  </si>
  <si>
    <t>Suha, Opératrice du Qorgan</t>
  </si>
  <si>
    <t>Tengu</t>
  </si>
  <si>
    <t>Trahison</t>
  </si>
  <si>
    <t>Troupière Élevée</t>
  </si>
  <si>
    <t>Tāne</t>
  </si>
  <si>
    <t>Vent d'Ouest</t>
  </si>
  <si>
    <t>Vigile Ordis</t>
  </si>
  <si>
    <t>Vouivre</t>
  </si>
  <si>
    <t>Yanna, Agent du Qorgan</t>
  </si>
  <si>
    <t>Zaratan, Léviathan Sociable</t>
  </si>
  <si>
    <t>Zhen &amp; Zéphyr</t>
  </si>
  <si>
    <t>Émissaire Ordis</t>
  </si>
  <si>
    <t>Éris</t>
  </si>
  <si>
    <t>Vous pouvez jouer les Sorts pour de moins si leur Coût de Base est ou plus. (Coût de Main, ou Coût de Réserve si joué depuis la Réserve.)</t>
  </si>
  <si>
    <t>Vous pouvez jouer les Permanents pour de moins si leur Coût de Base est ou plus. (Coût de Main, ou Coût de Réserve si joué depuis la Réserve.)</t>
  </si>
  <si>
    <t>Si au moins trois régions mono-terrain sont visibles, mes forêt , montagne et océan sont égales à ma statistique la plus élevée.</t>
  </si>
  <si>
    <t>Gigantesque . Je suis aussi considéré comme un Sort, même quand je ne suis pas en jeu.</t>
  </si>
  <si>
    <t>Gigantesque . Je suis aussi considéré comme un Permanent d'Expédition, même quand je ne suis pas en jeu.</t>
  </si>
  <si>
    <t>Conjuration , Manœuvre</t>
  </si>
  <si>
    <t>Créez un jeton Illusion 2/2/2 Phalène de Mana dans une Expédition ciblée. Piochez une carte.</t>
  </si>
  <si>
    <t>Fugace . Créez deux jetons Illusion 2/2/2 Phalène de Mana , distribués dans n'importe quel nombre d'Expéditions. Piochez une carte.</t>
  </si>
  <si>
    <t>Fugace . (Envoyez-moi à la Défausse plutôt qu'en Réserve après résolution de mon effet.) Un jeton Personnage ciblé trahit. (Il rejoint l'Expédition qui lui fait face et change de contrôleur.)</t>
  </si>
  <si>
    <t>Fugace . Jusqu'à trois jetons Personnages ciblés trahissent. (Ils rejoignent chacun l'Expédition qui leur fait face et changent de contrôleur.)</t>
  </si>
  <si>
    <t>Lorsque je quitte la zone d'Expédition — Vous pouvez jouer un Personnage de Coût de Base ou moins gratuitement. (Coût de Main, ou Coût de Réserve si joué depuis la Réserve.)</t>
  </si>
  <si>
    <t>Lorsque je quitte la zone d'Expédition — Vous pouvez jouer un Permanent de Coût de Base ou moins gratuitement. (Coût de Main, ou Coût de Réserve si joué depuis la Réserve.)</t>
  </si>
  <si>
    <t>Lorsque vous sacrifiez un Permanent — Si je n'ai pas de boost, je gagne 1 boost.</t>
  </si>
  <si>
    <t>Lorsque vous sacrifiez un Permanent — Si j'ai moins de 2 boosts, je gagne 1 boost.</t>
  </si>
  <si>
    <t>Lorsque vous sacrifiez un Personnage ou un Permanent — Si je n'ai pas de boost, je gagne 1 boost.</t>
  </si>
  <si>
    <t>Lorsque mon Expédition n'avance pas pendant le Crépuscule — Créez un jeton Aérolithe dans vos Repères. (C'est un Permanent avec « Quand je suis sacrifié — Ravitaillez. Effet d'épuisement : , : Sacrifiez-moi. »)</t>
  </si>
  <si>
    <t>Lorsque mon Expédition n'avance pas pendant le Crépuscule — Créez un jeton Aérolithe dans vos Repères.</t>
  </si>
  <si>
    <t>Lorsque mon Expédition n'avance pas pendant le Crépuscule — Créez un jeton Aérolithe dans vos Repères. Si aucune de vos Expéditions n'a avancé pendant le Crépuscule, créez-en deux à la place.</t>
  </si>
  <si>
    <t>Si au moins trois régions mono-terrain sont visibles, un Personnage ciblé gagne 4 boosts. Sinon, il gagne 2 boosts.</t>
  </si>
  <si>
    <t>Effet de main : Vous pouvez envoyer en Réserve un Personnage ciblé de Coût de Main ou moins.</t>
  </si>
  <si>
    <t>À Midi — Si votre adversaire est le premier joueur, créez un jeton Aérolithe dans vos Repères. (C'est un Permanent avec « Quand je suis sacrifié — Ravitaillez. Effet d'épuisement : , : Sacrifiez-moi. »)</t>
  </si>
  <si>
    <t>À Midi — Si votre adversaire est le premier joueur, créez un jeton Aérolithe dans vos Repères. Lorsque vous sacrifiez un Permanent — Vous pouvez m'épuiser ( Effet d'épuisement : ) pour donner 1 boost à un Personnage ciblé.</t>
  </si>
  <si>
    <t>À Midi — Si votre adversaire est le premier joueur, créez un jeton Aérolithe dans vos Repères.</t>
  </si>
  <si>
    <t>Effet flèche : Si au moins trois régions mono-terrain sont visibles, je gagne 1 boost.</t>
  </si>
  <si>
    <t>Effet de main : Si au moins cinq régions mono-terrain sont visibles, un Personnage ciblé gagne Endormi . Effet flèche : Si au moins trois régions mono-terrain sont visibles, je gagne 1 boost.</t>
  </si>
  <si>
    <t>Effet d'épuisement : : Créez un jeton Animal Dotouffu 1/1/1 dans l'Expédition Compagnon d'un adversaire ciblé. Le prochain Personnage que vous jouez ce tour-ci gagne 1 boost.</t>
  </si>
  <si>
    <t>Effet flèche : Créez un jeton Animal Dotouffu 1/1/1 dans l'Expédition Compagnon d'un adversaire ciblé. Effet d'épuisement : : Créez un jeton Animal Dotouffu 1/1/1 dans l'Expédition Compagnon d'un adversaire ciblé. Le prochain Personnage que vous jouez ce tour-ci gagne 1 boost.</t>
  </si>
  <si>
    <t>Effet flèche : Je gagne Ancré . À Midi — Si je suis en forêt , créez un jeton Aérolithe dans les Repères d'un joueur ciblé.</t>
  </si>
  <si>
    <t>Lorsque vous passez en premier — Créez un jeton Aérolithe dans vos Repères. (C'est un Permanent avec « Quand je suis sacrifié — Ravitaillez. Effet d'épuisement : , : Sacrifiez-moi. »)</t>
  </si>
  <si>
    <t>Lorsque vous passez en premier — Créez un jeton Aérolithe dans vos Repères.</t>
  </si>
  <si>
    <t>Lorsque vous passez en premier — Un Personnage ciblé gagne 1 boost, puis créez un jeton Aérolithe dans les Repères d'un joueur ciblé.</t>
  </si>
  <si>
    <t>Fugace . (Envoyez-moi à la Défausse plutôt qu'en Réserve après résolution de mon effet.) Si vous contrôlez une Illusion, je coûte de moins. Défaussez un Personnage ciblé.</t>
  </si>
  <si>
    <t>Fugace . Si vous contrôlez un Soldat, je coûte de moins. Défaussez un Personnage ciblé.</t>
  </si>
  <si>
    <t>Fugace . Si vous contrôlez une Illusion, je coûte de moins. Défaussez un Personnage ciblé de Coût de Main ou moins.</t>
  </si>
  <si>
    <t>Fugace . Ciblez deux Expéditions et créez un jeton Animal Dotouffu 1/1/1 dans chacune d'elles. Puis, chaque Personnage de Coût de Main ou moins gagne Endormi . (Pendant le Crépuscule, ignorez leurs statistiques. Au Repos, ils ne vont pas en Réserve et ils perdent Endormi.)</t>
  </si>
  <si>
    <t>Fugace . Ciblez deux Expéditions et créez un jeton Animal Dotouffu 1/1/1 dans chacune d'elles. Puis, chaque Personnage de Coût de Main ou moins gagne Endormi .</t>
  </si>
  <si>
    <t>Fugace . Créez un jeton Animal Dotouffu 1/1/1 dans chaque Expédition. Puis, chaque Personnage de Coût de Main ou moins gagne Endormi .</t>
  </si>
  <si>
    <t>Effet flèche : Je gagne Ancré . (Au Repos, je ne vais pas en Réserve et je perds Ancré.) Lorsqu'un Personnage rejoint l'Expédition qui me fait face — Je gagne 1 boost.</t>
  </si>
  <si>
    <t>Effet flèche : Je gagne Ancré . Lorsqu'un Personnage rejoint l'Expédition qui me fait face — Je gagne 1 boost. Lorsque je vais dans votre Réserve depuis la zone d'Expédition, si j'avais au moins 2 boosts — Vous pouvez mettre une carte de votre Réserve dans votre zone de Mana (en tant qu'Orbe de Mana épuisé) .</t>
  </si>
  <si>
    <t>Effet flèche : Créez un jeton Aérolithe dans vos Repères. (C'est un Permanent avec « Quand je suis sacrifié — Ravitaillez. Effet d'épuisement : , : Sacrifiez-moi. ») Effet d'épuisement : , , Sacrifiez un Permanent : créez un jeton Robot 2/2/2 Scarabot dans une Expédition ciblée.</t>
  </si>
  <si>
    <t>Effet d'épuisement : , , Sacrifiez un Permanent : créez un jeton Robot 2/2/2 Scarabot dans une Expédition ciblée.</t>
  </si>
  <si>
    <t>Effet flèche : Créez un jeton Aérolithe dans vos Repères. Effet d'épuisement : , , Sacrifiez un Permanent : créez un jeton Robot 2/2/2 Scarabot dans une Expédition ciblée.</t>
  </si>
  <si>
    <t>Effet flèche : Un adversaire ciblé peut immédiatement jouer un Sort gratuitement.</t>
  </si>
  <si>
    <t>Effet flèche : Un adversaire ciblé peut immédiatement jouer une carte de Coût de Base ou plus gratuitement. (Coût de Main, ou Coût de Réserve si joué depuis la Réserve.)</t>
  </si>
  <si>
    <t>Fugace . Vous pouvez jouer immédiatement un Personnage pour de moins dans votre Expédition Compagnon. Il gagne Ancré . (Au Repos, il ne va pas en Réserve et il perd Ancré.)</t>
  </si>
  <si>
    <t>Fugace . Vous pouvez jouer immédiatement un Personnage pour de moins dans votre Expédition Compagnon. Il gagne Ancré .</t>
  </si>
  <si>
    <t>Fugace . Un joueur ciblé peut immédiatement jouer un Personnage gratuitement dans son Expédition Compagnon. Il gagne Ancré .</t>
  </si>
  <si>
    <t>Effet de réserve : Mettez la première carte de votre deck dans votre zone de Mana (en tant qu'Orbe de Mana épuisé) .</t>
  </si>
  <si>
    <t>Effet de réserve : Vous pouvez Foncer pour mettre la première carte de votre deck dans votre zone de Mana, épuisée. (Foncer signifie jouer une autre carte immédiatement.)</t>
  </si>
  <si>
    <t>Effet flèche : Je gagne Endormi . (Pendant le Crépuscule, ignorez mes statistiques. Au Repos, je ne vais pas en Réserve et je perds Endormi.) Lorsqu'un Personnage rejoint l'Expédition qui me fait face — Vous pouvez me faire perdre Endormi .</t>
  </si>
  <si>
    <t>Effet flèche : Je gagne Endormi . Lorsqu'un Personnage rejoint l'Expédition qui me fait face — Je gagne 1 boost.</t>
  </si>
  <si>
    <t>Effet flèche : Ciblez un Personnage qui me fait face. Je gagne ses sous-types et X boosts, X étant la valeur de sa statistique la plus élevée. (Je perds ces sous-types lorsque je quitte la zone d'Expédition.)</t>
  </si>
  <si>
    <t>Aguerri . (Je conserve mes boosts lorsque je vais en Réserve.) Effet de main : Ciblez un Personnage qui me fait face. Je gagne ses sous-types et X boosts, X étant la valeur de sa statistique la plus élevée. (Je perds ces sous-types lorsque je quitte la zone d'Expédition.)</t>
  </si>
  <si>
    <t>(Lorsque je quitte la zone d'Expédition, retirez-moi du jeu.)</t>
  </si>
  <si>
    <t>Effet flèche : Piochez une carte. Lorsque je suis sacrifié — Piochez une carte. (Les Repères excédentaires sont sacrifiés à la fin du Jour.) Effet d'épuisement : , : Sacrifiez-moi.</t>
  </si>
  <si>
    <t>Effet flèche : Piochez une carte. Lorsque je suis sacrifié — Ravitaillez . (Les Repères excédentaires sont sacrifiés à la fin du Jour.) Effet d'épuisement : , : Sacrifiez-moi.</t>
  </si>
  <si>
    <t>Fugace . (Envoyez-moi à la Défausse plutôt qu'en Réserve après résolution de mon effet.) Vous pouvez sacrifier un Permanent pour réduire mon coût de . Envoyez un Personnage ciblé en Réserve.</t>
  </si>
  <si>
    <t>Fugace . Vous pouvez sacrifier un Permanent pour réduire mon coût de . Envoyez en Réserve un Personnage ciblé de Coût de Main ou moins.</t>
  </si>
  <si>
    <t>Une Expédition ciblée s'Élève . (Jusqu'au Repos, elle peut avancer même en cas de stats égales à l'Expédition adverse sur les terrains de sa région.) Effet de soutien : : Le prochain Personnage que vous jouez ce tour-ci gagne 1 boost.</t>
  </si>
  <si>
    <t>Une Expédition ciblée s'Élève . Vous pouvez donner 1 boost à un Personnage ciblé dans une Expédition Élevée. Effet de soutien : : Le prochain Personnage que vous jouez ce tour-ci gagne 1 boost.</t>
  </si>
  <si>
    <t>Effet de main : Vous pouvez faire gagner Ancré à un Personnage ciblé qui me fait face. Si vous le faites, je gagne Ancré . (Au Repos, je ne vais pas en Réserve et je perds Ancré.)</t>
  </si>
  <si>
    <t>Effet de main : Créez un jeton Aérolithe dans vos Repères. (C'est un Permanent avec « Quand je suis sacrifié — Ravitaillez. Effet d'épuisement : , : Sacrifiez-moi. ») Effet de réserve : Vous pouvez sacrifier un Permanent.</t>
  </si>
  <si>
    <t>Effet de main : Créez un jeton Aérolithe dans les Repères d'un joueur ciblé. Effet de réserve : Vous pouvez sacrifier un Permanent pour donner 1 boost à un Personnage ciblé.</t>
  </si>
  <si>
    <t>Effet flèche : Vous pouvez sacrifier un Permanent. Si vous le faites, un Personnage ciblé change d'Expédition. (Il quitte son Expédition et rejoint l'autre Expédition de son contrôleur.)</t>
  </si>
  <si>
    <t>Effet flèche : Vous pouvez sacrifier un Permanent. Si vous le faites, un Personnage ciblé change d'Expédition.</t>
  </si>
  <si>
    <t>Effet flèche : Vous pouvez sacrifier un Personnage ou un Permanent. Si vous le faites, un Personnage ciblé change d'Expédition.</t>
  </si>
  <si>
    <t>Fugace . (Envoyez-moi à la Défausse plutôt qu'en Réserve après résolution de mon effet.) Une Expédition ciblée recule d'une région.</t>
  </si>
  <si>
    <t>Fugace . Défaussez chaque Personnage d'une Expédition ciblée, puis cette Expédition recule d'une région.</t>
  </si>
  <si>
    <t>Effet de main : Une Expédition ciblée s'Élève . (Jusqu'au Repos, elle peut avancer même en cas de stats égales à l'Expédition adverse sur les terrains de sa région.)</t>
  </si>
  <si>
    <t>Effet flèche : Une Expédition ciblée s'Élève .</t>
  </si>
  <si>
    <t>Effet de réserve : Créez un jeton Aérolithe dans vos Repères. (C'est un Permanent avec « Quand je suis sacrifié — Ravitaillez. Effet d'épuisement : , : Sacrifiez-moi. »)</t>
  </si>
  <si>
    <t>Effet de réserve : Vous pouvez sacrifier un Permanent pour créer un jeton Aérolithe dans vos Repères.</t>
  </si>
  <si>
    <t>Effet de réserve : Vous pouvez défausser une carte de votre Réserve pour créer un jeton Aérolithe dans vos Repères.</t>
  </si>
  <si>
    <t>Lorsque vous passez en premier — Je gagne 1 boost.</t>
  </si>
  <si>
    <t>Lorsque vous passez en premier — Un Personnage ciblé gagne 1 boost.</t>
  </si>
  <si>
    <t>Lorsqu'un Personnage rejoint l'Expédition qui me fait face — Vous pouvez me faire changer d'Expédition. (Je quitte mon Expédition et rejoins votre autre Expédition.)</t>
  </si>
  <si>
    <t>Lorsqu'un Personnage rejoint l'Expédition qui me fait face — Vous pouvez me faire changer d'Expédition.</t>
  </si>
  <si>
    <t>Effet de réserve : Vous pouvez révéler un Personnage de Coût de Main ou plus de votre main. Si vous le faites, piochez une carte.</t>
  </si>
  <si>
    <t>Effet de réserve : Vous pouvez révéler un Sort de Coût de Main ou plus de votre main. Si vous le faites, piochez une carte.</t>
  </si>
  <si>
    <t>Effet de soutien : : La prochaine carte que vous jouez ce tour coûte de moins.</t>
  </si>
  <si>
    <t>Compagnon , Léviathan</t>
  </si>
  <si>
    <t>Si votre Héros a au moins 5 compteurs Quête, je suis Gigantesque . (Un Personnage Gigantesque est considéré présent dans les deux Expéditions. Lorsque je quitte la zone d'Expédition, retirez-moi du jeu.)</t>
  </si>
  <si>
    <t>Gigantesque , Coriace 1 . Au Crépuscule — Chaque Personnage gagne Fugace .</t>
  </si>
  <si>
    <t>Gigantesque , Coriace 1 . Au Crépuscule — Chaque autre Personnage gagne Fugace . Effet de soutien : : Piochez une carte.</t>
  </si>
  <si>
    <t>Effet de main : Vous pouvez Foncer pour Saboter . (Foncer signifie jouer une autre carte immédiatement. Si vous le faites, défaussez jusqu'à une carte ciblée d'une Réserve.)</t>
  </si>
  <si>
    <t>Effet flèche : Vous pouvez Foncer pour Saboter . (Foncer signifie jouer une autre carte immédiatement.)</t>
  </si>
  <si>
    <t>À Midi — Si vous êtes le premier joueur, créez un jeton Aérolithe dans vos Repères. (C'est un Permanent avec « Quand je suis sacrifié — Ravitaillez. Effet d'épuisement : , : Sacrifiez-moi. »)</t>
  </si>
  <si>
    <t>Fugace . (Envoyez-moi à la Défausse plutôt qu'en Réserve après résolution de mon effet.) Je coûte de moins si au moins une de vos Expéditions est Élevée. Envoyez un Personnage ciblé en Réserve.</t>
  </si>
  <si>
    <t>Fugace . Je coûte de moins si au moins une de vos Expéditions est Élevée. Envoyez un Personnage ciblé en Réserve.</t>
  </si>
  <si>
    <t>Fugace . Je coûte de moins pour chacune de vos Expéditions Élevées. Envoyez un Personnage ciblé en Réserve.</t>
  </si>
  <si>
    <t>Effet de main : Vous pouvez mettre un Sort de votre main en Réserve. Si vous ne le faites pas, sacrifiez-moi.</t>
  </si>
  <si>
    <t>Effet de main : Vous pouvez mettre un Permanent de votre main en Réserve. Si vous ne le faites pas, sacrifiez un Permanent.</t>
  </si>
  <si>
    <t>Effet de main : Vous pouvez mettre un Sort de votre main en Réserve. Si vous ne le faites pas, sacrifiez un Personnage.</t>
  </si>
  <si>
    <t>À Midi — Si vous êtes le premier joueur, créez un jeton Animal Dotouffu 1/1/1 dans l'Expédition Compagnon d'un adversaire ciblé, puis piochez une carte.</t>
  </si>
  <si>
    <t>Gigantesque .</t>
  </si>
  <si>
    <t>Gigantesque . Effet de main : Si aucune de mes Expéditions n'est en montagne , piochez une carte.</t>
  </si>
  <si>
    <t>Effet flèche : Ravitaillez . (Mettez la première carte de votre deck en Réserve.) À Midi — Si au moins trois régions mono-terrain sont visibles, vous pouvez donner 1 boost à un Personnage ciblé en Réserve.</t>
  </si>
  <si>
    <t>Effet flèche : Ravitaillez . À Midi — Si au moins trois régions mono-terrain sont visibles, vous pouvez donner 1 boost à un Personnage ciblé en Réserve.</t>
  </si>
  <si>
    <t>Effet flèche : Ravitaillez , puis Ravitaillez à nouveau. À Midi — Si au moins trois régions mono-terrain sont visibles, vous pouvez donner 2 boosts à un Personnage ciblé en Réserve.</t>
  </si>
  <si>
    <t>Fugace . (Envoyez-moi à la Défausse plutôt qu'en Réserve après résolution de mon effet.) Ce Jour, les Personnages de Coût de Main ou plus que vous contrôlez sont Coriaces 5 . (Les adversaires doivent payer pour les cibler.)</t>
  </si>
  <si>
    <t>Ciblez un joueur. Ce Jour, les Personnages de Coût de Main ou plus qu'il contrôle sont Coriaces 5 .</t>
  </si>
  <si>
    <t>Effet d'épuisement : : Révélez la première carte de votre deck. Si c'est un Sort, piochez-la. (Sinon, laissez-la au-dessus de votre deck.)</t>
  </si>
  <si>
    <t>Effet d'épuisement : : Révélez la première carte de votre deck. Si c'est un Sort, piochez-la. Si c'est un Permanent, mettez-la en Réserve. (Sinon, laissez-la au-dessus de votre deck.)</t>
  </si>
  <si>
    <t>Effet flèche : Une Expédition ciblée s'Élève . (Jusqu'au Repos, elle peut avancer même en cas de stats égales à l'Expédition adverse sur les terrains de sa région.) Lorsque vous jouez un Personnage — S'il est dans une Expédition Élevée, vous pouvez m'épuiser ( Effet d'épuisement : ) pour lui donner 1 boost.</t>
  </si>
  <si>
    <t>Effet flèche : Une Expédition ciblée s'Élève . Effet d'épuisement : : Un Personnage ciblé dans une région mono-terrain gagne 1 boost.</t>
  </si>
  <si>
    <t>Effet flèche : Une Expédition ciblée s'Élève . Effet d'épuisement : : Un Personnage ciblé dans une Expédition Élevée gagne 1 boost.</t>
  </si>
  <si>
    <t>Fugace . Envoyez un Personnage ciblé en Réserve. Vous pouvez Foncer pour Saboter . (Foncer signifie jouer une autre carte immédiatement. Si vous le faites, défaussez jusqu'à une carte ciblée d'une Réserve.)</t>
  </si>
  <si>
    <t>Fugace . Envoyez un Personnage ciblé en Réserve. Si vous êtes le premier joueur, vous pouvez Foncer pour Saboter . (Foncer signifie jouer une autre carte immédiatement.)</t>
  </si>
  <si>
    <t>Effet de main : Si votre adversaire est le premier joueur, vous devenez le premier joueur. Effet de soutien : : Après vous . (Défaussez-moi de la Réserve pour terminer votre tour comme si vous aviez joué une carte.)</t>
  </si>
  <si>
    <t>Fugace . Ciblez un Personnage de Coût de Réserve ou moins dans n'importe quelle Réserve. Jouez-le gratuitement. (Placez-le dans l'une de vos Expéditions. S'il devait aller dans votre Défausse ou dans une autre zone personnelle, il va dans celle de son propriétaire à la place.)</t>
  </si>
  <si>
    <t>Fugace . Ciblez un Personnage de Coût de Réserve ou moins dans n'importe quelle Réserve. Jouez-le gratuitement. (Placez-le dans l'une de vos Expéditions.)</t>
  </si>
  <si>
    <t>Fugace . (Envoyez-moi à la Défausse plutôt qu'en Réserve après résolution de mon effet.) Si un adversaire contrôle au moins trois Personnages, je coûte de moins. Envoyez un Personnage ciblé en Réserve.</t>
  </si>
  <si>
    <t>Fugace . Si un adversaire contrôle au moins trois Personnages, je coûte de moins. Envoyez un Personnage ciblé en Réserve.</t>
  </si>
  <si>
    <t>Effet de main : Si vous êtes le premier joueur, un joueur ciblé devient le premier joueur.</t>
  </si>
  <si>
    <t>Lorsque vous jouez un Sort de Coût de Base ou plus — Vous pouvez donner 1 boost à un Personnage ciblé. (Coût de Main, ou Coût de Réserve si joué depuis la Réserve.)</t>
  </si>
  <si>
    <t>Lorsque vous jouez une carte de Coût de Base ou plus — Vous pouvez donner 1 boost à un Personnage ciblé. (Coût de Main, ou Coût de Réserve si joué depuis la Réserve.)</t>
  </si>
  <si>
    <t>Effet de soutien : : Une Expédition ciblée s'Élève . (Jusqu'au Repos, elle peut avancer même en cas de stats égales à l'Expédition adverse sur les terrains de sa région.)</t>
  </si>
  <si>
    <t>Effet flèche : Vous pouvez payer . Si vous le faites, je gagne 1 boost et mon Expédition s'Élève . Effet de soutien : : Une Expédition ciblée s'Élève .</t>
  </si>
  <si>
    <t>Gigantesque . Effet flèche : Vous pouvez défausser autant de cartes que vous le voulez de votre Réserve pour me donner autant de boosts.</t>
  </si>
  <si>
    <t>Gigantesque , Coriace 1 . Effet flèche : Vous pouvez sacrifier autant de Permanents que vous le voulez pour me donner autant de boosts.</t>
  </si>
  <si>
    <t>Effet d'épuisement : : Une Expédition ciblée s'Élève . (Jusqu'au Repos, elle peut avancer même en cas de stats égales à l'Expédition adverse sur les terrains de sa région.)</t>
  </si>
  <si>
    <t>Effet d'épuisement : : Une Expédition ciblée s'Élève .</t>
  </si>
  <si>
    <t>Effet d'épuisement : : Une Expédition ciblée s'Élève . Si une de vos Expéditions Élevées devait s'Élever à nouveau, Ravitaillez à la place.</t>
  </si>
  <si>
    <t>Scientifique</t>
  </si>
  <si>
    <t>Effet de main : Vous pouvez sacrifier un Permanent. Si vous ne le faites pas, je gagne Fugace .</t>
  </si>
  <si>
    <t>Effet de main : Vous pouvez sacrifier un Personnage ou un Permanent. Si vous ne le faites pas, je gagne Fugace .</t>
  </si>
  <si>
    <t>Effet de main : Vous pouvez sacrifier un Permanent pour Saboter . (Défaussez jusqu'à une carte ciblée d'une Réserve.)</t>
  </si>
  <si>
    <t>Effet de main : Vous pouvez sacrifier un Permanent pour Saboter . Lorsque vous sacrifiez un Permanent — Si je n'ai pas de boost, je gagne 1 boost.</t>
  </si>
  <si>
    <t>Effet de main : Vous pouvez sacrifier un Personnage ou un Permanent pour Saboter .</t>
  </si>
  <si>
    <t>Lorsque vous jouez un Sort de Coût de Base ou plus — Vous pouvez m'épuiser ( Effet d'épuisement : ) pour créer un jeton Illusion 2/2/2 Phalène de Mana dans votre Expédition Héros. Si le Coût de Base était d'au moins , piochez aussi une carte. (Coût de Main, ou Coût de Réserve si joué depuis la Réserve.)</t>
  </si>
  <si>
    <t>Effet de réserve : Vous pouvez défausser un Personnage ciblé. Si vous le faites, créez un jeton Aérolithe dans les Repères de son contrôleur. (C'est un Permanent avec « Quand je suis sacrifié — Ravitaillez. Effet d'épuisement : , : Sacrifiez-moi. »)</t>
  </si>
  <si>
    <t>Effet de réserve : Vous pouvez défausser un Personnage ciblé. Si vous le faites, créez un jeton Aérolithe dans les Repères de chaque joueur.</t>
  </si>
  <si>
    <t>Effet de réserve : Vous pouvez défausser un Personnage ciblé. Si vous le faites, créez un jeton Aérolithe dans les Repères de son contrôleur.</t>
  </si>
  <si>
    <t>Effet de main : Si je suis dans une Expédition Élevée, Sabotez . Sinon, mon Expédition s'Élève . (Jusqu'au Repos, elle peut avancer même en cas de stats égales à l'Expédition adverse sur les terrains de sa région.)</t>
  </si>
  <si>
    <t>Effet de main : Si je suis dans une région mono-terrain, Sabotez . Sinon, mon Expédition s'Élève .</t>
  </si>
  <si>
    <t>Effet de main : Si je suis dans une Expédition Élevée, Sabotez . Sinon, mon Expédition s'Élève .</t>
  </si>
  <si>
    <t>Je commence la partie avec un marqueur Terrain forêt , un montagne et un océan . À Midi — Vous pouvez placer l'un de mes marqueurs sur une région visible ciblée. (Elle gagne le terrain du marqueur et perd ses autres terrains jusqu'à ce que ce marqueur soit retiré.)</t>
  </si>
  <si>
    <t>Lorsque je suis sacrifié — Créez un jeton Robot 2/2/2 Scarabot dans chacune de vos Expéditions. (Les Repères excédentaires sont sacrifiés à la fin du Jour.)</t>
  </si>
  <si>
    <t>Éternelle . (Au Repos, je ne vais pas en Réserve.) À Midi — Une Expédition ciblée s'Élève . (Jusqu'au Repos, elle peut avancer même en cas de stats égales à l'Expédition adverse sur les terrains de sa région.)</t>
  </si>
  <si>
    <t>Éternelle . (Au Repos, je ne vais pas en Réserve.) À Midi — Une Expédition ciblée s'Élève .</t>
  </si>
  <si>
    <t>Si mon Expédition est Élevée, je suis Éternelle . (Au Repos, je ne vais pas en Réserve.)</t>
  </si>
  <si>
    <t>Effet de main : S'il y a au moins neuf statistiques de base 0 parmi les Personnages que vous contrôlez et dans votre Réserve, tous les joueurs passent. (En commençant par vous, ils terminent leur Après-midi et ne jouent plus de tours ce Jour-ci.)</t>
  </si>
  <si>
    <t>Effet de main : S'il y a au moins 7 boosts parmi les Personnages que vous contrôlez et dans votre Réserve, tous les joueurs passent. (En commençant par vous, ils terminent leur Après-midi et ne jouent plus de tours ce Jour-ci.)</t>
  </si>
  <si>
    <t>Effet de main : Si je suis face à une Expédition en forêt , vous pouvez faire gagner Fugace à un Personnage ciblé. (S'il devait être envoyé en Réserve, défaussez-le à la place.)</t>
  </si>
  <si>
    <t>Effet de main : Si je suis face à une Expédition en forêt , vous pouvez faire gagner Fugace à un Personnage ciblé. Effet de réserve : Vous pouvez déplacer un marqueur Terrain forêt de n'importe quelle région vers ma région.</t>
  </si>
  <si>
    <t>Effet flèche : Si je suis face à une Expédition en forêt , vous pouvez faire gagner Fugace à un Personnage ciblé.</t>
  </si>
  <si>
    <t>Effet de main : Si je suis face à une Expédition en océan , Sabotez . (Défaussez jusqu'à une carte ciblée d'une Réserve.)</t>
  </si>
  <si>
    <t>Effet de main : Si je suis face à une Expédition en océan , Sabotez . Effet de réserve : Vous pouvez déplacer un marqueur Terrain océan de n'importe quelle région vers ma région.</t>
  </si>
  <si>
    <t>Effet flèche : Si je suis face à une Expédition en océan , Sabotez .</t>
  </si>
  <si>
    <t>Effet de main : Si je suis face à une Expédition en montagne , créez un jeton Aérolithe dans vos Repères. (C'est un Permanent avec « Quand je suis sacrifié — Ravitaillez. Effet d'épuisement : , : Sacrifiez-moi. »)</t>
  </si>
  <si>
    <t>Effet flèche : Si je suis face à une Expédition en montagne , créez un jeton Aérolithe dans les Repères d'un joueur ciblé.</t>
  </si>
  <si>
    <t>Effet de main : Si je suis face à une Expédition en montagne , créez un jeton Aérolithe dans les Repères d'un joueur ciblé. Effet de réserve : Vous pouvez déplacer un marqueur Terrain montagne de n'importe quelle région vers ma région.</t>
  </si>
  <si>
    <t>Piochez une carte. Vos deux Expéditions s'Élèvent . (Jusqu'au Repos, elles peuvent avancer même en cas de stats égales aux Expéditions adverses sur les terrains de leurs régions.) Jouez immédiatement jusqu'à deux Personnages de Coût de Base ou moins gratuitement. (Coût de Main, ou Coût de Réserve si joué depuis la Réserve.)</t>
  </si>
  <si>
    <t>Piochez une carte. Vos deux Expéditions s'Élèvent . Jouez immédiatement jusqu'à deux Personnages de Coût de Base ou moins gratuitement. (Coût de Main, ou Coût de Réserve si joué depuis la Réserve.)</t>
  </si>
  <si>
    <t>Piochez une carte. Vos deux Expéditions s'Élèvent . Jouez immédiatement jusqu'à trois Personnages de Coût de Base ou moins gratuitement. (Coût de Main, ou Coût de Réserve si joué depuis la Réserve.)</t>
  </si>
  <si>
    <t>Je suis Défenseur sauf si je suis face à au moins deux Personnages. (Mon Expédition ne peut pas avancer pendant le Crépuscule.)</t>
  </si>
  <si>
    <t>Effet de soutien : : Le prochain Sort que vous jouez ce tour perd Fugace .</t>
  </si>
  <si>
    <t>Effet de soutien : : Créez un jeton Aérolithe dans les Repères d'un joueur ciblé. (Défaussez-moi de la Réserve pour ça.)</t>
  </si>
  <si>
    <t>Lorsqu'un Robot ou un jeton rejoint mon Expédition — Si je n'ai pas de boost, je gagne 1 boost. Puis, créez un jeton Aérolithe dans vos Repères. Effet de soutien : : Créez un jeton Aérolithe dans les Repères d'un joueur ciblé.</t>
  </si>
  <si>
    <t>Effet de main : Sabotez . Si vous avez défaussé une carte de cette façon, créez un jeton Animal Dotouffu 1/1/1 dans l'Expédition Compagnon de son propriétaire. (Saboter signifie défausser jusqu'à une carte d'une Réserve.)</t>
  </si>
  <si>
    <t>Effet de main : Sabotez . Si vous avez défaussé une carte de cette façon, créez un jeton Animal Dotouffu 1/1/1 dans l'Expédition Compagnon de son propriétaire. Vous pouvez lui faire gagner Endormi .</t>
  </si>
  <si>
    <t>Effet de réserve : Vous pouvez Foncer pour piocher une carte. (Foncer signifie jouer une autre carte immédiatement.)</t>
  </si>
  <si>
    <t>Effet de main : Vous pouvez Foncer pour piocher une carte. (Foncer signifie jouer une autre carte immédiatement.) Effet de soutien : : Le prochain Personnage que vous jouez ce tour-ci gagne 1 boost.</t>
  </si>
  <si>
    <t>Effet flèche : Ravitaillez . (Mettez la première carte de votre deck en Réserve.) Les Personnages que vous contrôlez sont Coriaces 1 . (Les adversaires doivent payer pour les cibler.)</t>
  </si>
  <si>
    <t>Effet flèche : Piochez une carte. Les Personnages que vous contrôlez sont Coriaces 1 . (Les adversaires doivent payer pour les cibler.)</t>
  </si>
  <si>
    <t>Effet flèche : Vous pouvez Foncer pour me donner 1 boost. (Foncer signifie jouer une autre carte immédiatement.)</t>
  </si>
  <si>
    <t>Effet flèche : Vous pouvez Foncer pour donner 1 boost à un Personnage ciblé. (Foncer signifie jouer une autre carte immédiatement.)</t>
  </si>
  <si>
    <t>Fugace . (Envoyez-moi à la Défausse plutôt qu'en Réserve après résolution de mon effet.) Vous pouvez me jouer pour de moins. Si vous le faites, je peux uniquement cibler un Personnage en océan . Renvoyez un Personnage ciblé sur le dessus du deck de son propriétaire.</t>
  </si>
  <si>
    <t>Fugace . Renvoyez un Personnage ciblé sur le dessus du deck de son propriétaire. S'il était en océan , redressez deux Orbes de Mana.</t>
  </si>
  <si>
    <t>Fugace . Vous pouvez me jouer pour de moins. Si vous le faites, je peux uniquement cibler un Personnage en océan . Renvoyez un Personnage ciblé sur le dessus du deck de son propriétaire.</t>
  </si>
  <si>
    <t>Effet de réserve : Vous pouvez passer immédiatement. (Vous terminez votre Après-midi et ne jouez plus de tours ce Jour-ci.)</t>
  </si>
  <si>
    <t>Effet de réserve : Vous pouvez passer immédiatement. Si vous le faites, je gagne 1 boost.</t>
  </si>
  <si>
    <t>Lorsque mon Expédition avance — Créez un jeton Aérolithe dans vos Repères. (C'est un Permanent avec « Quand je suis sacrifié — Ravitaillez. Effet d'épuisement : , : Sacrifiez-moi. »)</t>
  </si>
  <si>
    <t>Coriace 1 . (Les adversaires doivent payer pour me cibler.) Lorsque mon Expédition avance — Créez un jeton Aérolithe dans vos Repères.</t>
  </si>
  <si>
    <t>Lorsqu'un Personnage rejoint l'Expédition qui me fait face — Si je suis face à un seul Personnage, Ravitaillez .</t>
  </si>
  <si>
    <t>Lorsqu'un Personnage rejoint l'Expédition qui me fait face — Si mon Expédition est Élevée, Ravitaillez .</t>
  </si>
  <si>
    <t>Bénédiction , Interférence</t>
  </si>
  <si>
    <t>Un Personnage ciblé non Fugace gagne 2 boosts et Fugace . (S'il devait être envoyé en Réserve, défaussez-le à la place.)</t>
  </si>
  <si>
    <t>Fugace . Un Personnage ciblé gagne 2 boosts et Fugace .</t>
  </si>
  <si>
    <t>Un Personnage ciblé non Fugace gagne 2 boosts et Fugace .</t>
  </si>
  <si>
    <t>Effet flèche : Si je suis face à un Personnage, je gagne 1 boost.</t>
  </si>
  <si>
    <t>Effet flèche : Si je suis face à un Personnage, je gagne 1 boost. Effet de réserve : Mon Expédition s'Élève .</t>
  </si>
  <si>
    <t>Effet flèche : Vous pouvez envoyer en Réserve un Personnage ciblé de Coût de Main ou moins.</t>
  </si>
  <si>
    <t>Effet flèche : Vous pouvez envoyer en Réserve un Personnage ciblé de Coût de Main ou moins. Lorsque je suis sacrifié — Ravitaillez . Effet d'épuisement : , : Sacrifiez-moi.</t>
  </si>
  <si>
    <t>Je coûte de moins pour chacune de vos Expéditions Élevées. Gigantesque .</t>
  </si>
  <si>
    <t>Je coûte de moins si au moins une de vos Expéditions est Élevée. Gigantesque .</t>
  </si>
  <si>
    <t>Je coûte de moins s'il y a un Sort de Coût de Réserve ou plus dans votre Réserve. Gigantesque .</t>
  </si>
  <si>
    <t>Choisissez l'un : • Créez un jeton Robot 2/2/2 Scarabot dans une Expédition ciblée. • Un Permanent ciblé que vous contrôlez active ses capacités Effet flèche : . • Défaussez un Permanent ciblé de Coût de Main ou moins.</t>
  </si>
  <si>
    <t>Fugace . Choisissez deux : • Créez un jeton Robot 2/2/2 Scarabot dans une Expédition ciblée. • Un Permanent ciblé que vous contrôlez active ses capacités Effet flèche : . • Défaussez un Permanent ciblé de Coût de Main ou moins.</t>
  </si>
  <si>
    <t>Choisissez l'un : • Un Personnage ciblé gagne 3 boosts. • Renvoyez un Personnage ciblé de Coût de Main ou moins dans la main de son propriétaire. • Mettez la première carte de votre deck dans votre zone de Mana (en tant qu'Orbe de Mana épuisé) .</t>
  </si>
  <si>
    <t>Fugace . Choisissez deux : • Un Personnage ciblé gagne 3 boosts. • Renvoyez un Personnage ciblé de Coût de Main ou moins dans la main de son propriétaire. • Mettez la première carte de votre deck dans votre zone de Mana (en tant qu'Orbe de Mana épuisé) .</t>
  </si>
  <si>
    <t>Choisissez l'un : • Jusqu'à deux Personnages ciblés gagnent Fugace . • Piochez une carte, puis lancez un dé. Sur 4+, Ravitaillez . • Un Personnage ciblé gagne 1 boost par carte dans votre Réserve.</t>
  </si>
  <si>
    <t>Fugace . Choisissez deux : • Jusqu'à deux Personnages ciblés gagnent Fugace . • Piochez une carte, puis lancez un dé. Sur 4+, Ravitaillez . • Un Personnage ciblé gagne 1 boost par carte dans votre Réserve.</t>
  </si>
  <si>
    <t>Choisissez l'un : • Ciblez trois Expéditions et créez un jeton Animal Dotouffu 1/1/1 dans chacune d'elles. • Un Personnage ciblé de Coût de Main ou moins gagne Ancré . • Placez un marqueur Terrain forêt sur une région visible ciblée. (Elle est forêt et perd ses autres terrains jusqu'à ce que ce marqueur soit retiré.)</t>
  </si>
  <si>
    <t>Fugace . Choisissez deux : • Ciblez trois Expéditions et créez un jeton Animal Dotouffu 1/1/1 dans chacune d'elles. • Un Personnage ciblé de Coût de Main ou moins gagne Ancré . • Placez un marqueur Terrain forêt sur une région visible ciblée. (Elle est forêt et perd ses autres terrains jusqu'à ce que ce marqueur soit retiré.)</t>
  </si>
  <si>
    <t>Choisissez l'un : • Un Personnage ciblé gagne Endormi . • Un Personnage ciblé dans une Expédition ou en Réserve perd tous ses boosts. • Chaque Personnage dans une Expédition ciblée gagne 1 boost.</t>
  </si>
  <si>
    <t>Fugace . Choisissez deux : • Un Personnage ciblé gagne Endormi . • Un Personnage ciblé dans une Expédition ou en Réserve perd tous ses boosts. • Chaque Personnage dans une Expédition ciblée gagne 1 boost.</t>
  </si>
  <si>
    <t>Choisissez l'un : • Envoyez en Réserve un Personnage ciblé de Coût de Main ou moins. • Sabotez . • Piochez une carte.</t>
  </si>
  <si>
    <t>Fugace . Choisissez deux : • Envoyez en Réserve un Personnage ciblé de Coût de Main ou moins. • Sabotez . • Piochez une carte.</t>
  </si>
  <si>
    <t>Effet de main : Vous pouvez défausser un Permanent ciblé. Si vous ne le faites pas, je gagne 2 boosts.</t>
  </si>
  <si>
    <t>Effet de main : Je gagne 2 boosts.</t>
  </si>
  <si>
    <t>Effet de main : Je gagne 2 boosts, puis créez un jeton Aérolithe dans les Repères d'un joueur ciblé.</t>
  </si>
  <si>
    <t>Lorsque vous passez en premier (vous arrêtez de jouer des tours avant les autres joueurs) — Je gagne 1 compteur Quête. Puis, si j'ai au moins 3 compteurs Quête, créez un jeton 2/2/2 Halua dans votre Expédition Compagnon. (C'est un jeton Compagnon Léviathan avec « Si votre Héros a au moins 5 compteurs Quête, je suis Gigantesque. »)</t>
  </si>
  <si>
    <t>Effet flèche : Je gagne 2 compteurs Kélon. Effet d'épuisement : , Dépensez 1 de mes compteurs Kélon : un Personnage ciblé perd Fugace .</t>
  </si>
  <si>
    <t>Effet flèche : Je gagne 3 compteurs Kélon. Effet d'épuisement : , Dépensez n'importe quel nombre de mes compteurs Kélon : le même nombre de Personnages ciblés perdent Fugace .</t>
  </si>
  <si>
    <t>Bureaucrate , Mage</t>
  </si>
  <si>
    <t>Effet de main : Je gagne 1 boost, puis Sabotez . (Défaussez jusqu'à une carte ciblée d'une Réserve.)</t>
  </si>
  <si>
    <t>Effet de main : Je gagne 2 boosts. Lorsque je vais en Réserve depuis la zone d'Expédition — Sabotez .</t>
  </si>
  <si>
    <t>Effet flèche : Vous pouvez Foncer . Si vous le faites, mon Expédition s'Élève . (Foncer signifie jouer une autre carte immédiatement.)</t>
  </si>
  <si>
    <t>Fugace . Un Personnage ciblé trahit. (Il rejoint l'Expédition qui lui fait face et change de contrôleur. S'il devait aller dans votre Réserve ou dans une autre zone personnelle, il va dans celle de son propriétaire à la place.)</t>
  </si>
  <si>
    <t>Fugace . Un Personnage ciblé de Coût de Main ou moins trahit. (Il rejoint l'Expédition qui lui fait face et change de contrôleur.)</t>
  </si>
  <si>
    <t>Effet de main : Si je suis dans une Expédition Élevée, je gagne 1 boost. Sinon, mon Expédition s'Élève . (Jusqu'au Repos, elle peut avancer même en cas de stats égales à l'Expédition adverse sur les terrains de sa région.)</t>
  </si>
  <si>
    <t>Effet flèche : Si je suis dans une Expédition Élevée, je gagne 1 boost. Sinon, mon Expédition s'Élève .</t>
  </si>
  <si>
    <t>Effet flèche : Je gagne Ancré . (Au Repos, je ne vais pas en Réserve et je perds Ancré.) Effet flèche : Les Animaux dans votre Réserve gagnent 1 boost.</t>
  </si>
  <si>
    <t>Coriace 1 . (Les adversaires doivent payer pour me cibler.) Effet flèche : Je gagne Ancré . Effet flèche : Les Animaux et les Aventuriers dans votre Réserve gagnent 1 boost.</t>
  </si>
  <si>
    <t>Fugace . (Envoyez-moi à la Défausse plutôt qu'en Réserve après résolution de mon effet.) Une Expédition ciblée recule d'une région. Si elle le fait, son contrôleur avance son autre Expédition d'une région.</t>
  </si>
  <si>
    <t>Fugace . Une Expédition ciblée que vous contrôlez recule d'une région. Si elle le fait, avancez votre autre Expédition d'une région.</t>
  </si>
  <si>
    <t>Effet de main : Je gagne Endormi . (Ignorez mes statistiques pendant le Crépuscule. Au Repos, je ne vais pas en Réserve et je perds Endormi.) À Midi — Un joueur ciblé met une carte de sa main en Réserve.</t>
  </si>
  <si>
    <t>Effet de main : Vous pouvez me faire gagner Endormi . À Midi — Un joueur ciblé met une carte de sa main en Réserve.</t>
  </si>
  <si>
    <t>Effet de main : Vous pouvez envoyer en Réserve jusqu'à deux Personnages ciblés de Coût de Main ou moins.</t>
  </si>
  <si>
    <t>Effet flèche : Vous pouvez faire gagner Endormi à un Personnage ciblé. (Pendant le Crépuscule, ignorez ses statistiques. Au Repos, il ne va pas en Réserve et il perd Endormi.)</t>
  </si>
  <si>
    <t>Effet flèche : Vous pouvez faire gagner Endormi à un Personnage ciblé. S'il me fait face, Sabotez .</t>
  </si>
  <si>
    <t>Gigantesque . Effet flèche : Je gagne 1 boost par Personnage dans les Expéditions qui me font face.</t>
  </si>
  <si>
    <t>Gigantesque . Effet flèche : Créez un jeton Animal Dotouffu 1/1/1 dans une Expédition ciblée. Effet flèche : Je gagne 1 boost par Personnage dans les Expéditions qui me font face.</t>
  </si>
  <si>
    <t>À Midi — Si vous êtes le premier joueur, votre Expédition Héros s'Élève . (Jusqu'au Repos, elle peut avancer même en cas de stats égales à l'Expédition adverse sur les terrains de sa région.) Lorsqu'au moins une de vos Expéditions Élevées avance — S'il n'y a aucun Personnage qui lui fait face, piochez une carte.</t>
  </si>
  <si>
    <t>Effet de main : Si je suis dans une Expédition Élevée, Ravitaillez . Sinon, mon Expédition s'Élève . (Jusqu'au Repos, elle peut avancer même en cas de stats égales à l'Expédition adverse sur les terrains de sa région.)</t>
  </si>
  <si>
    <t>Effet flèche : Si je suis dans une Expédition Élevée, créez un jeton Aérolithe dans les Repères d'un joueur ciblé. Sinon, mon Expédition s'Élève .</t>
  </si>
  <si>
    <t>Si mon Expédition devait avancer pendant le Crépuscule, lancez un dé. Sur 4+ : elle avance d'une région supplémentaire à la place.</t>
  </si>
  <si>
    <t>Si mon Expédition devait avancer pendant le Crépuscule, lancez un dé. Sur : • 4+, elle avance d'une région supplémentaire à la place. • 1, elle n'avance pas à la place.</t>
  </si>
  <si>
    <t>Agronome Reka</t>
  </si>
  <si>
    <t>Les Graines de l'Unité</t>
  </si>
  <si>
    <t>Aire de Pique-nique</t>
  </si>
  <si>
    <t>Arbitre Partiale</t>
  </si>
  <si>
    <t>Attrape-Phalènes</t>
  </si>
  <si>
    <t>Aérosurfeur Bravos</t>
  </si>
  <si>
    <t>Barmaid Reka</t>
  </si>
  <si>
    <t>Bioingénieure Reka</t>
  </si>
  <si>
    <t>Botaniste Muna</t>
  </si>
  <si>
    <t>Casque Reka</t>
  </si>
  <si>
    <t>Chasseur de Hextag</t>
  </si>
  <si>
    <t>Chat du Cheshire</t>
  </si>
  <si>
    <t>Colporteur Reka</t>
  </si>
  <si>
    <t>Commerçant Reka</t>
  </si>
  <si>
    <t>Coup de Grâce</t>
  </si>
  <si>
    <t>Cueilleur Reka</t>
  </si>
  <si>
    <t>DJ Lyra</t>
  </si>
  <si>
    <t>Dapeng</t>
  </si>
  <si>
    <t>Della &amp; Bolt</t>
  </si>
  <si>
    <t>Dioclès, Aurige</t>
  </si>
  <si>
    <t>Distribubot</t>
  </si>
  <si>
    <t>Don Juan</t>
  </si>
  <si>
    <t>Démonstration Ratée</t>
  </si>
  <si>
    <t>Entraîneur de Havre</t>
  </si>
  <si>
    <t>Exposition Axiom</t>
  </si>
  <si>
    <t>Fille du Naos</t>
  </si>
  <si>
    <t>Fils du Naos</t>
  </si>
  <si>
    <t>Flore, Maraîchère Furieuse</t>
  </si>
  <si>
    <t>Foire scientifique</t>
  </si>
  <si>
    <t>Foule en Colère</t>
  </si>
  <si>
    <t>Frère Disparu</t>
  </si>
  <si>
    <t>Galatée</t>
  </si>
  <si>
    <t>Gardien de Nuit de l'Auberge</t>
  </si>
  <si>
    <t>Glissecorde Reka</t>
  </si>
  <si>
    <t>Guide Reka</t>
  </si>
  <si>
    <t>Harry Houdini</t>
  </si>
  <si>
    <t>Hespéride</t>
  </si>
  <si>
    <t>Investisseur Reka</t>
  </si>
  <si>
    <t>Ira, Participant à la Foire</t>
  </si>
  <si>
    <t>Isabel Letham</t>
  </si>
  <si>
    <t>Kedarm</t>
  </si>
  <si>
    <t>Kikimora</t>
  </si>
  <si>
    <t>L'Ambassade</t>
  </si>
  <si>
    <t>L'Hôte</t>
  </si>
  <si>
    <t>L'Infirmerie</t>
  </si>
  <si>
    <t>Lapin Fermier</t>
  </si>
  <si>
    <t>Le Consortium</t>
  </si>
  <si>
    <t>Le Consulat</t>
  </si>
  <si>
    <t>Le Lutrin</t>
  </si>
  <si>
    <t>Le Naos</t>
  </si>
  <si>
    <t>Les Retrouvailles</t>
  </si>
  <si>
    <t>Loi de Newton</t>
  </si>
  <si>
    <t>Louis Sullivan</t>
  </si>
  <si>
    <t>Léonard de Vinci</t>
  </si>
  <si>
    <t>Machiniste Axiom</t>
  </si>
  <si>
    <t>Magnat Reka</t>
  </si>
  <si>
    <t>Mascotte d'Équipe</t>
  </si>
  <si>
    <t>Masque de Chevaucheur</t>
  </si>
  <si>
    <t>Matz &amp; Hive</t>
  </si>
  <si>
    <t>Milady de Winter</t>
  </si>
  <si>
    <t>Mochizuki Chiyome</t>
  </si>
  <si>
    <t>Mécène Reka</t>
  </si>
  <si>
    <t>Nikola Tesla</t>
  </si>
  <si>
    <t>Nimbo-Instructeur</t>
  </si>
  <si>
    <t>Novice Studieux</t>
  </si>
  <si>
    <t>Nyala, Fêtarde Nocturne</t>
  </si>
  <si>
    <t>Néphélé</t>
  </si>
  <si>
    <t>Phalène Illusoire</t>
  </si>
  <si>
    <t>Pinocchio</t>
  </si>
  <si>
    <t>Plongeuse Serviable</t>
  </si>
  <si>
    <t>Pêche du Jour</t>
  </si>
  <si>
    <t>Pêcheur Reka</t>
  </si>
  <si>
    <t>Reka Charitable</t>
  </si>
  <si>
    <t>Rencontre Injuste</t>
  </si>
  <si>
    <t>Rencontre Romantique</t>
  </si>
  <si>
    <t>Rencontre Spirituelle</t>
  </si>
  <si>
    <t>Rencontre Sportive</t>
  </si>
  <si>
    <t>Rencontre Technologique</t>
  </si>
  <si>
    <t>Rencontre au Marché</t>
  </si>
  <si>
    <t>Rose Bonbon</t>
  </si>
  <si>
    <t>Réceptionniste Inflexible</t>
  </si>
  <si>
    <t>Serveuse Reka</t>
  </si>
  <si>
    <t>Simulateur</t>
  </si>
  <si>
    <t>Skipper Reka</t>
  </si>
  <si>
    <t>Spécialiste de l'Urbex</t>
  </si>
  <si>
    <t>Station de Téléphérique</t>
  </si>
  <si>
    <t>Sunisa, Garde du Corps Ordis</t>
  </si>
  <si>
    <t>Supporter Reka</t>
  </si>
  <si>
    <t>Talos</t>
  </si>
  <si>
    <t>Temps Mort !</t>
  </si>
  <si>
    <t>Thomas Edison</t>
  </si>
  <si>
    <t>Tik-Tok</t>
  </si>
  <si>
    <t>Touché !</t>
  </si>
  <si>
    <t>Touriste Ordis</t>
  </si>
  <si>
    <t>Turuun &amp; Benih</t>
  </si>
  <si>
    <t>Unité Fab Lab</t>
  </si>
  <si>
    <t>Vendeur de souvenirs</t>
  </si>
  <si>
    <t>Videur de Boîte de Nuit</t>
  </si>
  <si>
    <t>Vigie Bravos</t>
  </si>
  <si>
    <t>Écureuil Volant</t>
  </si>
  <si>
    <t>Effet de main : Créez un jeton Graine de Mana dans les Repères d'un adversaire ciblé. (C'est un Permanent avec « Effet d'épuisement : , Sacrifiez-moi : redressez un Orbe de Mana. »)</t>
  </si>
  <si>
    <t>Effet de main : Créez un jeton Graine de Mana dans les Repères d'un autre joueur ciblé.</t>
  </si>
  <si>
    <t>Effet flèche : Créez un jeton Graine de Mana dans les Repères d'un adversaire ciblé.</t>
  </si>
  <si>
    <t>Effet flèche : Chaque joueur Ravitaille . Lorsque vous faites un Don — Vous pouvez m'épuiser ( Effet d'épuisement : ) pour donner 1 boost à un Personnage ciblé. (Vous faites un Don si durant votre tour, un adversaire pioche une carte, Ravitaille ou reçoit un jeton.)</t>
  </si>
  <si>
    <t>Effet flèche : Chaque joueur pioche une carte. Lorsque vous faites un Don — Vous pouvez m'épuiser ( Effet d'épuisement : ) pour donner 1 boost à un Personnage ciblé.</t>
  </si>
  <si>
    <t>Effet flèche : Chaque joueur pioche une carte. Lorsque vous faites un Don — Vous pouvez m'épuiser ( Effet d'épuisement : ) pour donner 1 boost à un Personnage ciblé. (Vous faites un Don si durant votre tour, un adversaire pioche une carte, Ravitaille ou reçoit un jeton.)</t>
  </si>
  <si>
    <t>Bureaucrate , Gredin</t>
  </si>
  <si>
    <t>Effet de main : Défaussez un Personnage ciblé. Si son Coût de Base était de ou plus, son contrôleur pioche une carte. (Son Coût de Base est le Coût de Réserve s'il est Fugace, le Coût de Main sinon.)</t>
  </si>
  <si>
    <t>Effet de main : Défaussez un Personnage ou Permanent ciblé. Si son Coût de Base était de ou plus, son contrôleur pioche une carte. (Son Coût de Base est le Coût de Réserve s'il est Fugace, le Coût de Main sinon.)</t>
  </si>
  <si>
    <t>Effet flèche : Épuisez une carte ciblée en Réserve. Effet d'épuisement : , : Créez X jetons Illusion 2/2/2 Phalène de Mana dans mon Expédition. X ne peut dépasser le nombre de cartes épuisées en Réserve.</t>
  </si>
  <si>
    <t>Effet flèche : Épuisez une carte ciblée en Réserve. Effet d'épuisement : , : Créez X jetons Illusion 2/2/2 Phalène de Mana dans mon Expédition. X ne peut dépasser le total des cartes épuisées en Réserve et des autres Permanents épuisés que vous contrôlez.</t>
  </si>
  <si>
    <t>Aventurier , Gredin</t>
  </si>
  <si>
    <t>Effet de réserve : Sabotez . Si vous avez défaussé un Personnage de cette façon, je gagne 1 boost.</t>
  </si>
  <si>
    <t>Effet de réserve : Sabotez . Si vous avez défaussé un Personnage de cette façon, je gagne 2 boosts. Sinon, je gagne 1 boost.</t>
  </si>
  <si>
    <t>Au Crépuscule — Si je suis En Contact , je gagne 1 boost. (Je suis En Contact si l'Expédition d'un autre joueur est dans ma région.)</t>
  </si>
  <si>
    <t>Au Crépuscule — Si je suis En Contact , je gagne 1 boost. (Je suis En Contact si l'Expédition d'un autre joueur est dans ma région.) Effet de soutien : : Le prochain Personnage que vous jouez ce tour-ci gagne 1 boost.</t>
  </si>
  <si>
    <t>Effet flèche : Vous pouvez épuiser ( Effet d'épuisement : ) une carte de votre Réserve pour créer un jeton Graine de Mana dans vos Repères. (C'est un Permanent avec « Effet d'épuisement : , Sacrifiez-moi : redressez un Orbe de Mana. »)</t>
  </si>
  <si>
    <t>Effet flèche : Vous pouvez épuiser ( Effet d'épuisement : ) une carte ciblée dans la Réserve de n'importe quel joueur. Si vous le faites, créez un jeton Graine de Mana dans les Repères de ce joueur.</t>
  </si>
  <si>
    <t>Effet de main : Un adversaire ciblé Ravitaille . Effet de main : Vous pouvez cibler un autre Personnage de Coût de Base ou moins. Il gagne Ancré . (Son Coût de Base est le Coût de Réserve s'il est Fugace, le Coût de Main sinon.)</t>
  </si>
  <si>
    <t>Effet de main : Un adversaire ciblé Ravitaille Épuisé . Effet de main : Vous pouvez cibler un autre Personnage de Coût de Base ou moins. Il gagne Ancré . (Son Coût de Base est le Coût de Réserve s'il est Fugace, le Coût de Main sinon.)</t>
  </si>
  <si>
    <t>Mon Expédition et ses Personnages sont considérés comme étant En Contact . (Même s'il n'y a pas d'autre Expédition dans ma région.) Effet d'épuisement : : Le prochain Personnage qui rejoint mon Expédition ce tour-ci gagne 1 boost.</t>
  </si>
  <si>
    <t>Mon Expédition et ses Personnages sont considérés comme étant En Contact . Effet d'épuisement : : Le prochain Personnage qui rejoint mon Expédition ce tour-ci gagne 1 boost.</t>
  </si>
  <si>
    <t>Mon Expédition est considérée comme étant en retard. (Même si elle est à égalité ou en avance.) Effet d'épuisement : : Le prochain Personnage qui rejoint mon Expédition ce tour-ci gagne 1 boost.</t>
  </si>
  <si>
    <t>Gredin</t>
  </si>
  <si>
    <t>Effet de main : Vous pouvez épuiser ( Effet d'épuisement : ) une carte ciblée dans la Réserve d'un joueur. Si c'était la seule carte de sa Réserve, il Ravitaille . (Une carte épuisée ne peut pas être jouée et n'a pas de capacité de Soutien.)</t>
  </si>
  <si>
    <t>Effet de main : Vous pouvez épuiser ( Effet d'épuisement : ) une carte ciblée en Réserve. Si elle est dans votre Réserve, Ravitaillez .</t>
  </si>
  <si>
    <t>Effet de main : Si je suis En Contact , vous pouvez cibler un Personnage. Il change d'Expédition. (Il quitte son Expédition et rejoint l'autre Expédition de son contrôleur. Je suis En Contact si l'Expédition d'un autre joueur est dans ma région.)</t>
  </si>
  <si>
    <t>Effet de main : Si je suis En Contact , vous pouvez cibler un Personnage. Il change d'Expédition. (Je suis En Contact si l'Expédition d'un autre joueur est dans ma région.)</t>
  </si>
  <si>
    <t>Marchand</t>
  </si>
  <si>
    <t>Effet de réserve : Je perds Fugace , puis créez un jeton Graine de Mana dans les Repères d'un adversaire ciblé. (C'est un Permanent avec « Effet d'épuisement : , Sacrifiez-moi : redressez un Orbe de Mana. »)</t>
  </si>
  <si>
    <t>Effet de réserve : Vous pouvez créer un jeton Graine de Mana dans les Repères d'un adversaire ciblé. Si vous le faites, je perds Fugace .</t>
  </si>
  <si>
    <t>Effet de réserve : Ravitaillez , puis créez un jeton Graine de Mana dans les Repères d'un adversaire ciblé. (C'est un Permanent avec « Effet d'épuisement : , Sacrifiez-moi : Redressez un Orbe de Mana. »)</t>
  </si>
  <si>
    <t>Effet de réserve : Mettez la première carte de votre deck dans votre zone de Mana (en tant qu'Orbe de Mana épuisé) , puis créez un jeton Graine de Mana dans les Repères d'un adversaire ciblé.</t>
  </si>
  <si>
    <t>Fugace . Choisissez jusqu'à trois : • Défaussez un Personnage ciblé. • Défaussez un Permanent ciblé. • Sabotez .</t>
  </si>
  <si>
    <t>Fugace . Choisissez jusqu'à trois, vous pouvez choisir la même option plusieurs fois : • Défaussez un Personnage ciblé. • Défaussez un Permanent ciblé. • Sabotez .</t>
  </si>
  <si>
    <t>Effet de soutien : : Créez un jeton Graine de Mana dans les Repères de chaque joueur. (C'est un Permanent avec « Effet d'épuisement : , Sacrifiez-moi : redressez un Orbe de Mana. »)</t>
  </si>
  <si>
    <t>À Midi — Créez un jeton Graine de Mana dans vos Repères. Effet de soutien : : Créez un jeton Graine de Mana dans les Repères de chaque joueur.</t>
  </si>
  <si>
    <t>Vous pouvez me jouer pour de moins dans une Expédition qui est En Contact . (Elle est En Contact si l'Expédition d'un autre joueur est dans sa région.)</t>
  </si>
  <si>
    <t>Vous pouvez me jouer pour de moins dans une Expédition qui est En Contact . (Elle est En Contact si l'Expédition d'un autre joueur est dans sa région.) Effet flèche : Si chacune de vos Expéditions est En Contact , piochez une carte.</t>
  </si>
  <si>
    <t>Effet de soutien : : Chaque joueur pioche une carte. (Défaussez-moi de la Réserve pour ça.)</t>
  </si>
  <si>
    <t>Coriace 1 . (Vos adversaires doivent payer pour me cibler.) Effet de soutien : : Chaque joueur pioche une carte.</t>
  </si>
  <si>
    <t>Effet d'épuisement : : Redressez un Permanent ciblé en jeu ou une carte ciblée en Réserve. Ceci coûte de plus pour cibler un Permanent en jeu de Coût de Main ou plus.</t>
  </si>
  <si>
    <t>Je ne peux pas être joué dans une région de départ. Effet flèche : Mon Expédition recule d'une région. Lorsque je quitte la zone d'Expédition — Mon Expédition avance d'une région.</t>
  </si>
  <si>
    <t>Payez de plus pour me jouer dans une région de départ. Effet flèche : Mon Expédition recule d'une région. Lorsque je quitte la zone d'Expédition — Mon Expédition avance d'une région.</t>
  </si>
  <si>
    <t>Robot , Marchand</t>
  </si>
  <si>
    <t>Si je devais aller en Réserve depuis la zone d'Expédition, je gagne Fugace et trahis à la place. (Je rejoins l'Expédition qui me fait face et change de contrôleur. Si je devais aller dans une zone personnelle, je vais dans celle de mon propriétaire à la place.)</t>
  </si>
  <si>
    <t>Si je devais aller en Réserve depuis la zone d'Expédition, je gagne Fugace et trahis à la place. (Je rejoins l'Expédition qui me fait face et change de contrôleur.)</t>
  </si>
  <si>
    <t>Fugace . Épuisez ( Effet d'épuisement : ) une carte de votre Réserve. Si vous le faites, envoyez en Réserve un Personnage ciblé de Coût de Base ou moins. (Coût de Réserve s'il est Fugace ou Coût de Main s'il ne l'est pas.)</t>
  </si>
  <si>
    <t>Rafraîchissement . Épuisez ( Effet d'épuisement : ) une carte de votre Réserve. Si vous le faites, envoyez en Réserve un Personnage ciblé de Coût de Base ou moins. (Coût de Réserve s'il est Fugace ou Coût de Main s'il ne l'est pas.)</t>
  </si>
  <si>
    <t>Effet de main : Vous pouvez Foncer (jouer une autre carte immédiatement) . Si vous jouez une carte de votre Réserve de cette manière, vous pouvez payer son Coût de Main à la place de son Coût de Réserve.</t>
  </si>
  <si>
    <t>Effet flèche : Vous pouvez Foncer . Si vous jouez une carte de votre Réserve de cette manière, vous pouvez payer son Coût de Main à la place de son Coût de Réserve.</t>
  </si>
  <si>
    <t>Effet d'épuisement : : Un Personnage ciblé dans votre Réserve gagne 1 boost. Puis épuisez-le ( Effet d'épuisement : ) . (Une carte épuisée ne peut pas être jouée et n'a pas de capacité de Soutien.)</t>
  </si>
  <si>
    <t>Effet d'épuisement : : Un Personnage ciblé dans votre Réserve gagne 1 boost. Puis épuisez-le ( Effet d'épuisement : ) . Effet d'épuisement : : Un Personnage ciblé dans votre Réserve gagne 1 boost. Puis redressez-le.</t>
  </si>
  <si>
    <t>Si je suis Ancrée , je suis Défenseuse . (Mon Expédition ne peut pas avancer pendant le Crépuscule.) Effet flèche : Je gagne Ancré .</t>
  </si>
  <si>
    <t>Si je suis Ancrée , je suis Défenseuse . Effet flèche : Je gagne Ancré . Lorsque vous faites un Don — Si j'ai moins de 2 boosts, je gagne 1 boost.</t>
  </si>
  <si>
    <t>Si je suis Ancrée , je suis Défenseuse . Effet flèche : Je gagne Ancré .</t>
  </si>
  <si>
    <t>Gigantesque . (Je suis considéré présent dans chacune de vos Expéditions.) Effet flèche : Un adversaire ciblé pioche une carte.</t>
  </si>
  <si>
    <t>Gigantesque . Effet flèche : Vous pouvez cibler un adversaire, il pioche une carte. Lorsque vous faites un Don — Je gagne 1 boost. (Vous faites un Don si durant votre tour, un adversaire pioche une carte, Ravitaille ou reçoit un jeton.)</t>
  </si>
  <si>
    <t>Gigantesque . Effet flèche : Vous pouvez cibler un adversaire, il pioche une carte. Lorsque vous faites un Don — Je gagne 1 boost.</t>
  </si>
  <si>
    <t>Effet flèche : Vous pouvez épuiser ( Effet d'épuisement : ) un Permanent ciblé en jeu ou une carte ciblée en Réserve. (Une carte épuisée ne peut pas être jouée et n'a pas de capacité de Soutien.)</t>
  </si>
  <si>
    <t>Effet flèche : Vous pouvez épuiser ( Effet d'épuisement : ) un Permanent ciblé en jeu. Puis vous pouvez épuiser une carte ciblée en Réserve.</t>
  </si>
  <si>
    <t>Effet d'épuisement : : Mettez une carte de votre main en Réserve. Si vous le faites, piochez une carte.</t>
  </si>
  <si>
    <t>Effet flèche : Épuisez-moi. Effet flèche : Épuisez-moi.</t>
  </si>
  <si>
    <t>Fugace . (Envoyez-moi à la Défausse plutôt qu'en Réserve une fois mon effet résolu.) Défaussez un Personnage ou Permanent ciblé, puis créez un jeton Graine de Mana dans vos Repères.</t>
  </si>
  <si>
    <t>Fugace . Défaussez un Personnage ou Permanent ciblé. Si son Coût de Base était ou moins, créez un jeton Graine de Mana dans vos Repères. (Son Coût de Base est le Coût de Réserve s'il est Fugace, le Coût de Main sinon.)</t>
  </si>
  <si>
    <t>Effet de réserve : Vous pouvez payer pour piocher une carte.</t>
  </si>
  <si>
    <t>Lorsque vous passez en premier — Vous pouvez payer pour piocher une carte.</t>
  </si>
  <si>
    <t>Si je suis En Contact , je suis Défenseuse . (Mon Expédition ne peut pas avancer pendant le Crépuscule. Je suis En Contact si l'Expédition d'un autre joueur est dans ma région.) Effet flèche : Si je suis En Contact , je gagne 2 boosts.</t>
  </si>
  <si>
    <t>Si je suis En Contact , je suis Défenseuse . (Je suis En Contact si l'Expédition d'un autre joueur est dans ma région.) Effet flèche : Si je suis En Contact , je gagne 2 boosts.</t>
  </si>
  <si>
    <t>Je suis Défenseuse . Si mon Expédition est En Contact , les Personnages Défenseurs ne l'empêchent pas d'avancer. (Je suis En Contact si l'Expédition d'un autre joueur est dans ma région.)</t>
  </si>
  <si>
    <t>Effet de main : Vous pouvez cibler un Personnage. Si vous le faites, il gagne Endormi , puis créez un jeton Graine de Mana dans les Repères de son contrôleur. (C'est un Permanent avec « Effet d'épuisement : , Sacrifiez-moi : redressez un Orbe de Mana. »)</t>
  </si>
  <si>
    <t>Effet de main : Vous pouvez cibler un Personnage. Il gagne Endormi . Si vous le contrôlez, créez un jeton Graine de Mana dans vos Repères.</t>
  </si>
  <si>
    <t>Effet de main : Vous pouvez cibler un Personnage. Si vous le faites, il gagne Endormi , puis créez un jeton Graine de Mana dans les Repères de son contrôleur.</t>
  </si>
  <si>
    <t>Effet de main : Si je suis en océan , créez un jeton Graine de Mana dans vos Repères.</t>
  </si>
  <si>
    <t>Effet de soutien : : Renvoyez un autre Personnage de votre Réserve dans votre main. (Défaussez-moi de la Réserve pour ça.)</t>
  </si>
  <si>
    <t>Effet de soutien : : Renvoyez un autre Personnage de votre Réserve dans votre main.</t>
  </si>
  <si>
    <t>Si votre Héros a au moins 5 compteurs Quête, je suis Gigantesque . (Un Personnage Gigantesque est considéré présent dans les deux Expéditions.)</t>
  </si>
  <si>
    <t>Effet de main : Créez un jeton Illusion 2/2/2 Phalène de Mana dans une Expédition d'un adversaire, puis piochez une carte.</t>
  </si>
  <si>
    <t>Effet de main : Créez un jeton Illusion 2/2/2 Phalène de Mana dans une Expédition ciblée. Puis, le contrôleur de l'Expédition qui fait face à cette Illusion pioche une carte.</t>
  </si>
  <si>
    <t>Effet de main : Vous pouvez payer pour renvoyer un Permanent ciblé dans la main de son propriétaire.</t>
  </si>
  <si>
    <t>Effet de main : Vous pouvez renvoyer un Permanent ciblé dans la main de son propriétaire. Si vous le faites, créez un jeton Graine de Mana dans les Repères de son contrôleur.</t>
  </si>
  <si>
    <t>Au Crépuscule — Créez un jeton Graine de Mana dans vos Repères. (C'est un Permanent avec « Effet d'épuisement : , Sacrifiez-moi : redressez un Orbe de Mana. »)</t>
  </si>
  <si>
    <t>Au Crépuscule — Créez un jeton Graine de Mana dans vos Repères. (C'est un Permanent avec « Effet d'épuisement : , Sacrifiez-moi : redressez un Orbe de Mana. ») Lorsque je quitte la zone d'Expédition — Créez un jeton Soldat 1/1/1 Recrue Ordis dans mon Expédition.</t>
  </si>
  <si>
    <t>Effet de réserve : Créez un jeton Graine de Mana dans vos Repères.</t>
  </si>
  <si>
    <t>Effet de réserve : Vous pouvez Foncer pour Ravitailler . (Foncer signifie jouer une autre carte immédiatement.)</t>
  </si>
  <si>
    <t>Effet de réserve : Ravitaillez , puis vous pouvez Foncer . (Jouer une autre carte immédiatement.)</t>
  </si>
  <si>
    <t>Effet de soutien : : Le prochain Personnage joué de votre main ce tour-ci active l'une de ses capacités Effet de réserve : . (Défaussez-moi de la Réserve pour ça.)</t>
  </si>
  <si>
    <t>Lorsque je vais en Réserve depuis la zone d'Expédition — Vous pouvez renvoyer un autre Personnage ciblé de votre Réserve dans votre main. Effet de soutien : : Le prochain Personnage joué de votre main ce tour-ci active l'une de ses capacités Effet de réserve : .</t>
  </si>
  <si>
    <t>Effet de soutien : : Payez de moins pour le prochain Permanent que vous jouez ce tour-ci, jusqu'à un minimum de . (Défaussez-moi de la Réserve pour ça.)</t>
  </si>
  <si>
    <t>Lorsque vous jouez un Permanent — Si je n'ai pas de boost, je gagne 1 boost. Effet de soutien : : Payez de moins pour le prochain Permanent que vous jouez ce tour-ci, jusqu'à un minimum de .</t>
  </si>
  <si>
    <t>Effet d'épuisement : , Un adversaire ciblé Ravitaille : le prochain Personnage de Coût de Base ou moins que vous jouez ce tour-ci gagne Ancré . (Coût de Main, ou Coût de Réserve s'il est joué depuis la Réserve.)</t>
  </si>
  <si>
    <t>Les Personnages Ancrés et Endormis que vous contrôlez sont Coriaces 1 . Effet d'épuisement : , Un adversaire ciblé Ravitaille : le prochain Personnage de Coût de Base ou moins que vous jouez ce tour-ci gagne Ancré . (Coût de Main, ou Coût de Réserve s'il est joué depuis la Réserve.)</t>
  </si>
  <si>
    <t>Effet de réserve : Vous pouvez mettre une carte de votre main en Réserve pour piocher une carte.</t>
  </si>
  <si>
    <t>Effet d'épuisement : , Épuisez une carte de votre Réserve : Après vous . (Terminez votre tour comme si vous aviez joué une carte. Vous pouvez encore jouer des cartes plus tard ce Jour-ci.)</t>
  </si>
  <si>
    <t>Effet flèche : Ravitaillez . Effet d'épuisement : , Épuisez une carte de votre Réserve : Après vous .</t>
  </si>
  <si>
    <t>Lorsque vous faites un Don — Si je n'ai pas de boost, je gagne 1 boost. (Vous faites un Don si durant votre tour, un adversaire pioche une carte, Ravitaille ou reçoit un jeton.)</t>
  </si>
  <si>
    <t>Lorsque vous faites un Don — Si je n'ai pas de boost, je gagne 1 boost.</t>
  </si>
  <si>
    <t>Effet flèche : Ravitaillez . Effet d'épuisement : : Un Personnage ciblé en Réserve gagne 2 boosts.</t>
  </si>
  <si>
    <t>Effet d'épuisement : : Ravitaillez . Puis vous pouvez cibler un Personnage en Réserve. Il gagne 2 boosts.</t>
  </si>
  <si>
    <t>Effet flèche : Ravitaillez . (Mettez la première carte de votre deck en Réserve.) Effet d'épuisement : : Un Personnage ciblé en Réserve gagne 2 boosts.</t>
  </si>
  <si>
    <t>Effet flèche : Piochez une carte. Effet d'épuisement : : Créez un jeton Soldat 1/1/1 Recrue Ordis dans une Expédition ciblée.</t>
  </si>
  <si>
    <t>Effet flèche : Ravitaillez . Effet d'épuisement : : Ciblez une Expédition, puis créez-y un jeton Soldat 1/1/1 Recrue Ordis par carte dans vos Repères, jusqu'à trois par activation.</t>
  </si>
  <si>
    <t>Effet flèche : Ravitaillez . (Mettez la première carte de votre deck en Réserve.) Lorsque je suis sacrifié — Créez un jeton Soldat 1/1/1 Recrue Ordis dans une Expédition Héros. (Les Repères excédentaires sont sacrifiés à la fin du Jour.)</t>
  </si>
  <si>
    <t>Effet flèche : S'il y a une autre carte dans vos Repères, piochez une carte. Sinon, Ravitaillez . Lorsque je suis sacrifié — Créez un jeton Soldat 1/1/1 Recrue Ordis dans une Expédition Héros.</t>
  </si>
  <si>
    <t>Coriace 1 . (Vos adversaires doivent payer pour me cibler.) À Midi — Piochez une carte, puis créez deux jetons Graine de Mana dans vos Repères. (Ce sont des Permanents avec « Effet d'épuisement : , Sacrifiez-moi : redressez un Orbe de Mana. »)</t>
  </si>
  <si>
    <t>Coriace 1 . Effet flèche : Une Expédition ciblée ne peut pas avancer ce Jour-ci. À Midi — Piochez une carte, puis créez deux jetons Graine de Mana dans vos Repères.</t>
  </si>
  <si>
    <t>Effet d'épuisement : : Choisissez jusqu'à votre nombre de cartes en Repères : • Créez un jeton Soldat 1/1/1 Recrue Ordis dans une Expédition Compagnon. • Créez une 1/1/1 Recrue Ordis dans une Expédition Héros. • Jusqu'à deux Personnages ciblés gagnent 1 boost.</t>
  </si>
  <si>
    <t>Effet d'épuisement : : Choisissez jusqu'à votre nombre de cartes en Repères : • Créez un jeton Soldat 1/1/1 Recrue Ordis dans une Expédition Compagnon. • Créez-en un dans une Expédition Héros. • Jusqu'à deux Personnages ciblés gagnent 1 boost. • Piochez une carte.</t>
  </si>
  <si>
    <t>Fugace . Créez un jeton Graine de Mana dans les Repères d'un adversaire ciblé. Puis, envoyez en Réserve un Personnage ciblé qu'il contrôle de Coût de Base ou moins. (Son Coût de Base est le Coût de Réserve s'il est Fugace, le Coût de Main sinon.)</t>
  </si>
  <si>
    <t>Fugace . Créez un jeton Graine de Mana dans les Repères d'un adversaire ciblé. Puis, défaussez un Personnage ciblé qu'il contrôle de Coût de Base ou moins. (Son Coût de Base est le Coût de Réserve s'il est Fugace, le Coût de Main sinon.)</t>
  </si>
  <si>
    <t>Effet de main : S'il y a au moins deux cartes dans vos Repères, piochez une carte.</t>
  </si>
  <si>
    <t>Effet de réserve : S'il y a au moins deux cartes dans vos Repères, piochez une carte.</t>
  </si>
  <si>
    <t>Effet flèche : S'il y a au moins trois cartes dans vos Repères, piochez une carte.</t>
  </si>
  <si>
    <t>Artiste , Ingénieur</t>
  </si>
  <si>
    <t>Effet de réserve : Vous pouvez épuiser ( Effet d'épuisement : ) un Permanent que vous contrôlez pour Ravitailler . (Mettez la première carte de votre deck en Réserve.)</t>
  </si>
  <si>
    <t>Effet de réserve : Vous pouvez épuiser ( Effet d'épuisement : ) un Permanent que vous contrôlez pour piocher une carte.</t>
  </si>
  <si>
    <t>Effet de main : Vous pouvez redresser un Permanent ciblé en jeu ou une carte ciblée en Réserve.</t>
  </si>
  <si>
    <t>Effet flèche : Vous pouvez redresser un Permanent ciblé en jeu ou une carte ciblée en Réserve.</t>
  </si>
  <si>
    <t>Effet de réserve : Choisissez l'un : • Sabotez . • Créez un jeton Graine de Mana dans vos Repères. (C'est un Permanent avec « Effet d'épuisement : , Sacrifiez-moi : redressez un Orbe de Mana. »)</t>
  </si>
  <si>
    <t>Effet de réserve : Choisissez l'un ou épuisez un Permanent que vous contrôlez pour choisir les deux : • Sabotez . • Créez un jeton Graine de Mana dans vos Repères.</t>
  </si>
  <si>
    <t>Effet flèche : S'il y a au moins une carte épuisée en Réserve, je gagne 1 boost.</t>
  </si>
  <si>
    <t>Effet flèche : S'il y a au moins deux cartes épuisées en Réserve, jusqu'à deux Personnages ciblés gagnent chacun 1 boost.</t>
  </si>
  <si>
    <t>Effet d'épuisement : , : Le prochain Personnage qui rejoint mon Expédition ce tour-ci gagne 2 boosts. (Les Personnages qui rejoignent lorsque vous passez le font le même tour.)</t>
  </si>
  <si>
    <t>Effet d'épuisement : , : Le prochain Personnage qui rejoint mon Expédition ce tour-ci gagne 2 boosts.</t>
  </si>
  <si>
    <t>Les Personnages Boostés dans mon Expédition sont Coriaces 1 . (Les adversaires doivent payer pour les cibler.) Effet d'épuisement : , : Le prochain Personnage qui rejoint mon Expédition ce tour-ci gagne X boosts.</t>
  </si>
  <si>
    <t>(Vous pouvez conserver jusqu'à trois cartes dans vos Repères pendant la Nuit.)</t>
  </si>
  <si>
    <t>Noble , Gredin</t>
  </si>
  <si>
    <t>Effet de main : Prenez le contrôle d'un jeton Permanent ciblé, en le plaçant dans mon Expédition si c'est un Permanent d'Expédition.</t>
  </si>
  <si>
    <t>Effet de main : Prenez le contrôle d'un Permanent ciblé de Coût de Base ou moins, en le plaçant dans mon Expédition si c'est un Permanent d'Expédition. (S'il devait aller dans votre Réserve ou dans une autre zone personnelle, il va dans celle de son propriétaire à la place.)</t>
  </si>
  <si>
    <t>Soldat , Gredin</t>
  </si>
  <si>
    <t>Effet de soutien : : Payez de moins pour le prochain Sort que vous jouez ce tour-ci, jusqu'à un minimum de . (Défaussez-moi de la Réserve pour ça.)</t>
  </si>
  <si>
    <t>Effet flèche : Si je suis En Contact , payez de moins pour le prochain Sort que vous jouez cet Après-midi, jusqu'à un minimum de . (Je suis En Contact si l'Expédition d'un autre joueur est dans ma région. D'autres effets peuvent réduire davantage le coût.) Effet de soutien : : Payez de moins pour le prochain Sort que vous jouez ce tour-ci, jusqu'à un minimum de . (Défaussez-moi de la Réserve pour ça.)</t>
  </si>
  <si>
    <t>Lorsque vous jouez un Sort de Coût de Base ou plus — Vous pouvez m'épuiser ( Effet d'épuisement : ) pour créer un jeton Illusion 2/2/2 Phalène de Mana dans votre Expédition Héros. Si le Coût de Base était d'au moins , piochez aussi une carte. (C'est le Coût de Main, ou le Coût de Réserve s'il est joué depuis la Réserve.)</t>
  </si>
  <si>
    <t>Lorsque mon Expédition échoue à avancer pendant le Crépuscule — Créez un jeton Graine de Mana dans vos Repères. (C'est un Permanent avec « Effet d'épuisement : , Sacrifiez-moi : redressez un Orbe de Mana. »)</t>
  </si>
  <si>
    <t>Lorsque mon Expédition échoue à avancer pendant le Crépuscule — Créez un jeton Graine de Mana dans vos Repères.</t>
  </si>
  <si>
    <t>Effet de réserve : Je gagne 1 boost si vous contrôlez au moins un Permanent épuisé ou s'il y a au moins une carte épuisée dans votre Réserve.</t>
  </si>
  <si>
    <t>Effet de réserve : Je gagne 1 boost par Permanent épuisé que vous contrôlez et par carte épuisée dans votre Réserve, jusqu'à un max de 3 boosts sur moi.</t>
  </si>
  <si>
    <t>Effet de main : Vous pouvez Foncer avec un Personnage. S'il est joué de votre main, il active l'une de ses capacités Effet de réserve : . (Foncer signifie le jouer immédiatement.) Effet de réserve : Je gagne 2 boosts.</t>
  </si>
  <si>
    <t>Effet flèche : Vous pouvez Foncer avec un Personnage. S'il est joué de votre main, il active l'une de ses capacités Effet de réserve : . Effet de réserve : Je gagne 1 boost.</t>
  </si>
  <si>
    <t>Lorsque vous jouez un Sort de Coût de Base ou plus — Si je n'ai pas de boost, je gagne 1 boost. (C'est le Coût de Main, ou le Coût de Réserve s'il est joué depuis la Réserve.)</t>
  </si>
  <si>
    <t>Lorsque vous jouez un Permanent de Coût de Base ou plus — Je gagne 1 boost. (C'est le Coût de Main, ou le Coût de Réserve s'il est joué depuis la Réserve.)</t>
  </si>
  <si>
    <t>Lorsque vous jouez un Sort de Coût de Base ou plus — Je gagne 1 boost. (C'est le Coût de Main, ou le Coût de Réserve s'il est joué depuis la Réserve.)</t>
  </si>
  <si>
    <t>Effet de main : Si je suis En Contact , vous pouvez échanger une carte de votre Réserve contre une carte de votre main. (Je suis En Contact si l'Expédition d'un autre joueur est dans ma région.)</t>
  </si>
  <si>
    <t>Effet de main : Si je suis En Contact , vous pouvez échanger une carte de votre Réserve contre une carte de votre main. Effet de soutien : : Échangez une autre carte de votre Réserve contre une carte de votre main.</t>
  </si>
  <si>
    <t>Effet de main : Si je suis En Contact , vous pouvez échanger une carte de votre Réserve contre une carte de votre main. (Je suis En Contact si l'Expédition d'un autre joueur est dans ma région.) Effet de soutien : : Échangez une autre carte de votre Réserve contre une carte de votre main.</t>
  </si>
  <si>
    <t>Effet flèche : Vous pouvez passer. Si vous ne le faites pas, créez un jeton Graine de Mana dans les Repères d'un adversaire ciblé. (C'est un Permanent avec « Effet d'épuisement : , Sacrifiez-moi : redressez un Orbe de Mana. »)</t>
  </si>
  <si>
    <t>Effet flèche : Vous pouvez passer. Si vous le faites, créez un jeton Graine de Mana dans les Repères d'un autre joueur ciblé.</t>
  </si>
  <si>
    <t>Vous pouvez épuiser ( Effet d'épuisement : ) une carte de votre Réserve pour me jouer pour de moins. Créez un jeton Illusion 2/2/2 Phalène de Mana dans une Expédition ciblée.</t>
  </si>
  <si>
    <t>Effet de réserve : S'il y a au moins trois statistiques de base 0 parmi les Personnages que vous contrôlez, piochez une carte.</t>
  </si>
  <si>
    <t>Effet flèche : Vous pouvez Foncer . Si vous ne le faites pas, un adversaire ciblé Ravitaille Épuisé . (Il met la première carte de son deck en Réserve, puis l'épuise Effet d'épuisement : . Foncer signifie jouer une autre carte immédiatement.)</t>
  </si>
  <si>
    <t>Effet flèche : Vous pouvez Foncer . Si vous ne le faites pas, un adversaire ciblé Ravitaille Épuisé . (Foncer signifie jouer une autre carte immédiatement.)</t>
  </si>
  <si>
    <t>Renvoyez un Personnage ou Permanent ciblé contrôlé par un autre joueur dans la main de son propriétaire. Puis, créez un jeton Graine de Mana dans les Repères de ce joueur. (C'est un Permanent avec « Effet d'épuisement : , Sacrifiez-moi : redressez un Orbe de Mana. »)</t>
  </si>
  <si>
    <t>Renvoyez un Personnage ou Permanent ciblé contrôlé par un autre joueur dans la main de son propriétaire. Puis, créez un jeton Graine de Mana dans vos Repères.</t>
  </si>
  <si>
    <t>Renvoyez un Personnage ou Permanent ciblé contrôlé par un autre joueur dans la main de son propriétaire. Puis, créez un jeton Graine de Mana dans les Repères de ce joueur.</t>
  </si>
  <si>
    <t>Effet de réserve : Créez deux jetons Graine de Mana dans vos Repères. (Ce sont des Permanents avec « Effet d'épuisement : , Sacrifiez-moi : redressez un Orbe de Mana. »)</t>
  </si>
  <si>
    <t>Effet de réserve : Piochez une carte. Effet de réserve : Créez deux jetons Graine de Mana dans vos Repères.</t>
  </si>
  <si>
    <t>Effet flèche : Créez un jeton Graine de Mana dans les Repères de chaque joueur.</t>
  </si>
  <si>
    <t>Fugace . Prenez le contrôle d'un Permanent de Repère ciblé de Coût de Main ou moins. (Il rejoint vos Repères.)</t>
  </si>
  <si>
    <t>Fugace . Ciblez un Permanent de Repère de Coût de Main ou moins. Son contrôleur Ravitaille , puis vous en prenez le contrôle. (Il rejoint vos Repères.)</t>
  </si>
  <si>
    <t>Un adversaire ciblé révèle les quatre premières cartes de son deck. Vous pouvez jouer gratuitement un Personnage parmi ces cartes, il gagne Fugace , puis défaussez le reste. (N'activez pas ses capacités Effet de main : .)</t>
  </si>
  <si>
    <t>Fugace . Faites ceci pour chaque joueur, en commençant par vous : • Ce joueur révèle les quatre premières cartes de son deck. Vous pouvez jouer gratuitement un Personnage de Coût de Main ou moins parmi ces cartes, il gagne Fugace , puis défaussez le reste.</t>
  </si>
  <si>
    <t>Bénédiction , Manœuvre</t>
  </si>
  <si>
    <t>Répartissez 4 boosts parmi les Personnages ciblés de votre choix, en jeu ou en Réserve.</t>
  </si>
  <si>
    <t>Rafraîchissement . (Si je vais en Réserve une fois mon effet résolu, épuisez-moi Effet d'épuisement : .) Répartissez 4 boosts parmi les Personnages ciblés de votre choix, en jeu ou en Réserve.</t>
  </si>
  <si>
    <t>Répartissez 2 boosts parmi les Personnages ciblés en jeu. Effet de soutien : : Après vous . (Défaussez-moi de la Réserve pour terminer votre tour comme si vous aviez joué une carte.)</t>
  </si>
  <si>
    <t>Rafraîchissement . (Si je vais en Réserve une fois mon effet résolu, épuisez-moi Effet d'épuisement : .) Répartissez 2 boosts parmi les Personnages ciblés, en jeu ou en Réserve. Effet de soutien : : Après vous .</t>
  </si>
  <si>
    <t>Rafraîchissement . (Si je vais en Réserve une fois mon effet résolu, épuisez-moi Effet d'épuisement : .) Piochez une carte, puis créez un jeton Graine de Mana dans vos Repères. (C'est un Permanent avec « Effet d'épuisement : , Sacrifiez-moi : redressez un Orbe de Mana. »)</t>
  </si>
  <si>
    <t>Rafraîchissement . Piochez une carte, puis créez un jeton Graine de Mana dans vos Repères.</t>
  </si>
  <si>
    <t>Créez un jeton Graine de Mana dans vos Repères. (C'est un Permanent avec « Effet d'épuisement : , Sacrifiez-moi : redressez un Orbe de Mana. ») Effet de soutien : : Le prochain Personnage joué de votre main ce tour-ci active l'une de ses capacités Effet de réserve : .</t>
  </si>
  <si>
    <t>Créez un jeton Graine de Mana dans vos Repères. Effet de soutien : : Le prochain Personnage joué de votre main ce tour-ci active l'une de ses capacités Effet de réserve : .</t>
  </si>
  <si>
    <t>Mettez la première carte de votre deck dans votre zone de Mana (en tant qu'Orbe de Mana épuisé) . Effet de soutien : : Le prochain Personnage joué de votre main ce tour-ci active l'une de ses capacités Effet de réserve : .</t>
  </si>
  <si>
    <t>Fugace . Jouez-moi pour de moins si vous contrôlez au moins une Expédition En Contact . (Cela signifie que l'Expédition d'un autre joueur est dans sa région.) Renvoyez un Personnage ou Permanent ciblé au-dessus du deck de son propriétaire.</t>
  </si>
  <si>
    <t>Fugace . Jouez-moi pour de moins par Expédition En Contact que vous contrôlez. (Elles sont En Contact si l'Expédition d'un autre joueur est dans leur région.) Renvoyez un Personnage ou Permanent ciblé au-dessus du deck de son propriétaire.</t>
  </si>
  <si>
    <t>Effet de main : Vous pouvez épuiser ( Effet d'épuisement : ) un Permanent que vous contrôlez pour Saboter . (Défaussez jusqu'à une carte d'une Réserve.)</t>
  </si>
  <si>
    <t>Effet flèche : Vous pouvez épuiser ( Effet d'épuisement : ) un Permanent que vous contrôlez pour Saboter . Si vous ne le faites pas, je gagne 1 boost.</t>
  </si>
  <si>
    <t>Effet de main : Vous pouvez épuiser ( Effet d'épuisement : ) une carte de votre Réserve pour Saboter .</t>
  </si>
  <si>
    <t>Effet flèche : Créez un jeton Graine de Mana dans vos Repères. (C'est un Permanent avec « Effet d'épuisement : , Sacrifiez-moi : redressez un Orbe de Mana. »)</t>
  </si>
  <si>
    <t>Effet flèche : Créez un jeton Graine de Mana dans vos Repères. Effet de soutien : : Créez un jeton Soldat 1/1/1 Recrue Ordis dans une Expédition ciblée.</t>
  </si>
  <si>
    <t>Effet de main : Si je suis En Contact , Sabotez . (Défaussez jusqu'à une carte d'une Réserve. Je suis En Contact si l'Expédition d'un autre joueur est dans ma région.)</t>
  </si>
  <si>
    <t>Effet flèche : Si je suis En Contact , Sabotez . (Je suis En Contact si l'Expédition d'un autre joueur est dans ma région.)</t>
  </si>
  <si>
    <t>Lorsque mon Expédition avance — Créez un jeton Graine de Mana dans vos Repères. (C'est un Permanent avec « Effet d'épuisement : , Sacrifiez-moi : redressez un Orbe de Mana. »)</t>
  </si>
  <si>
    <t>Effet de réserve : Je gagne 1 boost. Lorsque mon Expédition avance — Créez un jeton Graine de Mana dans vos Repères.</t>
  </si>
  <si>
    <t>Lorsque mon Expédition avance — Créez un jeton Graine de Mana dans vos Repères.</t>
  </si>
  <si>
    <t>Lorsque vous passez en premier — Je gagne 1 compteur Quête. Puis, si j'ai au moins 3 compteurs Quête, créez un jeton Compagnon Léviathan 2/2/2 Halua dans votre Expédition Compagnon. (Il a « Si votre Héros a au moins 5 compteurs Quête, je suis Gigantesque. »)</t>
  </si>
  <si>
    <t>Si je suis En Contact , mes forêt , montagne et océan sont égales à ma statistique la plus élevée. (Je suis En Contact si l'Expédition d'un autre joueur est dans ma région.)</t>
  </si>
  <si>
    <t>Si je suis En Contact , mes forêt , montagne et océan sont égales à ma statistique la plus élevée. (Je suis En Contact si l'Expédition d'un autre joueur est dans ma région.) Effet flèche : Si je ne suis pas En Contact , je gagne 1 boost.</t>
  </si>
  <si>
    <t>Si je suis en forêt , mes forêt , montagne et océan sont égales à ma statistique la plus élevée. Effet flèche : Si je ne suis pas en forêt , je gagne 1 boost.</t>
  </si>
  <si>
    <t>Effet flèche : Ravitaillez , puis je gagne 2 compteurs Déplacement. Effet d'épuisement : , Dépensez 1 de mes compteurs Déplacement : L'une de vos Expéditions recule d'une région. Si elle le fait, votre autre Expédition avance d'une région.</t>
  </si>
  <si>
    <t>Effet flèche : Piochez une carte, puis je gagne 2 compteurs Déplacement. Effet d'épuisement : , Dépensez 1 de mes compteurs Déplacement : L'une de vos Expéditions recule d'une région. Si elle le fait, votre autre Expédition avance d'une région.</t>
  </si>
  <si>
    <t>Défenseuse . (Mon Expédition ne peut pas avancer pendant le Crépuscule.) S'il y a au moins deux cartes dans vos Repères, les Personnages Défenseurs n'empêchent pas mon Expédition d'avancer.</t>
  </si>
  <si>
    <t>Défenseuse . S'il y a au moins deux cartes dans vos Repères, les Personnages Défenseurs n'empêchent pas mon Expédition d'avancer. Effet flèche : Créez un jeton Soldat 1/1/1 Recrue Ordis dans une Expédition ciblée.</t>
  </si>
  <si>
    <t>Défenseuse . S'il y a au moins deux Sorts dans votre Réserve, les Personnages Défenseurs n'empêchent pas mon Expédition d'avancer. Effet flèche : Créez un jeton Soldat 1/1/1 Recrue Ordis dans une Expédition ciblée.</t>
  </si>
  <si>
    <t>Effet de main : Créez un jeton Graine de Mana dans vos Repères. (C'est un Permanent avec « Effet d'épuisement : , Sacrifiez-moi : Redressez un Orbe de Mana. »)</t>
  </si>
  <si>
    <t>Effet de main : Créez un jeton Graine de Mana dans vos Repères. Effet de soutien : : Après vous .</t>
  </si>
  <si>
    <t>Gigantesque . (Je suis considéré présent dans chacune de vos Expéditions.) Défenseur . (Mes Expéditions ne peuvent pas avancer pendant le Crépuscule.)</t>
  </si>
  <si>
    <t>Gigantesque . Je suis Défenseur , sauf s'il y a au moins deux cartes dans vos Repères.</t>
  </si>
  <si>
    <t>Fugace . Envoyez en Réserve un Personnage ciblé de Coût de Base ou moins, puis épuisez-le ( Effet d'épuisement : ) . (Son Coût de Base est le Coût de Réserve s'il est Fugace, le Coût de Main sinon.)</t>
  </si>
  <si>
    <t>Envoyez en Réserve un Personnage ciblé de Coût de Base ou moins, puis épuisez-le ( Effet d'épuisement : ) . (Son Coût de Base est le Coût de Réserve s'il est Fugace, le Coût de Main sinon.) Puis, je gagne Fugace sauf s'il y a au moins deux cartes épuisées en Réserve.</t>
  </si>
  <si>
    <t>Ingénieur , Gredin</t>
  </si>
  <si>
    <t>Effet flèche : Vous pouvez défausser un Personnage de votre Réserve. Si vous le faites, j'active une de ses capacités Effet de réserve : , comme si c'était la mienne.</t>
  </si>
  <si>
    <t>Effet flèche : Vous pouvez défausser jusqu'à deux Personnages de votre Réserve. Si vous le faites, j'active jusqu'à deux de leurs capacités Effet de réserve : , comme si c'étaient les miennes.</t>
  </si>
  <si>
    <t>Artiste , Robot</t>
  </si>
  <si>
    <t>Effet de main : Épuisez ( Effet d'épuisement : ) un Permanent que vous contrôlez ou une carte dans votre Réserve. (Une carte épuisée ne peut pas être jouée et n'a pas de capacité de Soutien.)</t>
  </si>
  <si>
    <t>Effet de main : Chaque joueur épuise ( Effet d'épuisement : ) un Permanent qu'il contrôle ou une carte dans sa Réserve.</t>
  </si>
  <si>
    <t>Fugace . Un joueur ciblé sacrifie le Personnage qu'il contrôle avec le Coût de Base le plus élevé. (Son Coût de Base est le Coût de Réserve s'il est Fugace, le Coût de Main sinon.)</t>
  </si>
  <si>
    <t>Un joueur ciblé sacrifie le Personnage ou Permanent qu'il contrôle avec le Coût de Base le plus élevé. (Son Coût de Base est le Coût de Réserve s'il est Fugace, le Coût de Main sinon.) Effet de soutien : : Après vous .</t>
  </si>
  <si>
    <t>Citoyen , Soldat</t>
  </si>
  <si>
    <t>Effet flèche : S'il y a au moins deux cartes dans vos Repères, je gagne 1 boost.</t>
  </si>
  <si>
    <t>Effet flèche : Je gagne 1 boost par carte dans vos Repères, jusqu'à un max de 3 boosts sur moi.</t>
  </si>
  <si>
    <t>Lorsque vous faites un Don — Vous pouvez m'épuiser ( Effet d'épuisement : ) pour le recevoir aussi. (Vous faites un Don si durant votre tour, un adversaire pioche une carte, Ravitaille ou reçoit un jeton.) Ignorez ma capacité le premier Jour.</t>
  </si>
  <si>
    <t>Effet d'épuisement : : Le prochain Personnage joué de votre main dans mon Expédition ce tour-ci active l'une de ses capacités Effet de réserve : .</t>
  </si>
  <si>
    <t>Effet d'épuisement : : Le prochain Personnage joué de votre main dans mon Expédition ce tour-ci active l'une de ses capacités Effet de réserve : , puis gagne 1 boost.</t>
  </si>
  <si>
    <t>Effet flèche : Vous pouvez me donner 1 boost. Si vous le faites, un adversaire ciblé Ravitaille .</t>
  </si>
  <si>
    <t>Effet flèche : Vous pouvez me donner 1 boost. Si vous le faites, un adversaire ciblé Ravitaille . (Il met la première carte de son deck en Réserve.)</t>
  </si>
  <si>
    <t>Effet flèche : Vous pouvez créer un jeton Graine de Mana dans vos Repères. Si vous le faites, un adversaire ciblé Ravitaille .</t>
  </si>
  <si>
    <t>Effet de main : Si je suis En Contact , Sabotez . (Je suis En Contact si l'Expédition d'un autre joueur est dans ma région.)</t>
  </si>
  <si>
    <t>Effet flèche : Si je suis En Contact , Sabotez . Sinon, vous pouvez épuiser ( Effet d'épuisement : ) une carte ciblée en Réserve. (Je suis En Contact si l'Expédition d'un autre joueur est dans ma région.)</t>
  </si>
  <si>
    <t>Effet de réserve : Je gagne 1 boost.</t>
  </si>
  <si>
    <t>Effet de réserve : Je gagne 2 boosts. Effet de soutien : : Le prochain Personnage joué de votre main ce tour-ci active l'une de ses capacités Effet de réserve : .</t>
  </si>
  <si>
    <t>Aventurier , Animal</t>
  </si>
  <si>
    <t>Effet de réserve : Si je suis En Contact , je gagne 2 boosts. Sinon, je gagne 1 boost. (Je suis En Contact si l'Expédition d'un autre joueur se trouve dans ma région.)</t>
  </si>
  <si>
    <t>Possédé (physique)</t>
  </si>
  <si>
    <t>Manque (physique)</t>
  </si>
  <si>
    <t>Sphura, hexarque reka</t>
  </si>
  <si>
    <t>Exalté</t>
  </si>
  <si>
    <t>Ingénieur, noble</t>
  </si>
  <si>
    <t>Jouez-moi pour 1 de moins si vous contrôlez un permanent épuisé. Jouez-moi pour 1 de moins s'il y a une carte épuisée dans votre réserve. Effet flèche : S'il y a 4 ou plus cartes épuisées parmi vos permanent et votre réserve, redressez-en jusqu'à 2.</t>
  </si>
  <si>
    <t>Phoibos, hexarque reka</t>
  </si>
  <si>
    <t>Artiste, noble</t>
  </si>
  <si>
    <t>Effet main : Un adversaire ciblé révèle une carte aléatoire de sa main. Si je suis en contact, vous pouvez immédiatement la jouer gratuitement, et elle gagne fugace. Si vous ne le faites pas, défaussez-là.</t>
  </si>
  <si>
    <t>Ploutos, hexarque reka</t>
  </si>
  <si>
    <t>Druide, noble</t>
  </si>
  <si>
    <t>Effet flèche : Le jouer ciblé ravitaille épuisé. Lorsque vous faites un don - un personnage ciblé gagne ancré.</t>
  </si>
  <si>
    <t>Astrape, hexarque reka</t>
  </si>
  <si>
    <t>Orids</t>
  </si>
  <si>
    <t>Bureaucrate, noble</t>
  </si>
  <si>
    <t>Effet flèche : Créez 3 jetons graine de mana dans vos repères. Puis je gagne 1 boost par carte dans vos repères.</t>
  </si>
  <si>
    <t>Maleros, hexarque reka</t>
  </si>
  <si>
    <t>Peronnage</t>
  </si>
  <si>
    <t>Noble, Gredin</t>
  </si>
  <si>
    <t>Effet de main : Payez 7 de moins pour le prochain sort que vous jouez cet après-midi.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</si>
</sst>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2">
    <dxf>
      <font>
        <b/>
        <i val="0"/>
        <color rgb="FF0070C0"/>
      </font>
      <border>
        <left style="thin">
          <color rgb="FFFFC000"/>
        </left>
        <right style="thin">
          <color rgb="FFFFC000"/>
        </right>
        <top style="thin">
          <color rgb="FFFFC000"/>
        </top>
        <bottom style="thin">
          <color rgb="FFFFC000"/>
        </bottom>
        <vertical/>
        <horizontal/>
      </border>
    </dxf>
    <dxf>
      <font>
        <b/>
        <i/>
        <color rgb="FFC00000"/>
      </font>
    </dxf>
    <dxf>
      <font>
        <b/>
        <i val="0"/>
        <color theme="0"/>
      </font>
      <fill>
        <patternFill>
          <bgColor rgb="FF00B0F0"/>
        </patternFill>
      </fill>
    </dxf>
    <dxf>
      <fill>
        <patternFill>
          <bgColor rgb="FF92D050"/>
        </patternFill>
      </fill>
    </dxf>
    <dxf>
      <font>
        <b val="0"/>
        <i/>
        <color theme="0"/>
      </font>
      <fill>
        <patternFill>
          <bgColor rgb="FFFF0000"/>
        </patternFill>
      </fil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Q1668" headerRowDxfId="11" headerRowBorderDxfId="10" tableBorderDxfId="9">
  <autoFilter ref="A1:Q1668" xr:uid="{00000000-0009-0000-0100-000001000000}">
    <filterColumn colId="1">
      <filters>
        <filter val="Rare"/>
      </filters>
    </filterColumn>
    <filterColumn colId="4">
      <filters>
        <filter val="4"/>
        <filter val="5"/>
        <filter val="6"/>
        <filter val="7"/>
      </filters>
    </filterColumn>
  </autoFilter>
  <sortState xmlns:xlrd2="http://schemas.microsoft.com/office/spreadsheetml/2017/richdata2" ref="A584:Q1668">
    <sortCondition ref="B2:B1668"/>
    <sortCondition ref="C2:C1668"/>
    <sortCondition ref="D2:D1668"/>
    <sortCondition ref="L2:L1668"/>
    <sortCondition ref="M2:M1668"/>
    <sortCondition ref="A2:A1668"/>
  </sortState>
  <tableColumns count="17">
    <tableColumn id="1" xr3:uid="{00000000-0010-0000-0000-000001000000}" name="Nom" totalsRowLabel="Total"/>
    <tableColumn id="2" xr3:uid="{00000000-0010-0000-0000-000002000000}" name="Rarity"/>
    <tableColumn id="3" xr3:uid="{00000000-0010-0000-0000-000003000000}" name="Faction"/>
    <tableColumn id="4" xr3:uid="{00000000-0010-0000-0000-000004000000}" name="Edition"/>
    <tableColumn id="5" xr3:uid="{00000000-0010-0000-0000-000005000000}" name="Nb possédé (digital)"/>
    <tableColumn id="16" xr3:uid="{00000000-0010-0000-0000-000010000000}" name="Manque (digital)" dataDxfId="8">
      <calculatedColumnFormula>MAX(-1,3-Tableau1[[#This Row],[Nb possédé (digital)]])</calculatedColumnFormula>
    </tableColumn>
    <tableColumn id="15" xr3:uid="{00000000-0010-0000-0000-00000F000000}" name="Possédé (physique)" dataDxfId="7"/>
    <tableColumn id="14" xr3:uid="{00000000-0010-0000-0000-00000E000000}" name="Manque (physique)" dataDxfId="6">
      <calculatedColumnFormula>MAX(-1,3-Tableau1[[#This Row],[Possédé (physique)]])</calculatedColumnFormula>
    </tableColumn>
    <tableColumn id="17" xr3:uid="{00000000-0010-0000-0000-000011000000}" name="Compléter" dataDxfId="5">
      <calculatedColumnFormula>IF(Tableau1[[#This Row],[Manque (physique)]]&gt;Tableau1[[#This Row],[Manque (digital)]],"POD",IF(Tableau1[[#This Row],[Manque (digital)]]&gt;Tableau1[[#This Row],[Manque (physique)]],"MarketPlace",""))</calculatedColumnFormula>
    </tableColumn>
    <tableColumn id="6" xr3:uid="{00000000-0010-0000-0000-000006000000}" name="Type"/>
    <tableColumn id="7" xr3:uid="{00000000-0010-0000-0000-000007000000}" name="SubType"/>
    <tableColumn id="8" xr3:uid="{00000000-0010-0000-0000-000008000000}" name="HandCost"/>
    <tableColumn id="9" xr3:uid="{00000000-0010-0000-0000-000009000000}" name="ReserveCost"/>
    <tableColumn id="10" xr3:uid="{00000000-0010-0000-0000-00000A000000}" name="Forest"/>
    <tableColumn id="11" xr3:uid="{00000000-0010-0000-0000-00000B000000}" name="Mountain"/>
    <tableColumn id="12" xr3:uid="{00000000-0010-0000-0000-00000C000000}" name="Lake"/>
    <tableColumn id="13" xr3:uid="{00000000-0010-0000-0000-00000D000000}" name="Effect"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68"/>
  <sheetViews>
    <sheetView tabSelected="1" topLeftCell="A792" workbookViewId="0">
      <selection activeCell="A1035" sqref="A1035:A1628"/>
    </sheetView>
  </sheetViews>
  <sheetFormatPr baseColWidth="10" defaultColWidth="9.140625" defaultRowHeight="15" x14ac:dyDescent="0.25"/>
  <cols>
    <col min="1" max="1" width="29.7109375" bestFit="1" customWidth="1"/>
    <col min="3" max="3" width="9.5703125" customWidth="1"/>
    <col min="4" max="4" width="9.42578125" customWidth="1"/>
    <col min="5" max="8" width="21" customWidth="1"/>
    <col min="9" max="9" width="15" bestFit="1" customWidth="1"/>
    <col min="10" max="10" width="10.7109375" customWidth="1"/>
    <col min="11" max="11" width="11.5703125" customWidth="1"/>
    <col min="12" max="12" width="14.140625" customWidth="1"/>
    <col min="14" max="14" width="11.85546875" customWidth="1"/>
    <col min="16" max="16" width="9.5703125" bestFit="1" customWidth="1"/>
  </cols>
  <sheetData>
    <row r="1" spans="1:17" x14ac:dyDescent="0.25">
      <c r="A1" s="1" t="s">
        <v>0</v>
      </c>
      <c r="B1" s="1" t="s">
        <v>1</v>
      </c>
      <c r="C1" s="1" t="s">
        <v>2</v>
      </c>
      <c r="D1" s="1" t="s">
        <v>3</v>
      </c>
      <c r="E1" s="1" t="s">
        <v>4</v>
      </c>
      <c r="F1" s="1" t="s">
        <v>1148</v>
      </c>
      <c r="G1" s="1" t="s">
        <v>1816</v>
      </c>
      <c r="H1" s="1" t="s">
        <v>1817</v>
      </c>
      <c r="I1" s="1" t="s">
        <v>1149</v>
      </c>
      <c r="J1" s="1" t="s">
        <v>5</v>
      </c>
      <c r="K1" s="1" t="s">
        <v>6</v>
      </c>
      <c r="L1" s="1" t="s">
        <v>7</v>
      </c>
      <c r="M1" s="1" t="s">
        <v>8</v>
      </c>
      <c r="N1" s="1" t="s">
        <v>9</v>
      </c>
      <c r="O1" s="1" t="s">
        <v>10</v>
      </c>
      <c r="P1" s="1" t="s">
        <v>11</v>
      </c>
      <c r="Q1" s="1" t="s">
        <v>12</v>
      </c>
    </row>
    <row r="2" spans="1:17" hidden="1" x14ac:dyDescent="0.25">
      <c r="A2" t="s">
        <v>307</v>
      </c>
      <c r="B2" t="s">
        <v>14</v>
      </c>
      <c r="C2" t="s">
        <v>28</v>
      </c>
      <c r="D2" t="s">
        <v>16</v>
      </c>
      <c r="E2">
        <v>6</v>
      </c>
      <c r="F2">
        <f>MAX(-1,3-Tableau1[[#This Row],[Nb possédé (digital)]])</f>
        <v>-1</v>
      </c>
      <c r="G2">
        <v>6</v>
      </c>
      <c r="H2">
        <f>MAX(-1,3-Tableau1[[#This Row],[Possédé (physique)]])</f>
        <v>-1</v>
      </c>
      <c r="I2" t="str">
        <f>IF(Tableau1[[#This Row],[Manque (physique)]]&gt;Tableau1[[#This Row],[Manque (digital)]],"POD",IF(Tableau1[[#This Row],[Manque (digital)]]&gt;Tableau1[[#This Row],[Manque (physique)]],"MarketPlace",""))</f>
        <v/>
      </c>
      <c r="J2" t="s">
        <v>217</v>
      </c>
      <c r="K2" t="s">
        <v>218</v>
      </c>
      <c r="L2" t="s">
        <v>20</v>
      </c>
      <c r="M2" t="s">
        <v>20</v>
      </c>
      <c r="Q2" t="s">
        <v>308</v>
      </c>
    </row>
    <row r="3" spans="1:17" hidden="1" x14ac:dyDescent="0.25">
      <c r="A3" t="s">
        <v>806</v>
      </c>
      <c r="B3" t="s">
        <v>14</v>
      </c>
      <c r="C3" t="s">
        <v>28</v>
      </c>
      <c r="D3" t="s">
        <v>16</v>
      </c>
      <c r="E3">
        <v>3</v>
      </c>
      <c r="F3">
        <f>MAX(-1,3-Tableau1[[#This Row],[Nb possédé (digital)]])</f>
        <v>0</v>
      </c>
      <c r="G3">
        <v>3</v>
      </c>
      <c r="H3">
        <f>MAX(-1,3-Tableau1[[#This Row],[Possédé (physique)]])</f>
        <v>0</v>
      </c>
      <c r="I3" t="str">
        <f>IF(Tableau1[[#This Row],[Manque (physique)]]&gt;Tableau1[[#This Row],[Manque (digital)]],"POD",IF(Tableau1[[#This Row],[Manque (digital)]]&gt;Tableau1[[#This Row],[Manque (physique)]],"MarketPlace",""))</f>
        <v/>
      </c>
      <c r="J3" t="s">
        <v>30</v>
      </c>
      <c r="K3" t="s">
        <v>42</v>
      </c>
      <c r="L3" t="s">
        <v>20</v>
      </c>
      <c r="M3" t="s">
        <v>20</v>
      </c>
      <c r="N3" t="s">
        <v>89</v>
      </c>
      <c r="O3" t="s">
        <v>20</v>
      </c>
      <c r="P3" t="s">
        <v>20</v>
      </c>
      <c r="Q3" t="s">
        <v>722</v>
      </c>
    </row>
    <row r="4" spans="1:17" hidden="1" x14ac:dyDescent="0.25">
      <c r="A4" t="s">
        <v>405</v>
      </c>
      <c r="B4" t="s">
        <v>14</v>
      </c>
      <c r="C4" t="s">
        <v>28</v>
      </c>
      <c r="D4" t="s">
        <v>16</v>
      </c>
      <c r="E4">
        <v>5</v>
      </c>
      <c r="F4">
        <f>MAX(-1,3-Tableau1[[#This Row],[Nb possédé (digital)]])</f>
        <v>-1</v>
      </c>
      <c r="G4">
        <v>5</v>
      </c>
      <c r="H4">
        <f>MAX(-1,3-Tableau1[[#This Row],[Possédé (physique)]])</f>
        <v>-1</v>
      </c>
      <c r="I4" t="str">
        <f>IF(Tableau1[[#This Row],[Manque (physique)]]&gt;Tableau1[[#This Row],[Manque (digital)]],"POD",IF(Tableau1[[#This Row],[Manque (digital)]]&gt;Tableau1[[#This Row],[Manque (physique)]],"MarketPlace",""))</f>
        <v/>
      </c>
      <c r="J4" t="s">
        <v>17</v>
      </c>
      <c r="K4" t="s">
        <v>18</v>
      </c>
      <c r="L4" t="s">
        <v>20</v>
      </c>
      <c r="M4" t="s">
        <v>19</v>
      </c>
      <c r="Q4" t="s">
        <v>406</v>
      </c>
    </row>
    <row r="5" spans="1:17" hidden="1" x14ac:dyDescent="0.25">
      <c r="A5" t="s">
        <v>526</v>
      </c>
      <c r="B5" t="s">
        <v>14</v>
      </c>
      <c r="C5" t="s">
        <v>28</v>
      </c>
      <c r="D5" t="s">
        <v>16</v>
      </c>
      <c r="E5">
        <v>6</v>
      </c>
      <c r="F5">
        <f>MAX(-1,3-Tableau1[[#This Row],[Nb possédé (digital)]])</f>
        <v>-1</v>
      </c>
      <c r="G5">
        <v>6</v>
      </c>
      <c r="H5">
        <f>MAX(-1,3-Tableau1[[#This Row],[Possédé (physique)]])</f>
        <v>-1</v>
      </c>
      <c r="I5" t="str">
        <f>IF(Tableau1[[#This Row],[Manque (physique)]]&gt;Tableau1[[#This Row],[Manque (digital)]],"POD",IF(Tableau1[[#This Row],[Manque (digital)]]&gt;Tableau1[[#This Row],[Manque (physique)]],"MarketPlace",""))</f>
        <v/>
      </c>
      <c r="J5" t="s">
        <v>17</v>
      </c>
      <c r="K5" t="s">
        <v>201</v>
      </c>
      <c r="L5" t="s">
        <v>20</v>
      </c>
      <c r="M5" t="s">
        <v>19</v>
      </c>
      <c r="Q5" t="s">
        <v>527</v>
      </c>
    </row>
    <row r="6" spans="1:17" hidden="1" x14ac:dyDescent="0.25">
      <c r="A6" t="s">
        <v>967</v>
      </c>
      <c r="B6" t="s">
        <v>14</v>
      </c>
      <c r="C6" t="s">
        <v>28</v>
      </c>
      <c r="D6" t="s">
        <v>16</v>
      </c>
      <c r="E6">
        <v>6</v>
      </c>
      <c r="F6">
        <f>MAX(-1,3-Tableau1[[#This Row],[Nb possédé (digital)]])</f>
        <v>-1</v>
      </c>
      <c r="G6">
        <v>6</v>
      </c>
      <c r="H6">
        <f>MAX(-1,3-Tableau1[[#This Row],[Possédé (physique)]])</f>
        <v>-1</v>
      </c>
      <c r="I6" t="str">
        <f>IF(Tableau1[[#This Row],[Manque (physique)]]&gt;Tableau1[[#This Row],[Manque (digital)]],"POD",IF(Tableau1[[#This Row],[Manque (digital)]]&gt;Tableau1[[#This Row],[Manque (physique)]],"MarketPlace",""))</f>
        <v/>
      </c>
      <c r="J6" t="s">
        <v>30</v>
      </c>
      <c r="K6" t="s">
        <v>42</v>
      </c>
      <c r="L6" t="s">
        <v>20</v>
      </c>
      <c r="M6" t="s">
        <v>19</v>
      </c>
      <c r="N6" t="s">
        <v>20</v>
      </c>
      <c r="O6" t="s">
        <v>20</v>
      </c>
      <c r="P6" t="s">
        <v>20</v>
      </c>
      <c r="Q6" t="s">
        <v>783</v>
      </c>
    </row>
    <row r="7" spans="1:17" hidden="1" x14ac:dyDescent="0.25">
      <c r="A7" t="s">
        <v>41</v>
      </c>
      <c r="B7" t="s">
        <v>14</v>
      </c>
      <c r="C7" t="s">
        <v>28</v>
      </c>
      <c r="D7" t="s">
        <v>16</v>
      </c>
      <c r="E7">
        <v>5</v>
      </c>
      <c r="F7">
        <f>MAX(-1,3-Tableau1[[#This Row],[Nb possédé (digital)]])</f>
        <v>-1</v>
      </c>
      <c r="G7">
        <v>5</v>
      </c>
      <c r="H7">
        <f>MAX(-1,3-Tableau1[[#This Row],[Possédé (physique)]])</f>
        <v>-1</v>
      </c>
      <c r="I7" t="str">
        <f>IF(Tableau1[[#This Row],[Manque (physique)]]&gt;Tableau1[[#This Row],[Manque (digital)]],"POD",IF(Tableau1[[#This Row],[Manque (digital)]]&gt;Tableau1[[#This Row],[Manque (physique)]],"MarketPlace",""))</f>
        <v/>
      </c>
      <c r="J7" t="s">
        <v>30</v>
      </c>
      <c r="K7" t="s">
        <v>42</v>
      </c>
      <c r="L7" t="s">
        <v>19</v>
      </c>
      <c r="M7" t="s">
        <v>19</v>
      </c>
      <c r="N7" t="s">
        <v>20</v>
      </c>
      <c r="O7" t="s">
        <v>23</v>
      </c>
      <c r="P7" t="s">
        <v>20</v>
      </c>
      <c r="Q7" t="s">
        <v>43</v>
      </c>
    </row>
    <row r="8" spans="1:17" hidden="1" x14ac:dyDescent="0.25">
      <c r="A8" t="s">
        <v>216</v>
      </c>
      <c r="B8" t="s">
        <v>14</v>
      </c>
      <c r="C8" t="s">
        <v>28</v>
      </c>
      <c r="D8" t="s">
        <v>16</v>
      </c>
      <c r="E8">
        <v>6</v>
      </c>
      <c r="F8">
        <f>MAX(-1,3-Tableau1[[#This Row],[Nb possédé (digital)]])</f>
        <v>-1</v>
      </c>
      <c r="G8">
        <v>6</v>
      </c>
      <c r="H8">
        <f>MAX(-1,3-Tableau1[[#This Row],[Possédé (physique)]])</f>
        <v>-1</v>
      </c>
      <c r="I8" t="str">
        <f>IF(Tableau1[[#This Row],[Manque (physique)]]&gt;Tableau1[[#This Row],[Manque (digital)]],"POD",IF(Tableau1[[#This Row],[Manque (digital)]]&gt;Tableau1[[#This Row],[Manque (physique)]],"MarketPlace",""))</f>
        <v/>
      </c>
      <c r="J8" t="s">
        <v>217</v>
      </c>
      <c r="K8" t="s">
        <v>218</v>
      </c>
      <c r="L8" t="s">
        <v>19</v>
      </c>
      <c r="M8" t="s">
        <v>19</v>
      </c>
      <c r="Q8" t="s">
        <v>219</v>
      </c>
    </row>
    <row r="9" spans="1:17" hidden="1" x14ac:dyDescent="0.25">
      <c r="A9" t="s">
        <v>291</v>
      </c>
      <c r="B9" t="s">
        <v>14</v>
      </c>
      <c r="C9" t="s">
        <v>28</v>
      </c>
      <c r="D9" t="s">
        <v>16</v>
      </c>
      <c r="E9">
        <v>6</v>
      </c>
      <c r="F9">
        <f>MAX(-1,3-Tableau1[[#This Row],[Nb possédé (digital)]])</f>
        <v>-1</v>
      </c>
      <c r="G9">
        <v>6</v>
      </c>
      <c r="H9">
        <f>MAX(-1,3-Tableau1[[#This Row],[Possédé (physique)]])</f>
        <v>-1</v>
      </c>
      <c r="I9" t="str">
        <f>IF(Tableau1[[#This Row],[Manque (physique)]]&gt;Tableau1[[#This Row],[Manque (digital)]],"POD",IF(Tableau1[[#This Row],[Manque (digital)]]&gt;Tableau1[[#This Row],[Manque (physique)]],"MarketPlace",""))</f>
        <v/>
      </c>
      <c r="J9" t="s">
        <v>30</v>
      </c>
      <c r="K9" t="s">
        <v>292</v>
      </c>
      <c r="L9" t="s">
        <v>19</v>
      </c>
      <c r="M9" t="s">
        <v>19</v>
      </c>
      <c r="N9" t="s">
        <v>19</v>
      </c>
      <c r="O9" t="s">
        <v>19</v>
      </c>
      <c r="P9" t="s">
        <v>89</v>
      </c>
      <c r="Q9" t="s">
        <v>293</v>
      </c>
    </row>
    <row r="10" spans="1:17" hidden="1" x14ac:dyDescent="0.25">
      <c r="A10" t="s">
        <v>1136</v>
      </c>
      <c r="B10" t="s">
        <v>14</v>
      </c>
      <c r="C10" t="s">
        <v>28</v>
      </c>
      <c r="D10" t="s">
        <v>16</v>
      </c>
      <c r="E10">
        <v>5</v>
      </c>
      <c r="F10">
        <f>MAX(-1,3-Tableau1[[#This Row],[Nb possédé (digital)]])</f>
        <v>-1</v>
      </c>
      <c r="G10">
        <v>5</v>
      </c>
      <c r="H10">
        <f>MAX(-1,3-Tableau1[[#This Row],[Possédé (physique)]])</f>
        <v>-1</v>
      </c>
      <c r="I10" t="str">
        <f>IF(Tableau1[[#This Row],[Manque (physique)]]&gt;Tableau1[[#This Row],[Manque (digital)]],"POD",IF(Tableau1[[#This Row],[Manque (digital)]]&gt;Tableau1[[#This Row],[Manque (physique)]],"MarketPlace",""))</f>
        <v/>
      </c>
      <c r="J10" t="s">
        <v>30</v>
      </c>
      <c r="K10" t="s">
        <v>328</v>
      </c>
      <c r="L10" t="s">
        <v>19</v>
      </c>
      <c r="M10" t="s">
        <v>19</v>
      </c>
      <c r="N10" t="s">
        <v>20</v>
      </c>
      <c r="O10" t="s">
        <v>23</v>
      </c>
      <c r="P10" t="s">
        <v>23</v>
      </c>
      <c r="Q10" t="s">
        <v>1137</v>
      </c>
    </row>
    <row r="11" spans="1:17" hidden="1" x14ac:dyDescent="0.25">
      <c r="A11" t="s">
        <v>576</v>
      </c>
      <c r="B11" t="s">
        <v>14</v>
      </c>
      <c r="C11" t="s">
        <v>28</v>
      </c>
      <c r="D11" t="s">
        <v>16</v>
      </c>
      <c r="E11">
        <v>6</v>
      </c>
      <c r="F11">
        <f>MAX(-1,3-Tableau1[[#This Row],[Nb possédé (digital)]])</f>
        <v>-1</v>
      </c>
      <c r="G11">
        <v>6</v>
      </c>
      <c r="H11">
        <f>MAX(-1,3-Tableau1[[#This Row],[Possédé (physique)]])</f>
        <v>-1</v>
      </c>
      <c r="I11" t="str">
        <f>IF(Tableau1[[#This Row],[Manque (physique)]]&gt;Tableau1[[#This Row],[Manque (digital)]],"POD",IF(Tableau1[[#This Row],[Manque (digital)]]&gt;Tableau1[[#This Row],[Manque (physique)]],"MarketPlace",""))</f>
        <v/>
      </c>
      <c r="J11" t="s">
        <v>30</v>
      </c>
      <c r="K11" t="s">
        <v>42</v>
      </c>
      <c r="L11" t="s">
        <v>19</v>
      </c>
      <c r="M11" t="s">
        <v>19</v>
      </c>
      <c r="N11" t="s">
        <v>19</v>
      </c>
      <c r="O11" t="s">
        <v>19</v>
      </c>
      <c r="P11" t="s">
        <v>20</v>
      </c>
      <c r="Q11" t="s">
        <v>577</v>
      </c>
    </row>
    <row r="12" spans="1:17" hidden="1" x14ac:dyDescent="0.25">
      <c r="A12" t="s">
        <v>596</v>
      </c>
      <c r="B12" t="s">
        <v>14</v>
      </c>
      <c r="C12" t="s">
        <v>28</v>
      </c>
      <c r="D12" t="s">
        <v>16</v>
      </c>
      <c r="E12">
        <v>5</v>
      </c>
      <c r="F12">
        <f>MAX(-1,3-Tableau1[[#This Row],[Nb possédé (digital)]])</f>
        <v>-1</v>
      </c>
      <c r="G12">
        <v>5</v>
      </c>
      <c r="H12">
        <f>MAX(-1,3-Tableau1[[#This Row],[Possédé (physique)]])</f>
        <v>-1</v>
      </c>
      <c r="I12" t="str">
        <f>IF(Tableau1[[#This Row],[Manque (physique)]]&gt;Tableau1[[#This Row],[Manque (digital)]],"POD",IF(Tableau1[[#This Row],[Manque (digital)]]&gt;Tableau1[[#This Row],[Manque (physique)]],"MarketPlace",""))</f>
        <v/>
      </c>
      <c r="J12" t="s">
        <v>30</v>
      </c>
      <c r="K12" t="s">
        <v>42</v>
      </c>
      <c r="L12" t="s">
        <v>19</v>
      </c>
      <c r="M12" t="s">
        <v>19</v>
      </c>
      <c r="N12" t="s">
        <v>23</v>
      </c>
      <c r="O12" t="s">
        <v>19</v>
      </c>
      <c r="P12" t="s">
        <v>89</v>
      </c>
    </row>
    <row r="13" spans="1:17" hidden="1" x14ac:dyDescent="0.25">
      <c r="A13" t="s">
        <v>833</v>
      </c>
      <c r="B13" t="s">
        <v>14</v>
      </c>
      <c r="C13" t="s">
        <v>28</v>
      </c>
      <c r="D13" t="s">
        <v>16</v>
      </c>
      <c r="E13">
        <v>4</v>
      </c>
      <c r="F13">
        <f>MAX(-1,3-Tableau1[[#This Row],[Nb possédé (digital)]])</f>
        <v>-1</v>
      </c>
      <c r="G13">
        <v>4</v>
      </c>
      <c r="H13">
        <f>MAX(-1,3-Tableau1[[#This Row],[Possédé (physique)]])</f>
        <v>-1</v>
      </c>
      <c r="I13" t="str">
        <f>IF(Tableau1[[#This Row],[Manque (physique)]]&gt;Tableau1[[#This Row],[Manque (digital)]],"POD",IF(Tableau1[[#This Row],[Manque (digital)]]&gt;Tableau1[[#This Row],[Manque (physique)]],"MarketPlace",""))</f>
        <v/>
      </c>
      <c r="J13" t="s">
        <v>30</v>
      </c>
      <c r="K13" t="s">
        <v>504</v>
      </c>
      <c r="L13" t="s">
        <v>19</v>
      </c>
      <c r="M13" t="s">
        <v>19</v>
      </c>
      <c r="N13" t="s">
        <v>19</v>
      </c>
      <c r="O13" t="s">
        <v>20</v>
      </c>
      <c r="P13" t="s">
        <v>20</v>
      </c>
      <c r="Q13" t="s">
        <v>834</v>
      </c>
    </row>
    <row r="14" spans="1:17" hidden="1" x14ac:dyDescent="0.25">
      <c r="A14" t="s">
        <v>82</v>
      </c>
      <c r="B14" t="s">
        <v>14</v>
      </c>
      <c r="C14" t="s">
        <v>28</v>
      </c>
      <c r="D14" t="s">
        <v>16</v>
      </c>
      <c r="E14">
        <v>8</v>
      </c>
      <c r="F14">
        <f>MAX(-1,3-Tableau1[[#This Row],[Nb possédé (digital)]])</f>
        <v>-1</v>
      </c>
      <c r="G14">
        <v>8</v>
      </c>
      <c r="H14">
        <f>MAX(-1,3-Tableau1[[#This Row],[Possédé (physique)]])</f>
        <v>-1</v>
      </c>
      <c r="I14" t="str">
        <f>IF(Tableau1[[#This Row],[Manque (physique)]]&gt;Tableau1[[#This Row],[Manque (digital)]],"POD",IF(Tableau1[[#This Row],[Manque (digital)]]&gt;Tableau1[[#This Row],[Manque (physique)]],"MarketPlace",""))</f>
        <v/>
      </c>
      <c r="J14" t="s">
        <v>30</v>
      </c>
      <c r="K14" t="s">
        <v>83</v>
      </c>
      <c r="L14" t="s">
        <v>23</v>
      </c>
      <c r="M14" t="s">
        <v>20</v>
      </c>
      <c r="N14" t="s">
        <v>19</v>
      </c>
      <c r="O14" t="s">
        <v>19</v>
      </c>
      <c r="P14" t="s">
        <v>19</v>
      </c>
    </row>
    <row r="15" spans="1:17" hidden="1" x14ac:dyDescent="0.25">
      <c r="A15" t="s">
        <v>120</v>
      </c>
      <c r="B15" t="s">
        <v>14</v>
      </c>
      <c r="C15" t="s">
        <v>28</v>
      </c>
      <c r="D15" t="s">
        <v>16</v>
      </c>
      <c r="E15">
        <v>6</v>
      </c>
      <c r="F15">
        <f>MAX(-1,3-Tableau1[[#This Row],[Nb possédé (digital)]])</f>
        <v>-1</v>
      </c>
      <c r="G15">
        <v>6</v>
      </c>
      <c r="H15">
        <f>MAX(-1,3-Tableau1[[#This Row],[Possédé (physique)]])</f>
        <v>-1</v>
      </c>
      <c r="I15" t="str">
        <f>IF(Tableau1[[#This Row],[Manque (physique)]]&gt;Tableau1[[#This Row],[Manque (digital)]],"POD",IF(Tableau1[[#This Row],[Manque (digital)]]&gt;Tableau1[[#This Row],[Manque (physique)]],"MarketPlace",""))</f>
        <v/>
      </c>
      <c r="J15" t="s">
        <v>30</v>
      </c>
      <c r="K15" t="s">
        <v>42</v>
      </c>
      <c r="L15" t="s">
        <v>23</v>
      </c>
      <c r="M15" t="s">
        <v>23</v>
      </c>
      <c r="N15" t="s">
        <v>19</v>
      </c>
      <c r="O15" t="s">
        <v>19</v>
      </c>
      <c r="P15" t="s">
        <v>19</v>
      </c>
      <c r="Q15" t="s">
        <v>121</v>
      </c>
    </row>
    <row r="16" spans="1:17" hidden="1" x14ac:dyDescent="0.25">
      <c r="A16" t="s">
        <v>207</v>
      </c>
      <c r="B16" t="s">
        <v>14</v>
      </c>
      <c r="C16" t="s">
        <v>28</v>
      </c>
      <c r="D16" t="s">
        <v>16</v>
      </c>
      <c r="E16">
        <v>6</v>
      </c>
      <c r="F16">
        <f>MAX(-1,3-Tableau1[[#This Row],[Nb possédé (digital)]])</f>
        <v>-1</v>
      </c>
      <c r="G16">
        <v>6</v>
      </c>
      <c r="H16">
        <f>MAX(-1,3-Tableau1[[#This Row],[Possédé (physique)]])</f>
        <v>-1</v>
      </c>
      <c r="I16" t="str">
        <f>IF(Tableau1[[#This Row],[Manque (physique)]]&gt;Tableau1[[#This Row],[Manque (digital)]],"POD",IF(Tableau1[[#This Row],[Manque (digital)]]&gt;Tableau1[[#This Row],[Manque (physique)]],"MarketPlace",""))</f>
        <v/>
      </c>
      <c r="J16" t="s">
        <v>17</v>
      </c>
      <c r="K16" t="s">
        <v>153</v>
      </c>
      <c r="L16" t="s">
        <v>23</v>
      </c>
      <c r="M16" t="s">
        <v>23</v>
      </c>
      <c r="Q16" t="s">
        <v>208</v>
      </c>
    </row>
    <row r="17" spans="1:17" hidden="1" x14ac:dyDescent="0.25">
      <c r="A17" t="s">
        <v>372</v>
      </c>
      <c r="B17" t="s">
        <v>14</v>
      </c>
      <c r="C17" t="s">
        <v>28</v>
      </c>
      <c r="D17" t="s">
        <v>16</v>
      </c>
      <c r="E17">
        <v>5</v>
      </c>
      <c r="F17">
        <f>MAX(-1,3-Tableau1[[#This Row],[Nb possédé (digital)]])</f>
        <v>-1</v>
      </c>
      <c r="G17">
        <v>5</v>
      </c>
      <c r="H17">
        <f>MAX(-1,3-Tableau1[[#This Row],[Possédé (physique)]])</f>
        <v>-1</v>
      </c>
      <c r="I17" t="str">
        <f>IF(Tableau1[[#This Row],[Manque (physique)]]&gt;Tableau1[[#This Row],[Manque (digital)]],"POD",IF(Tableau1[[#This Row],[Manque (digital)]]&gt;Tableau1[[#This Row],[Manque (physique)]],"MarketPlace",""))</f>
        <v/>
      </c>
      <c r="J17" t="s">
        <v>17</v>
      </c>
      <c r="K17" t="s">
        <v>153</v>
      </c>
      <c r="L17" t="s">
        <v>23</v>
      </c>
      <c r="M17" t="s">
        <v>23</v>
      </c>
      <c r="Q17" t="s">
        <v>373</v>
      </c>
    </row>
    <row r="18" spans="1:17" hidden="1" x14ac:dyDescent="0.25">
      <c r="A18" t="s">
        <v>480</v>
      </c>
      <c r="B18" t="s">
        <v>14</v>
      </c>
      <c r="C18" t="s">
        <v>28</v>
      </c>
      <c r="D18" t="s">
        <v>16</v>
      </c>
      <c r="E18">
        <v>5</v>
      </c>
      <c r="F18">
        <f>MAX(-1,3-Tableau1[[#This Row],[Nb possédé (digital)]])</f>
        <v>-1</v>
      </c>
      <c r="G18">
        <v>5</v>
      </c>
      <c r="H18">
        <f>MAX(-1,3-Tableau1[[#This Row],[Possédé (physique)]])</f>
        <v>-1</v>
      </c>
      <c r="I18" t="str">
        <f>IF(Tableau1[[#This Row],[Manque (physique)]]&gt;Tableau1[[#This Row],[Manque (digital)]],"POD",IF(Tableau1[[#This Row],[Manque (digital)]]&gt;Tableau1[[#This Row],[Manque (physique)]],"MarketPlace",""))</f>
        <v/>
      </c>
      <c r="J18" t="s">
        <v>30</v>
      </c>
      <c r="K18" t="s">
        <v>481</v>
      </c>
      <c r="L18" t="s">
        <v>23</v>
      </c>
      <c r="M18" t="s">
        <v>23</v>
      </c>
      <c r="N18" t="s">
        <v>20</v>
      </c>
      <c r="O18" t="s">
        <v>23</v>
      </c>
      <c r="P18" t="s">
        <v>23</v>
      </c>
      <c r="Q18" t="s">
        <v>482</v>
      </c>
    </row>
    <row r="19" spans="1:17" hidden="1" x14ac:dyDescent="0.25">
      <c r="A19" t="s">
        <v>524</v>
      </c>
      <c r="B19" t="s">
        <v>14</v>
      </c>
      <c r="C19" t="s">
        <v>28</v>
      </c>
      <c r="D19" t="s">
        <v>16</v>
      </c>
      <c r="E19">
        <v>6</v>
      </c>
      <c r="F19">
        <f>MAX(-1,3-Tableau1[[#This Row],[Nb possédé (digital)]])</f>
        <v>-1</v>
      </c>
      <c r="G19">
        <v>6</v>
      </c>
      <c r="H19">
        <f>MAX(-1,3-Tableau1[[#This Row],[Possédé (physique)]])</f>
        <v>-1</v>
      </c>
      <c r="I19" t="str">
        <f>IF(Tableau1[[#This Row],[Manque (physique)]]&gt;Tableau1[[#This Row],[Manque (digital)]],"POD",IF(Tableau1[[#This Row],[Manque (digital)]]&gt;Tableau1[[#This Row],[Manque (physique)]],"MarketPlace",""))</f>
        <v/>
      </c>
      <c r="J19" t="s">
        <v>217</v>
      </c>
      <c r="K19" t="s">
        <v>218</v>
      </c>
      <c r="L19" t="s">
        <v>23</v>
      </c>
      <c r="M19" t="s">
        <v>23</v>
      </c>
      <c r="Q19" t="s">
        <v>525</v>
      </c>
    </row>
    <row r="20" spans="1:17" hidden="1" x14ac:dyDescent="0.25">
      <c r="A20" t="s">
        <v>546</v>
      </c>
      <c r="B20" t="s">
        <v>14</v>
      </c>
      <c r="C20" t="s">
        <v>28</v>
      </c>
      <c r="D20" t="s">
        <v>16</v>
      </c>
      <c r="E20">
        <v>5</v>
      </c>
      <c r="F20">
        <f>MAX(-1,3-Tableau1[[#This Row],[Nb possédé (digital)]])</f>
        <v>-1</v>
      </c>
      <c r="G20">
        <v>5</v>
      </c>
      <c r="H20">
        <f>MAX(-1,3-Tableau1[[#This Row],[Possédé (physique)]])</f>
        <v>-1</v>
      </c>
      <c r="I20" t="str">
        <f>IF(Tableau1[[#This Row],[Manque (physique)]]&gt;Tableau1[[#This Row],[Manque (digital)]],"POD",IF(Tableau1[[#This Row],[Manque (digital)]]&gt;Tableau1[[#This Row],[Manque (physique)]],"MarketPlace",""))</f>
        <v/>
      </c>
      <c r="J20" t="s">
        <v>217</v>
      </c>
      <c r="K20" t="s">
        <v>218</v>
      </c>
      <c r="L20" t="s">
        <v>23</v>
      </c>
      <c r="M20" t="s">
        <v>23</v>
      </c>
      <c r="Q20" t="s">
        <v>547</v>
      </c>
    </row>
    <row r="21" spans="1:17" hidden="1" x14ac:dyDescent="0.25">
      <c r="A21" t="s">
        <v>639</v>
      </c>
      <c r="B21" t="s">
        <v>14</v>
      </c>
      <c r="C21" t="s">
        <v>28</v>
      </c>
      <c r="D21" t="s">
        <v>16</v>
      </c>
      <c r="E21">
        <v>7</v>
      </c>
      <c r="F21">
        <f>MAX(-1,3-Tableau1[[#This Row],[Nb possédé (digital)]])</f>
        <v>-1</v>
      </c>
      <c r="G21">
        <v>7</v>
      </c>
      <c r="H21">
        <f>MAX(-1,3-Tableau1[[#This Row],[Possédé (physique)]])</f>
        <v>-1</v>
      </c>
      <c r="I21" t="str">
        <f>IF(Tableau1[[#This Row],[Manque (physique)]]&gt;Tableau1[[#This Row],[Manque (digital)]],"POD",IF(Tableau1[[#This Row],[Manque (digital)]]&gt;Tableau1[[#This Row],[Manque (physique)]],"MarketPlace",""))</f>
        <v/>
      </c>
      <c r="J21" t="s">
        <v>217</v>
      </c>
      <c r="K21" t="s">
        <v>218</v>
      </c>
      <c r="L21" t="s">
        <v>23</v>
      </c>
      <c r="M21" t="s">
        <v>23</v>
      </c>
      <c r="Q21" t="s">
        <v>640</v>
      </c>
    </row>
    <row r="22" spans="1:17" hidden="1" x14ac:dyDescent="0.25">
      <c r="A22" t="s">
        <v>1091</v>
      </c>
      <c r="B22" t="s">
        <v>14</v>
      </c>
      <c r="C22" t="s">
        <v>28</v>
      </c>
      <c r="D22" t="s">
        <v>16</v>
      </c>
      <c r="E22">
        <v>8</v>
      </c>
      <c r="F22">
        <f>MAX(-1,3-Tableau1[[#This Row],[Nb possédé (digital)]])</f>
        <v>-1</v>
      </c>
      <c r="G22">
        <v>8</v>
      </c>
      <c r="H22">
        <f>MAX(-1,3-Tableau1[[#This Row],[Possédé (physique)]])</f>
        <v>-1</v>
      </c>
      <c r="I22" t="str">
        <f>IF(Tableau1[[#This Row],[Manque (physique)]]&gt;Tableau1[[#This Row],[Manque (digital)]],"POD",IF(Tableau1[[#This Row],[Manque (digital)]]&gt;Tableau1[[#This Row],[Manque (physique)]],"MarketPlace",""))</f>
        <v/>
      </c>
      <c r="J22" t="s">
        <v>30</v>
      </c>
      <c r="K22" t="s">
        <v>42</v>
      </c>
      <c r="L22" t="s">
        <v>23</v>
      </c>
      <c r="M22" t="s">
        <v>23</v>
      </c>
      <c r="N22" t="s">
        <v>23</v>
      </c>
      <c r="O22" t="s">
        <v>23</v>
      </c>
      <c r="P22" t="s">
        <v>23</v>
      </c>
      <c r="Q22" t="s">
        <v>1092</v>
      </c>
    </row>
    <row r="23" spans="1:17" hidden="1" x14ac:dyDescent="0.25">
      <c r="A23" t="s">
        <v>214</v>
      </c>
      <c r="B23" t="s">
        <v>14</v>
      </c>
      <c r="C23" t="s">
        <v>28</v>
      </c>
      <c r="D23" t="s">
        <v>16</v>
      </c>
      <c r="E23">
        <v>4</v>
      </c>
      <c r="F23">
        <f>MAX(-1,3-Tableau1[[#This Row],[Nb possédé (digital)]])</f>
        <v>-1</v>
      </c>
      <c r="G23">
        <v>4</v>
      </c>
      <c r="H23">
        <f>MAX(-1,3-Tableau1[[#This Row],[Possédé (physique)]])</f>
        <v>-1</v>
      </c>
      <c r="I23" t="str">
        <f>IF(Tableau1[[#This Row],[Manque (physique)]]&gt;Tableau1[[#This Row],[Manque (digital)]],"POD",IF(Tableau1[[#This Row],[Manque (digital)]]&gt;Tableau1[[#This Row],[Manque (physique)]],"MarketPlace",""))</f>
        <v/>
      </c>
      <c r="J23" t="s">
        <v>30</v>
      </c>
      <c r="K23" t="s">
        <v>42</v>
      </c>
      <c r="L23" t="s">
        <v>52</v>
      </c>
      <c r="M23" t="s">
        <v>23</v>
      </c>
      <c r="N23" t="s">
        <v>19</v>
      </c>
      <c r="O23" t="s">
        <v>52</v>
      </c>
      <c r="P23" t="s">
        <v>19</v>
      </c>
      <c r="Q23" t="s">
        <v>215</v>
      </c>
    </row>
    <row r="24" spans="1:17" hidden="1" x14ac:dyDescent="0.25">
      <c r="A24" t="s">
        <v>344</v>
      </c>
      <c r="B24" t="s">
        <v>14</v>
      </c>
      <c r="C24" t="s">
        <v>28</v>
      </c>
      <c r="D24" t="s">
        <v>16</v>
      </c>
      <c r="E24">
        <v>5</v>
      </c>
      <c r="F24">
        <f>MAX(-1,3-Tableau1[[#This Row],[Nb possédé (digital)]])</f>
        <v>-1</v>
      </c>
      <c r="G24">
        <v>5</v>
      </c>
      <c r="H24">
        <f>MAX(-1,3-Tableau1[[#This Row],[Possédé (physique)]])</f>
        <v>-1</v>
      </c>
      <c r="I24" t="str">
        <f>IF(Tableau1[[#This Row],[Manque (physique)]]&gt;Tableau1[[#This Row],[Manque (digital)]],"POD",IF(Tableau1[[#This Row],[Manque (digital)]]&gt;Tableau1[[#This Row],[Manque (physique)]],"MarketPlace",""))</f>
        <v/>
      </c>
      <c r="J24" t="s">
        <v>30</v>
      </c>
      <c r="K24" t="s">
        <v>42</v>
      </c>
      <c r="L24" t="s">
        <v>52</v>
      </c>
      <c r="M24" t="s">
        <v>23</v>
      </c>
      <c r="N24" t="s">
        <v>23</v>
      </c>
      <c r="O24" t="s">
        <v>23</v>
      </c>
      <c r="P24" t="s">
        <v>23</v>
      </c>
      <c r="Q24" t="s">
        <v>345</v>
      </c>
    </row>
    <row r="25" spans="1:17" hidden="1" x14ac:dyDescent="0.25">
      <c r="A25" t="s">
        <v>931</v>
      </c>
      <c r="B25" t="s">
        <v>14</v>
      </c>
      <c r="C25" t="s">
        <v>28</v>
      </c>
      <c r="D25" t="s">
        <v>16</v>
      </c>
      <c r="E25">
        <v>8</v>
      </c>
      <c r="F25">
        <f>MAX(-1,3-Tableau1[[#This Row],[Nb possédé (digital)]])</f>
        <v>-1</v>
      </c>
      <c r="G25">
        <v>8</v>
      </c>
      <c r="H25">
        <f>MAX(-1,3-Tableau1[[#This Row],[Possédé (physique)]])</f>
        <v>-1</v>
      </c>
      <c r="I25" t="str">
        <f>IF(Tableau1[[#This Row],[Manque (physique)]]&gt;Tableau1[[#This Row],[Manque (digital)]],"POD",IF(Tableau1[[#This Row],[Manque (digital)]]&gt;Tableau1[[#This Row],[Manque (physique)]],"MarketPlace",""))</f>
        <v/>
      </c>
      <c r="J25" t="s">
        <v>217</v>
      </c>
      <c r="K25" t="s">
        <v>218</v>
      </c>
      <c r="L25" t="s">
        <v>52</v>
      </c>
      <c r="M25" t="s">
        <v>52</v>
      </c>
      <c r="Q25" t="s">
        <v>73</v>
      </c>
    </row>
    <row r="26" spans="1:17" hidden="1" x14ac:dyDescent="0.25">
      <c r="A26" t="s">
        <v>136</v>
      </c>
      <c r="B26" t="s">
        <v>14</v>
      </c>
      <c r="C26" t="s">
        <v>28</v>
      </c>
      <c r="D26" t="s">
        <v>16</v>
      </c>
      <c r="E26">
        <v>6</v>
      </c>
      <c r="F26">
        <f>MAX(-1,3-Tableau1[[#This Row],[Nb possédé (digital)]])</f>
        <v>-1</v>
      </c>
      <c r="G26">
        <v>6</v>
      </c>
      <c r="H26">
        <f>MAX(-1,3-Tableau1[[#This Row],[Possédé (physique)]])</f>
        <v>-1</v>
      </c>
      <c r="I26" t="str">
        <f>IF(Tableau1[[#This Row],[Manque (physique)]]&gt;Tableau1[[#This Row],[Manque (digital)]],"POD",IF(Tableau1[[#This Row],[Manque (digital)]]&gt;Tableau1[[#This Row],[Manque (physique)]],"MarketPlace",""))</f>
        <v/>
      </c>
      <c r="J26" t="s">
        <v>30</v>
      </c>
      <c r="K26" t="s">
        <v>51</v>
      </c>
      <c r="L26" t="s">
        <v>37</v>
      </c>
      <c r="M26" t="s">
        <v>23</v>
      </c>
      <c r="N26" t="s">
        <v>23</v>
      </c>
      <c r="O26" t="s">
        <v>52</v>
      </c>
      <c r="P26" t="s">
        <v>52</v>
      </c>
      <c r="Q26" t="s">
        <v>137</v>
      </c>
    </row>
    <row r="27" spans="1:17" hidden="1" x14ac:dyDescent="0.25">
      <c r="A27" t="s">
        <v>961</v>
      </c>
      <c r="B27" t="s">
        <v>14</v>
      </c>
      <c r="C27" t="s">
        <v>28</v>
      </c>
      <c r="D27" t="s">
        <v>16</v>
      </c>
      <c r="E27">
        <v>6</v>
      </c>
      <c r="F27">
        <f>MAX(-1,3-Tableau1[[#This Row],[Nb possédé (digital)]])</f>
        <v>-1</v>
      </c>
      <c r="G27">
        <v>6</v>
      </c>
      <c r="H27">
        <f>MAX(-1,3-Tableau1[[#This Row],[Possédé (physique)]])</f>
        <v>-1</v>
      </c>
      <c r="I27" t="str">
        <f>IF(Tableau1[[#This Row],[Manque (physique)]]&gt;Tableau1[[#This Row],[Manque (digital)]],"POD",IF(Tableau1[[#This Row],[Manque (digital)]]&gt;Tableau1[[#This Row],[Manque (physique)]],"MarketPlace",""))</f>
        <v/>
      </c>
      <c r="J27" t="s">
        <v>217</v>
      </c>
      <c r="K27" t="s">
        <v>218</v>
      </c>
      <c r="L27" t="s">
        <v>37</v>
      </c>
      <c r="M27" t="s">
        <v>37</v>
      </c>
      <c r="Q27" t="s">
        <v>962</v>
      </c>
    </row>
    <row r="28" spans="1:17" hidden="1" x14ac:dyDescent="0.25">
      <c r="A28" t="s">
        <v>486</v>
      </c>
      <c r="B28" t="s">
        <v>14</v>
      </c>
      <c r="C28" t="s">
        <v>28</v>
      </c>
      <c r="D28" t="s">
        <v>16</v>
      </c>
      <c r="E28">
        <v>5</v>
      </c>
      <c r="F28">
        <f>MAX(-1,3-Tableau1[[#This Row],[Nb possédé (digital)]])</f>
        <v>-1</v>
      </c>
      <c r="G28">
        <v>5</v>
      </c>
      <c r="H28">
        <f>MAX(-1,3-Tableau1[[#This Row],[Possédé (physique)]])</f>
        <v>-1</v>
      </c>
      <c r="I28" t="str">
        <f>IF(Tableau1[[#This Row],[Manque (physique)]]&gt;Tableau1[[#This Row],[Manque (digital)]],"POD",IF(Tableau1[[#This Row],[Manque (digital)]]&gt;Tableau1[[#This Row],[Manque (physique)]],"MarketPlace",""))</f>
        <v/>
      </c>
      <c r="J28" t="s">
        <v>30</v>
      </c>
      <c r="K28" t="s">
        <v>51</v>
      </c>
      <c r="L28" t="s">
        <v>380</v>
      </c>
      <c r="M28" t="s">
        <v>380</v>
      </c>
      <c r="N28" t="s">
        <v>37</v>
      </c>
      <c r="O28" t="s">
        <v>37</v>
      </c>
      <c r="P28" t="s">
        <v>37</v>
      </c>
      <c r="Q28" t="s">
        <v>487</v>
      </c>
    </row>
    <row r="29" spans="1:17" hidden="1" x14ac:dyDescent="0.25">
      <c r="A29" t="s">
        <v>752</v>
      </c>
      <c r="B29" t="s">
        <v>14</v>
      </c>
      <c r="C29" t="s">
        <v>28</v>
      </c>
      <c r="D29" t="s">
        <v>58</v>
      </c>
      <c r="E29">
        <v>4</v>
      </c>
      <c r="F29">
        <f>MAX(-1,3-Tableau1[[#This Row],[Nb possédé (digital)]])</f>
        <v>-1</v>
      </c>
      <c r="G29">
        <v>4</v>
      </c>
      <c r="H29">
        <f>MAX(-1,3-Tableau1[[#This Row],[Possédé (physique)]])</f>
        <v>-1</v>
      </c>
      <c r="I29" t="str">
        <f>IF(Tableau1[[#This Row],[Manque (physique)]]&gt;Tableau1[[#This Row],[Manque (digital)]],"POD",IF(Tableau1[[#This Row],[Manque (digital)]]&gt;Tableau1[[#This Row],[Manque (physique)]],"MarketPlace",""))</f>
        <v/>
      </c>
      <c r="J29" t="s">
        <v>17</v>
      </c>
      <c r="K29" t="s">
        <v>97</v>
      </c>
      <c r="L29" t="s">
        <v>20</v>
      </c>
      <c r="M29" t="s">
        <v>20</v>
      </c>
      <c r="Q29" t="s">
        <v>753</v>
      </c>
    </row>
    <row r="30" spans="1:17" hidden="1" x14ac:dyDescent="0.25">
      <c r="A30" t="s">
        <v>645</v>
      </c>
      <c r="B30" t="s">
        <v>14</v>
      </c>
      <c r="C30" t="s">
        <v>28</v>
      </c>
      <c r="D30" t="s">
        <v>58</v>
      </c>
      <c r="E30">
        <v>3</v>
      </c>
      <c r="F30">
        <f>MAX(-1,3-Tableau1[[#This Row],[Nb possédé (digital)]])</f>
        <v>0</v>
      </c>
      <c r="G30">
        <v>3</v>
      </c>
      <c r="H30">
        <f>MAX(-1,3-Tableau1[[#This Row],[Possédé (physique)]])</f>
        <v>0</v>
      </c>
      <c r="I30" t="str">
        <f>IF(Tableau1[[#This Row],[Manque (physique)]]&gt;Tableau1[[#This Row],[Manque (digital)]],"POD",IF(Tableau1[[#This Row],[Manque (digital)]]&gt;Tableau1[[#This Row],[Manque (physique)]],"MarketPlace",""))</f>
        <v/>
      </c>
      <c r="J30" t="s">
        <v>30</v>
      </c>
      <c r="K30" t="s">
        <v>292</v>
      </c>
      <c r="L30" t="s">
        <v>20</v>
      </c>
      <c r="M30" t="s">
        <v>23</v>
      </c>
      <c r="N30" t="s">
        <v>37</v>
      </c>
      <c r="O30" t="s">
        <v>23</v>
      </c>
      <c r="P30" t="s">
        <v>37</v>
      </c>
      <c r="Q30" t="s">
        <v>646</v>
      </c>
    </row>
    <row r="31" spans="1:17" hidden="1" x14ac:dyDescent="0.25">
      <c r="A31" t="s">
        <v>770</v>
      </c>
      <c r="B31" t="s">
        <v>14</v>
      </c>
      <c r="C31" t="s">
        <v>28</v>
      </c>
      <c r="D31" t="s">
        <v>58</v>
      </c>
      <c r="E31">
        <v>5</v>
      </c>
      <c r="F31">
        <f>MAX(-1,3-Tableau1[[#This Row],[Nb possédé (digital)]])</f>
        <v>-1</v>
      </c>
      <c r="G31">
        <v>5</v>
      </c>
      <c r="H31">
        <f>MAX(-1,3-Tableau1[[#This Row],[Possédé (physique)]])</f>
        <v>-1</v>
      </c>
      <c r="I31" t="str">
        <f>IF(Tableau1[[#This Row],[Manque (physique)]]&gt;Tableau1[[#This Row],[Manque (digital)]],"POD",IF(Tableau1[[#This Row],[Manque (digital)]]&gt;Tableau1[[#This Row],[Manque (physique)]],"MarketPlace",""))</f>
        <v/>
      </c>
      <c r="J31" t="s">
        <v>30</v>
      </c>
      <c r="K31" t="s">
        <v>79</v>
      </c>
      <c r="L31" t="s">
        <v>19</v>
      </c>
      <c r="M31" t="s">
        <v>19</v>
      </c>
      <c r="N31" t="s">
        <v>19</v>
      </c>
      <c r="O31" t="s">
        <v>89</v>
      </c>
      <c r="P31" t="s">
        <v>23</v>
      </c>
      <c r="Q31" t="s">
        <v>771</v>
      </c>
    </row>
    <row r="32" spans="1:17" hidden="1" x14ac:dyDescent="0.25">
      <c r="A32" t="s">
        <v>924</v>
      </c>
      <c r="B32" t="s">
        <v>14</v>
      </c>
      <c r="C32" t="s">
        <v>28</v>
      </c>
      <c r="D32" t="s">
        <v>58</v>
      </c>
      <c r="E32">
        <v>4</v>
      </c>
      <c r="F32">
        <f>MAX(-1,3-Tableau1[[#This Row],[Nb possédé (digital)]])</f>
        <v>-1</v>
      </c>
      <c r="G32">
        <v>4</v>
      </c>
      <c r="H32">
        <f>MAX(-1,3-Tableau1[[#This Row],[Possédé (physique)]])</f>
        <v>-1</v>
      </c>
      <c r="I32" t="str">
        <f>IF(Tableau1[[#This Row],[Manque (physique)]]&gt;Tableau1[[#This Row],[Manque (digital)]],"POD",IF(Tableau1[[#This Row],[Manque (digital)]]&gt;Tableau1[[#This Row],[Manque (physique)]],"MarketPlace",""))</f>
        <v/>
      </c>
      <c r="J32" t="s">
        <v>116</v>
      </c>
      <c r="K32" t="s">
        <v>117</v>
      </c>
      <c r="L32" t="s">
        <v>19</v>
      </c>
      <c r="M32" t="s">
        <v>19</v>
      </c>
      <c r="Q32" t="s">
        <v>925</v>
      </c>
    </row>
    <row r="33" spans="1:17" hidden="1" x14ac:dyDescent="0.25">
      <c r="A33" t="s">
        <v>1099</v>
      </c>
      <c r="B33" t="s">
        <v>14</v>
      </c>
      <c r="C33" t="s">
        <v>28</v>
      </c>
      <c r="D33" t="s">
        <v>58</v>
      </c>
      <c r="E33">
        <v>4</v>
      </c>
      <c r="F33">
        <f>MAX(-1,3-Tableau1[[#This Row],[Nb possédé (digital)]])</f>
        <v>-1</v>
      </c>
      <c r="G33">
        <v>4</v>
      </c>
      <c r="H33">
        <f>MAX(-1,3-Tableau1[[#This Row],[Possédé (physique)]])</f>
        <v>-1</v>
      </c>
      <c r="I33" t="str">
        <f>IF(Tableau1[[#This Row],[Manque (physique)]]&gt;Tableau1[[#This Row],[Manque (digital)]],"POD",IF(Tableau1[[#This Row],[Manque (digital)]]&gt;Tableau1[[#This Row],[Manque (physique)]],"MarketPlace",""))</f>
        <v/>
      </c>
      <c r="J33" t="s">
        <v>30</v>
      </c>
      <c r="K33" t="s">
        <v>42</v>
      </c>
      <c r="L33" t="s">
        <v>19</v>
      </c>
      <c r="M33" t="s">
        <v>19</v>
      </c>
      <c r="N33" t="s">
        <v>19</v>
      </c>
      <c r="O33" t="s">
        <v>19</v>
      </c>
      <c r="P33" t="s">
        <v>19</v>
      </c>
      <c r="Q33" t="s">
        <v>1100</v>
      </c>
    </row>
    <row r="34" spans="1:17" hidden="1" x14ac:dyDescent="0.25">
      <c r="A34" t="s">
        <v>647</v>
      </c>
      <c r="B34" t="s">
        <v>14</v>
      </c>
      <c r="C34" t="s">
        <v>28</v>
      </c>
      <c r="D34" t="s">
        <v>58</v>
      </c>
      <c r="E34">
        <v>3</v>
      </c>
      <c r="F34">
        <f>MAX(-1,3-Tableau1[[#This Row],[Nb possédé (digital)]])</f>
        <v>0</v>
      </c>
      <c r="G34">
        <v>3</v>
      </c>
      <c r="H34">
        <f>MAX(-1,3-Tableau1[[#This Row],[Possédé (physique)]])</f>
        <v>0</v>
      </c>
      <c r="I34" t="str">
        <f>IF(Tableau1[[#This Row],[Manque (physique)]]&gt;Tableau1[[#This Row],[Manque (digital)]],"POD",IF(Tableau1[[#This Row],[Manque (digital)]]&gt;Tableau1[[#This Row],[Manque (physique)]],"MarketPlace",""))</f>
        <v/>
      </c>
      <c r="J34" t="s">
        <v>30</v>
      </c>
      <c r="K34" t="s">
        <v>68</v>
      </c>
      <c r="L34" t="s">
        <v>19</v>
      </c>
      <c r="M34" t="s">
        <v>23</v>
      </c>
      <c r="N34" t="s">
        <v>23</v>
      </c>
      <c r="O34" t="s">
        <v>19</v>
      </c>
      <c r="P34" t="s">
        <v>89</v>
      </c>
      <c r="Q34" t="s">
        <v>648</v>
      </c>
    </row>
    <row r="35" spans="1:17" hidden="1" x14ac:dyDescent="0.25">
      <c r="A35" t="s">
        <v>1135</v>
      </c>
      <c r="B35" t="s">
        <v>14</v>
      </c>
      <c r="C35" t="s">
        <v>28</v>
      </c>
      <c r="D35" t="s">
        <v>58</v>
      </c>
      <c r="E35">
        <v>3</v>
      </c>
      <c r="F35">
        <f>MAX(-1,3-Tableau1[[#This Row],[Nb possédé (digital)]])</f>
        <v>0</v>
      </c>
      <c r="G35">
        <v>3</v>
      </c>
      <c r="H35">
        <f>MAX(-1,3-Tableau1[[#This Row],[Possédé (physique)]])</f>
        <v>0</v>
      </c>
      <c r="I35" t="str">
        <f>IF(Tableau1[[#This Row],[Manque (physique)]]&gt;Tableau1[[#This Row],[Manque (digital)]],"POD",IF(Tableau1[[#This Row],[Manque (digital)]]&gt;Tableau1[[#This Row],[Manque (physique)]],"MarketPlace",""))</f>
        <v/>
      </c>
      <c r="J35" t="s">
        <v>30</v>
      </c>
      <c r="K35" t="s">
        <v>79</v>
      </c>
      <c r="L35" t="s">
        <v>23</v>
      </c>
      <c r="M35" t="s">
        <v>20</v>
      </c>
      <c r="N35" t="s">
        <v>20</v>
      </c>
      <c r="O35" t="s">
        <v>20</v>
      </c>
      <c r="P35" t="s">
        <v>23</v>
      </c>
    </row>
    <row r="36" spans="1:17" hidden="1" x14ac:dyDescent="0.25">
      <c r="A36" t="s">
        <v>152</v>
      </c>
      <c r="B36" t="s">
        <v>14</v>
      </c>
      <c r="C36" t="s">
        <v>28</v>
      </c>
      <c r="D36" t="s">
        <v>58</v>
      </c>
      <c r="E36">
        <v>4</v>
      </c>
      <c r="F36">
        <f>MAX(-1,3-Tableau1[[#This Row],[Nb possédé (digital)]])</f>
        <v>-1</v>
      </c>
      <c r="G36">
        <v>4</v>
      </c>
      <c r="H36">
        <f>MAX(-1,3-Tableau1[[#This Row],[Possédé (physique)]])</f>
        <v>-1</v>
      </c>
      <c r="I36" t="str">
        <f>IF(Tableau1[[#This Row],[Manque (physique)]]&gt;Tableau1[[#This Row],[Manque (digital)]],"POD",IF(Tableau1[[#This Row],[Manque (digital)]]&gt;Tableau1[[#This Row],[Manque (physique)]],"MarketPlace",""))</f>
        <v/>
      </c>
      <c r="J36" t="s">
        <v>17</v>
      </c>
      <c r="K36" t="s">
        <v>153</v>
      </c>
      <c r="L36" t="s">
        <v>23</v>
      </c>
      <c r="M36" t="s">
        <v>23</v>
      </c>
      <c r="Q36" t="s">
        <v>154</v>
      </c>
    </row>
    <row r="37" spans="1:17" hidden="1" x14ac:dyDescent="0.25">
      <c r="A37" t="s">
        <v>484</v>
      </c>
      <c r="B37" t="s">
        <v>14</v>
      </c>
      <c r="C37" t="s">
        <v>28</v>
      </c>
      <c r="D37" t="s">
        <v>58</v>
      </c>
      <c r="E37">
        <v>4</v>
      </c>
      <c r="F37">
        <f>MAX(-1,3-Tableau1[[#This Row],[Nb possédé (digital)]])</f>
        <v>-1</v>
      </c>
      <c r="G37">
        <v>4</v>
      </c>
      <c r="H37">
        <f>MAX(-1,3-Tableau1[[#This Row],[Possédé (physique)]])</f>
        <v>-1</v>
      </c>
      <c r="I37" t="str">
        <f>IF(Tableau1[[#This Row],[Manque (physique)]]&gt;Tableau1[[#This Row],[Manque (digital)]],"POD",IF(Tableau1[[#This Row],[Manque (digital)]]&gt;Tableau1[[#This Row],[Manque (physique)]],"MarketPlace",""))</f>
        <v/>
      </c>
      <c r="J37" t="s">
        <v>268</v>
      </c>
      <c r="K37" t="s">
        <v>269</v>
      </c>
      <c r="L37" t="s">
        <v>23</v>
      </c>
      <c r="M37" t="s">
        <v>23</v>
      </c>
      <c r="Q37" t="s">
        <v>485</v>
      </c>
    </row>
    <row r="38" spans="1:17" hidden="1" x14ac:dyDescent="0.25">
      <c r="A38" t="s">
        <v>889</v>
      </c>
      <c r="B38" t="s">
        <v>14</v>
      </c>
      <c r="C38" t="s">
        <v>28</v>
      </c>
      <c r="D38" t="s">
        <v>58</v>
      </c>
      <c r="E38">
        <v>3</v>
      </c>
      <c r="F38">
        <f>MAX(-1,3-Tableau1[[#This Row],[Nb possédé (digital)]])</f>
        <v>0</v>
      </c>
      <c r="G38">
        <v>3</v>
      </c>
      <c r="H38">
        <f>MAX(-1,3-Tableau1[[#This Row],[Possédé (physique)]])</f>
        <v>0</v>
      </c>
      <c r="I38" t="str">
        <f>IF(Tableau1[[#This Row],[Manque (physique)]]&gt;Tableau1[[#This Row],[Manque (digital)]],"POD",IF(Tableau1[[#This Row],[Manque (digital)]]&gt;Tableau1[[#This Row],[Manque (physique)]],"MarketPlace",""))</f>
        <v/>
      </c>
      <c r="J38" t="s">
        <v>30</v>
      </c>
      <c r="K38" t="s">
        <v>83</v>
      </c>
      <c r="L38" t="s">
        <v>23</v>
      </c>
      <c r="M38" t="s">
        <v>23</v>
      </c>
      <c r="N38" t="s">
        <v>19</v>
      </c>
      <c r="O38" t="s">
        <v>23</v>
      </c>
      <c r="P38" t="s">
        <v>19</v>
      </c>
      <c r="Q38" t="s">
        <v>890</v>
      </c>
    </row>
    <row r="39" spans="1:17" hidden="1" x14ac:dyDescent="0.25">
      <c r="A39" t="s">
        <v>761</v>
      </c>
      <c r="B39" t="s">
        <v>14</v>
      </c>
      <c r="C39" t="s">
        <v>28</v>
      </c>
      <c r="D39" t="s">
        <v>58</v>
      </c>
      <c r="E39">
        <v>3</v>
      </c>
      <c r="F39">
        <f>MAX(-1,3-Tableau1[[#This Row],[Nb possédé (digital)]])</f>
        <v>0</v>
      </c>
      <c r="G39">
        <v>3</v>
      </c>
      <c r="H39">
        <f>MAX(-1,3-Tableau1[[#This Row],[Possédé (physique)]])</f>
        <v>0</v>
      </c>
      <c r="I39" t="str">
        <f>IF(Tableau1[[#This Row],[Manque (physique)]]&gt;Tableau1[[#This Row],[Manque (digital)]],"POD",IF(Tableau1[[#This Row],[Manque (digital)]]&gt;Tableau1[[#This Row],[Manque (physique)]],"MarketPlace",""))</f>
        <v/>
      </c>
      <c r="J39" t="s">
        <v>30</v>
      </c>
      <c r="K39" t="s">
        <v>762</v>
      </c>
      <c r="L39" t="s">
        <v>52</v>
      </c>
      <c r="M39" t="s">
        <v>52</v>
      </c>
      <c r="N39" t="s">
        <v>52</v>
      </c>
      <c r="O39" t="s">
        <v>52</v>
      </c>
      <c r="P39" t="s">
        <v>52</v>
      </c>
      <c r="Q39" t="s">
        <v>763</v>
      </c>
    </row>
    <row r="40" spans="1:17" hidden="1" x14ac:dyDescent="0.25">
      <c r="A40" t="s">
        <v>912</v>
      </c>
      <c r="B40" t="s">
        <v>14</v>
      </c>
      <c r="C40" t="s">
        <v>28</v>
      </c>
      <c r="D40" t="s">
        <v>58</v>
      </c>
      <c r="E40">
        <v>4</v>
      </c>
      <c r="F40">
        <f>MAX(-1,3-Tableau1[[#This Row],[Nb possédé (digital)]])</f>
        <v>-1</v>
      </c>
      <c r="G40">
        <v>4</v>
      </c>
      <c r="H40">
        <f>MAX(-1,3-Tableau1[[#This Row],[Possédé (physique)]])</f>
        <v>-1</v>
      </c>
      <c r="I40" t="str">
        <f>IF(Tableau1[[#This Row],[Manque (physique)]]&gt;Tableau1[[#This Row],[Manque (digital)]],"POD",IF(Tableau1[[#This Row],[Manque (digital)]]&gt;Tableau1[[#This Row],[Manque (physique)]],"MarketPlace",""))</f>
        <v/>
      </c>
      <c r="J40" t="s">
        <v>30</v>
      </c>
      <c r="K40" t="s">
        <v>292</v>
      </c>
      <c r="L40" t="s">
        <v>52</v>
      </c>
      <c r="M40" t="s">
        <v>52</v>
      </c>
      <c r="N40" t="s">
        <v>37</v>
      </c>
      <c r="O40" t="s">
        <v>37</v>
      </c>
      <c r="P40" t="s">
        <v>37</v>
      </c>
      <c r="Q40" t="s">
        <v>913</v>
      </c>
    </row>
    <row r="41" spans="1:17" hidden="1" x14ac:dyDescent="0.25">
      <c r="A41" t="s">
        <v>933</v>
      </c>
      <c r="B41" t="s">
        <v>14</v>
      </c>
      <c r="C41" t="s">
        <v>28</v>
      </c>
      <c r="D41" t="s">
        <v>58</v>
      </c>
      <c r="E41">
        <v>5</v>
      </c>
      <c r="F41">
        <f>MAX(-1,3-Tableau1[[#This Row],[Nb possédé (digital)]])</f>
        <v>-1</v>
      </c>
      <c r="G41">
        <v>5</v>
      </c>
      <c r="H41">
        <f>MAX(-1,3-Tableau1[[#This Row],[Possédé (physique)]])</f>
        <v>-1</v>
      </c>
      <c r="I41" t="str">
        <f>IF(Tableau1[[#This Row],[Manque (physique)]]&gt;Tableau1[[#This Row],[Manque (digital)]],"POD",IF(Tableau1[[#This Row],[Manque (digital)]]&gt;Tableau1[[#This Row],[Manque (physique)]],"MarketPlace",""))</f>
        <v/>
      </c>
      <c r="J41" t="s">
        <v>268</v>
      </c>
      <c r="K41" t="s">
        <v>438</v>
      </c>
      <c r="L41" t="s">
        <v>52</v>
      </c>
      <c r="M41" t="s">
        <v>52</v>
      </c>
      <c r="Q41" t="s">
        <v>934</v>
      </c>
    </row>
    <row r="42" spans="1:17" hidden="1" x14ac:dyDescent="0.25">
      <c r="A42" t="s">
        <v>1121</v>
      </c>
      <c r="B42" t="s">
        <v>14</v>
      </c>
      <c r="C42" t="s">
        <v>28</v>
      </c>
      <c r="D42" t="s">
        <v>58</v>
      </c>
      <c r="E42">
        <v>3</v>
      </c>
      <c r="F42">
        <f>MAX(-1,3-Tableau1[[#This Row],[Nb possédé (digital)]])</f>
        <v>0</v>
      </c>
      <c r="G42">
        <v>3</v>
      </c>
      <c r="H42">
        <f>MAX(-1,3-Tableau1[[#This Row],[Possédé (physique)]])</f>
        <v>0</v>
      </c>
      <c r="I42" t="str">
        <f>IF(Tableau1[[#This Row],[Manque (physique)]]&gt;Tableau1[[#This Row],[Manque (digital)]],"POD",IF(Tableau1[[#This Row],[Manque (digital)]]&gt;Tableau1[[#This Row],[Manque (physique)]],"MarketPlace",""))</f>
        <v/>
      </c>
      <c r="J42" t="s">
        <v>30</v>
      </c>
      <c r="K42" t="s">
        <v>51</v>
      </c>
      <c r="L42" t="s">
        <v>37</v>
      </c>
      <c r="M42" t="s">
        <v>37</v>
      </c>
      <c r="N42" t="s">
        <v>23</v>
      </c>
      <c r="O42" t="s">
        <v>23</v>
      </c>
      <c r="P42" t="s">
        <v>23</v>
      </c>
      <c r="Q42" t="s">
        <v>1122</v>
      </c>
    </row>
    <row r="43" spans="1:17" hidden="1" x14ac:dyDescent="0.25">
      <c r="A43" t="s">
        <v>503</v>
      </c>
      <c r="B43" t="s">
        <v>14</v>
      </c>
      <c r="C43" t="s">
        <v>28</v>
      </c>
      <c r="D43" t="s">
        <v>58</v>
      </c>
      <c r="E43">
        <v>6</v>
      </c>
      <c r="F43">
        <f>MAX(-1,3-Tableau1[[#This Row],[Nb possédé (digital)]])</f>
        <v>-1</v>
      </c>
      <c r="G43">
        <v>6</v>
      </c>
      <c r="H43">
        <f>MAX(-1,3-Tableau1[[#This Row],[Possédé (physique)]])</f>
        <v>-1</v>
      </c>
      <c r="I43" t="str">
        <f>IF(Tableau1[[#This Row],[Manque (physique)]]&gt;Tableau1[[#This Row],[Manque (digital)]],"POD",IF(Tableau1[[#This Row],[Manque (digital)]]&gt;Tableau1[[#This Row],[Manque (physique)]],"MarketPlace",""))</f>
        <v/>
      </c>
      <c r="J43" t="s">
        <v>30</v>
      </c>
      <c r="K43" t="s">
        <v>504</v>
      </c>
      <c r="L43" t="s">
        <v>39</v>
      </c>
      <c r="M43" t="s">
        <v>39</v>
      </c>
      <c r="N43" t="s">
        <v>37</v>
      </c>
      <c r="O43" t="s">
        <v>37</v>
      </c>
      <c r="P43" t="s">
        <v>37</v>
      </c>
      <c r="Q43" t="s">
        <v>505</v>
      </c>
    </row>
    <row r="44" spans="1:17" hidden="1" x14ac:dyDescent="0.25">
      <c r="A44" t="s">
        <v>1533</v>
      </c>
      <c r="B44" t="s">
        <v>14</v>
      </c>
      <c r="C44" t="s">
        <v>28</v>
      </c>
      <c r="D44" t="s">
        <v>1496</v>
      </c>
      <c r="E44">
        <v>6</v>
      </c>
      <c r="F44">
        <f>MAX(-1,3-Tableau1[[#This Row],[Nb possédé (digital)]])</f>
        <v>-1</v>
      </c>
      <c r="G44">
        <v>6</v>
      </c>
      <c r="H44">
        <f>MAX(-1,3-Tableau1[[#This Row],[Possédé (physique)]])</f>
        <v>-1</v>
      </c>
      <c r="I44" t="str">
        <f>IF(Tableau1[[#This Row],[Manque (physique)]]&gt;Tableau1[[#This Row],[Manque (digital)]],"POD",IF(Tableau1[[#This Row],[Manque (digital)]]&gt;Tableau1[[#This Row],[Manque (physique)]],"MarketPlace",""))</f>
        <v/>
      </c>
      <c r="J44" t="s">
        <v>30</v>
      </c>
      <c r="K44" t="s">
        <v>68</v>
      </c>
      <c r="L44" t="s">
        <v>20</v>
      </c>
      <c r="M44" t="s">
        <v>20</v>
      </c>
      <c r="N44" t="s">
        <v>20</v>
      </c>
      <c r="O44" t="s">
        <v>89</v>
      </c>
      <c r="P44" t="s">
        <v>20</v>
      </c>
    </row>
    <row r="45" spans="1:17" hidden="1" x14ac:dyDescent="0.25">
      <c r="A45" t="s">
        <v>1549</v>
      </c>
      <c r="B45" t="s">
        <v>14</v>
      </c>
      <c r="C45" t="s">
        <v>28</v>
      </c>
      <c r="D45" t="s">
        <v>1496</v>
      </c>
      <c r="E45">
        <v>11</v>
      </c>
      <c r="F45">
        <f>MAX(-1,3-Tableau1[[#This Row],[Nb possédé (digital)]])</f>
        <v>-1</v>
      </c>
      <c r="G45">
        <v>11</v>
      </c>
      <c r="H45">
        <f>MAX(-1,3-Tableau1[[#This Row],[Possédé (physique)]])</f>
        <v>-1</v>
      </c>
      <c r="I45" t="str">
        <f>IF(Tableau1[[#This Row],[Manque (physique)]]&gt;Tableau1[[#This Row],[Manque (digital)]],"POD",IF(Tableau1[[#This Row],[Manque (digital)]]&gt;Tableau1[[#This Row],[Manque (physique)]],"MarketPlace",""))</f>
        <v/>
      </c>
      <c r="J45" t="s">
        <v>30</v>
      </c>
      <c r="K45" t="s">
        <v>42</v>
      </c>
      <c r="L45" t="s">
        <v>19</v>
      </c>
      <c r="M45" t="s">
        <v>20</v>
      </c>
      <c r="N45" t="s">
        <v>20</v>
      </c>
      <c r="O45" t="s">
        <v>20</v>
      </c>
      <c r="P45" t="s">
        <v>20</v>
      </c>
      <c r="Q45" t="s">
        <v>1711</v>
      </c>
    </row>
    <row r="46" spans="1:17" hidden="1" x14ac:dyDescent="0.25">
      <c r="A46" t="s">
        <v>1590</v>
      </c>
      <c r="B46" t="s">
        <v>14</v>
      </c>
      <c r="C46" t="s">
        <v>28</v>
      </c>
      <c r="D46" t="s">
        <v>1496</v>
      </c>
      <c r="E46">
        <v>7</v>
      </c>
      <c r="F46">
        <f>MAX(-1,3-Tableau1[[#This Row],[Nb possédé (digital)]])</f>
        <v>-1</v>
      </c>
      <c r="G46">
        <v>7</v>
      </c>
      <c r="H46">
        <f>MAX(-1,3-Tableau1[[#This Row],[Possédé (physique)]])</f>
        <v>-1</v>
      </c>
      <c r="I46" t="str">
        <f>IF(Tableau1[[#This Row],[Manque (physique)]]&gt;Tableau1[[#This Row],[Manque (digital)]],"POD",IF(Tableau1[[#This Row],[Manque (digital)]]&gt;Tableau1[[#This Row],[Manque (physique)]],"MarketPlace",""))</f>
        <v/>
      </c>
      <c r="J46" t="s">
        <v>116</v>
      </c>
      <c r="K46" t="s">
        <v>117</v>
      </c>
      <c r="L46" t="s">
        <v>19</v>
      </c>
      <c r="M46" t="s">
        <v>20</v>
      </c>
      <c r="Q46" t="s">
        <v>1805</v>
      </c>
    </row>
    <row r="47" spans="1:17" hidden="1" x14ac:dyDescent="0.25">
      <c r="A47" t="s">
        <v>1517</v>
      </c>
      <c r="B47" t="s">
        <v>14</v>
      </c>
      <c r="C47" t="s">
        <v>28</v>
      </c>
      <c r="D47" t="s">
        <v>1496</v>
      </c>
      <c r="E47">
        <v>9</v>
      </c>
      <c r="F47">
        <f>MAX(-1,3-Tableau1[[#This Row],[Nb possédé (digital)]])</f>
        <v>-1</v>
      </c>
      <c r="G47">
        <v>9</v>
      </c>
      <c r="H47">
        <f>MAX(-1,3-Tableau1[[#This Row],[Possédé (physique)]])</f>
        <v>-1</v>
      </c>
      <c r="I47" t="str">
        <f>IF(Tableau1[[#This Row],[Manque (physique)]]&gt;Tableau1[[#This Row],[Manque (digital)]],"POD",IF(Tableau1[[#This Row],[Manque (digital)]]&gt;Tableau1[[#This Row],[Manque (physique)]],"MarketPlace",""))</f>
        <v/>
      </c>
      <c r="J47" t="s">
        <v>17</v>
      </c>
      <c r="K47" t="s">
        <v>153</v>
      </c>
      <c r="L47" t="s">
        <v>19</v>
      </c>
      <c r="M47" t="s">
        <v>19</v>
      </c>
      <c r="Q47" t="s">
        <v>1642</v>
      </c>
    </row>
    <row r="48" spans="1:17" hidden="1" x14ac:dyDescent="0.25">
      <c r="A48" t="s">
        <v>1519</v>
      </c>
      <c r="B48" t="s">
        <v>14</v>
      </c>
      <c r="C48" t="s">
        <v>28</v>
      </c>
      <c r="D48" t="s">
        <v>1496</v>
      </c>
      <c r="E48">
        <v>6</v>
      </c>
      <c r="F48">
        <f>MAX(-1,3-Tableau1[[#This Row],[Nb possédé (digital)]])</f>
        <v>-1</v>
      </c>
      <c r="G48">
        <v>6</v>
      </c>
      <c r="H48">
        <f>MAX(-1,3-Tableau1[[#This Row],[Possédé (physique)]])</f>
        <v>-1</v>
      </c>
      <c r="I48" t="str">
        <f>IF(Tableau1[[#This Row],[Manque (physique)]]&gt;Tableau1[[#This Row],[Manque (digital)]],"POD",IF(Tableau1[[#This Row],[Manque (digital)]]&gt;Tableau1[[#This Row],[Manque (physique)]],"MarketPlace",""))</f>
        <v/>
      </c>
      <c r="J48" t="s">
        <v>268</v>
      </c>
      <c r="K48" t="s">
        <v>269</v>
      </c>
      <c r="L48" t="s">
        <v>19</v>
      </c>
      <c r="M48" t="s">
        <v>19</v>
      </c>
      <c r="Q48" t="s">
        <v>1646</v>
      </c>
    </row>
    <row r="49" spans="1:17" hidden="1" x14ac:dyDescent="0.25">
      <c r="A49" t="s">
        <v>1548</v>
      </c>
      <c r="B49" t="s">
        <v>14</v>
      </c>
      <c r="C49" t="s">
        <v>28</v>
      </c>
      <c r="D49" t="s">
        <v>1496</v>
      </c>
      <c r="E49">
        <v>10</v>
      </c>
      <c r="F49">
        <f>MAX(-1,3-Tableau1[[#This Row],[Nb possédé (digital)]])</f>
        <v>-1</v>
      </c>
      <c r="G49">
        <v>10</v>
      </c>
      <c r="H49">
        <f>MAX(-1,3-Tableau1[[#This Row],[Possédé (physique)]])</f>
        <v>-1</v>
      </c>
      <c r="I49" t="str">
        <f>IF(Tableau1[[#This Row],[Manque (physique)]]&gt;Tableau1[[#This Row],[Manque (digital)]],"POD",IF(Tableau1[[#This Row],[Manque (digital)]]&gt;Tableau1[[#This Row],[Manque (physique)]],"MarketPlace",""))</f>
        <v/>
      </c>
      <c r="J49" t="s">
        <v>30</v>
      </c>
      <c r="K49" t="s">
        <v>1708</v>
      </c>
      <c r="L49" t="s">
        <v>19</v>
      </c>
      <c r="M49" t="s">
        <v>19</v>
      </c>
      <c r="N49" t="s">
        <v>19</v>
      </c>
      <c r="O49" t="s">
        <v>23</v>
      </c>
      <c r="P49" t="s">
        <v>89</v>
      </c>
      <c r="Q49" t="s">
        <v>1709</v>
      </c>
    </row>
    <row r="50" spans="1:17" hidden="1" x14ac:dyDescent="0.25">
      <c r="A50" t="s">
        <v>1557</v>
      </c>
      <c r="B50" t="s">
        <v>14</v>
      </c>
      <c r="C50" t="s">
        <v>28</v>
      </c>
      <c r="D50" t="s">
        <v>1496</v>
      </c>
      <c r="E50">
        <v>12</v>
      </c>
      <c r="F50">
        <f>MAX(-1,3-Tableau1[[#This Row],[Nb possédé (digital)]])</f>
        <v>-1</v>
      </c>
      <c r="G50">
        <v>12</v>
      </c>
      <c r="H50">
        <f>MAX(-1,3-Tableau1[[#This Row],[Possédé (physique)]])</f>
        <v>-1</v>
      </c>
      <c r="I50" t="str">
        <f>IF(Tableau1[[#This Row],[Manque (physique)]]&gt;Tableau1[[#This Row],[Manque (digital)]],"POD",IF(Tableau1[[#This Row],[Manque (digital)]]&gt;Tableau1[[#This Row],[Manque (physique)]],"MarketPlace",""))</f>
        <v/>
      </c>
      <c r="J50" t="s">
        <v>30</v>
      </c>
      <c r="K50" t="s">
        <v>42</v>
      </c>
      <c r="L50" t="s">
        <v>19</v>
      </c>
      <c r="M50" t="s">
        <v>19</v>
      </c>
      <c r="N50" t="s">
        <v>19</v>
      </c>
      <c r="O50" t="s">
        <v>19</v>
      </c>
      <c r="P50" t="s">
        <v>19</v>
      </c>
      <c r="Q50" t="s">
        <v>1730</v>
      </c>
    </row>
    <row r="51" spans="1:17" hidden="1" x14ac:dyDescent="0.25">
      <c r="A51" t="s">
        <v>1586</v>
      </c>
      <c r="B51" t="s">
        <v>14</v>
      </c>
      <c r="C51" t="s">
        <v>28</v>
      </c>
      <c r="D51" t="s">
        <v>1496</v>
      </c>
      <c r="E51">
        <v>14</v>
      </c>
      <c r="F51">
        <f>MAX(-1,3-Tableau1[[#This Row],[Nb possédé (digital)]])</f>
        <v>-1</v>
      </c>
      <c r="G51">
        <v>14</v>
      </c>
      <c r="H51">
        <f>MAX(-1,3-Tableau1[[#This Row],[Possédé (physique)]])</f>
        <v>-1</v>
      </c>
      <c r="I51" t="str">
        <f>IF(Tableau1[[#This Row],[Manque (physique)]]&gt;Tableau1[[#This Row],[Manque (digital)]],"POD",IF(Tableau1[[#This Row],[Manque (digital)]]&gt;Tableau1[[#This Row],[Manque (physique)]],"MarketPlace",""))</f>
        <v/>
      </c>
      <c r="J51" t="s">
        <v>30</v>
      </c>
      <c r="K51" t="s">
        <v>1796</v>
      </c>
      <c r="L51" t="s">
        <v>19</v>
      </c>
      <c r="M51" t="s">
        <v>19</v>
      </c>
      <c r="N51" t="s">
        <v>23</v>
      </c>
      <c r="O51" t="s">
        <v>19</v>
      </c>
      <c r="P51" t="s">
        <v>19</v>
      </c>
      <c r="Q51" t="s">
        <v>1797</v>
      </c>
    </row>
    <row r="52" spans="1:17" hidden="1" x14ac:dyDescent="0.25">
      <c r="A52" t="s">
        <v>1515</v>
      </c>
      <c r="B52" t="s">
        <v>14</v>
      </c>
      <c r="C52" t="s">
        <v>28</v>
      </c>
      <c r="D52" t="s">
        <v>1496</v>
      </c>
      <c r="E52">
        <v>9</v>
      </c>
      <c r="F52">
        <f>MAX(-1,3-Tableau1[[#This Row],[Nb possédé (digital)]])</f>
        <v>-1</v>
      </c>
      <c r="G52">
        <v>9</v>
      </c>
      <c r="H52">
        <f>MAX(-1,3-Tableau1[[#This Row],[Possédé (physique)]])</f>
        <v>-1</v>
      </c>
      <c r="I52" t="str">
        <f>IF(Tableau1[[#This Row],[Manque (physique)]]&gt;Tableau1[[#This Row],[Manque (digital)]],"POD",IF(Tableau1[[#This Row],[Manque (digital)]]&gt;Tableau1[[#This Row],[Manque (physique)]],"MarketPlace",""))</f>
        <v/>
      </c>
      <c r="J52" t="s">
        <v>30</v>
      </c>
      <c r="K52" t="s">
        <v>1639</v>
      </c>
      <c r="L52" t="s">
        <v>23</v>
      </c>
      <c r="M52" t="s">
        <v>19</v>
      </c>
      <c r="N52" t="s">
        <v>89</v>
      </c>
      <c r="O52" t="s">
        <v>19</v>
      </c>
      <c r="P52" t="s">
        <v>23</v>
      </c>
      <c r="Q52" t="s">
        <v>890</v>
      </c>
    </row>
    <row r="53" spans="1:17" hidden="1" x14ac:dyDescent="0.25">
      <c r="A53" t="s">
        <v>1538</v>
      </c>
      <c r="B53" t="s">
        <v>14</v>
      </c>
      <c r="C53" t="s">
        <v>28</v>
      </c>
      <c r="D53" t="s">
        <v>1496</v>
      </c>
      <c r="E53">
        <v>12</v>
      </c>
      <c r="F53">
        <f>MAX(-1,3-Tableau1[[#This Row],[Nb possédé (digital)]])</f>
        <v>-1</v>
      </c>
      <c r="G53">
        <v>12</v>
      </c>
      <c r="H53">
        <f>MAX(-1,3-Tableau1[[#This Row],[Possédé (physique)]])</f>
        <v>-1</v>
      </c>
      <c r="I53" t="str">
        <f>IF(Tableau1[[#This Row],[Manque (physique)]]&gt;Tableau1[[#This Row],[Manque (digital)]],"POD",IF(Tableau1[[#This Row],[Manque (digital)]]&gt;Tableau1[[#This Row],[Manque (physique)]],"MarketPlace",""))</f>
        <v/>
      </c>
      <c r="J53" t="s">
        <v>30</v>
      </c>
      <c r="K53" t="s">
        <v>292</v>
      </c>
      <c r="L53" t="s">
        <v>23</v>
      </c>
      <c r="M53" t="s">
        <v>23</v>
      </c>
      <c r="N53" t="s">
        <v>23</v>
      </c>
      <c r="O53" t="s">
        <v>23</v>
      </c>
      <c r="P53" t="s">
        <v>20</v>
      </c>
      <c r="Q53" t="s">
        <v>1687</v>
      </c>
    </row>
    <row r="54" spans="1:17" hidden="1" x14ac:dyDescent="0.25">
      <c r="A54" t="s">
        <v>1550</v>
      </c>
      <c r="B54" t="s">
        <v>14</v>
      </c>
      <c r="C54" t="s">
        <v>28</v>
      </c>
      <c r="D54" t="s">
        <v>1496</v>
      </c>
      <c r="E54">
        <v>8</v>
      </c>
      <c r="F54">
        <f>MAX(-1,3-Tableau1[[#This Row],[Nb possédé (digital)]])</f>
        <v>-1</v>
      </c>
      <c r="G54">
        <v>8</v>
      </c>
      <c r="H54">
        <f>MAX(-1,3-Tableau1[[#This Row],[Possédé (physique)]])</f>
        <v>-1</v>
      </c>
      <c r="I54" t="str">
        <f>IF(Tableau1[[#This Row],[Manque (physique)]]&gt;Tableau1[[#This Row],[Manque (digital)]],"POD",IF(Tableau1[[#This Row],[Manque (digital)]]&gt;Tableau1[[#This Row],[Manque (physique)]],"MarketPlace",""))</f>
        <v/>
      </c>
      <c r="J54" t="s">
        <v>30</v>
      </c>
      <c r="K54" t="s">
        <v>107</v>
      </c>
      <c r="L54" t="s">
        <v>23</v>
      </c>
      <c r="M54" t="s">
        <v>23</v>
      </c>
      <c r="N54" t="s">
        <v>19</v>
      </c>
      <c r="O54" t="s">
        <v>19</v>
      </c>
      <c r="P54" t="s">
        <v>23</v>
      </c>
      <c r="Q54" t="s">
        <v>1713</v>
      </c>
    </row>
    <row r="55" spans="1:17" hidden="1" x14ac:dyDescent="0.25">
      <c r="A55" t="s">
        <v>1572</v>
      </c>
      <c r="B55" t="s">
        <v>14</v>
      </c>
      <c r="C55" t="s">
        <v>28</v>
      </c>
      <c r="D55" t="s">
        <v>1496</v>
      </c>
      <c r="E55">
        <v>8</v>
      </c>
      <c r="F55">
        <f>MAX(-1,3-Tableau1[[#This Row],[Nb possédé (digital)]])</f>
        <v>-1</v>
      </c>
      <c r="G55">
        <v>8</v>
      </c>
      <c r="H55">
        <f>MAX(-1,3-Tableau1[[#This Row],[Possédé (physique)]])</f>
        <v>-1</v>
      </c>
      <c r="I55" t="str">
        <f>IF(Tableau1[[#This Row],[Manque (physique)]]&gt;Tableau1[[#This Row],[Manque (digital)]],"POD",IF(Tableau1[[#This Row],[Manque (digital)]]&gt;Tableau1[[#This Row],[Manque (physique)]],"MarketPlace",""))</f>
        <v/>
      </c>
      <c r="J55" t="s">
        <v>17</v>
      </c>
      <c r="K55" t="s">
        <v>1271</v>
      </c>
      <c r="L55" t="s">
        <v>52</v>
      </c>
      <c r="M55" t="s">
        <v>19</v>
      </c>
      <c r="Q55" t="s">
        <v>1761</v>
      </c>
    </row>
    <row r="56" spans="1:17" hidden="1" x14ac:dyDescent="0.25">
      <c r="A56" t="s">
        <v>1502</v>
      </c>
      <c r="B56" t="s">
        <v>14</v>
      </c>
      <c r="C56" t="s">
        <v>28</v>
      </c>
      <c r="D56" t="s">
        <v>1496</v>
      </c>
      <c r="E56">
        <v>10</v>
      </c>
      <c r="F56">
        <f>MAX(-1,3-Tableau1[[#This Row],[Nb possédé (digital)]])</f>
        <v>-1</v>
      </c>
      <c r="G56">
        <v>10</v>
      </c>
      <c r="H56">
        <f>MAX(-1,3-Tableau1[[#This Row],[Possédé (physique)]])</f>
        <v>-1</v>
      </c>
      <c r="I56" t="str">
        <f>IF(Tableau1[[#This Row],[Manque (physique)]]&gt;Tableau1[[#This Row],[Manque (digital)]],"POD",IF(Tableau1[[#This Row],[Manque (digital)]]&gt;Tableau1[[#This Row],[Manque (physique)]],"MarketPlace",""))</f>
        <v/>
      </c>
      <c r="J56" t="s">
        <v>30</v>
      </c>
      <c r="K56" t="s">
        <v>42</v>
      </c>
      <c r="L56" t="s">
        <v>52</v>
      </c>
      <c r="M56" t="s">
        <v>52</v>
      </c>
      <c r="N56" t="s">
        <v>23</v>
      </c>
      <c r="O56" t="s">
        <v>52</v>
      </c>
      <c r="P56" t="s">
        <v>52</v>
      </c>
      <c r="Q56" t="s">
        <v>1611</v>
      </c>
    </row>
    <row r="57" spans="1:17" hidden="1" x14ac:dyDescent="0.25">
      <c r="A57" t="s">
        <v>1523</v>
      </c>
      <c r="B57" t="s">
        <v>14</v>
      </c>
      <c r="C57" t="s">
        <v>28</v>
      </c>
      <c r="D57" t="s">
        <v>1496</v>
      </c>
      <c r="E57">
        <v>7</v>
      </c>
      <c r="F57">
        <f>MAX(-1,3-Tableau1[[#This Row],[Nb possédé (digital)]])</f>
        <v>-1</v>
      </c>
      <c r="G57">
        <v>7</v>
      </c>
      <c r="H57">
        <f>MAX(-1,3-Tableau1[[#This Row],[Possédé (physique)]])</f>
        <v>-1</v>
      </c>
      <c r="I57" t="str">
        <f>IF(Tableau1[[#This Row],[Manque (physique)]]&gt;Tableau1[[#This Row],[Manque (digital)]],"POD",IF(Tableau1[[#This Row],[Manque (digital)]]&gt;Tableau1[[#This Row],[Manque (physique)]],"MarketPlace",""))</f>
        <v/>
      </c>
      <c r="J57" t="s">
        <v>268</v>
      </c>
      <c r="K57" t="s">
        <v>269</v>
      </c>
      <c r="L57" t="s">
        <v>52</v>
      </c>
      <c r="M57" t="s">
        <v>52</v>
      </c>
      <c r="Q57" t="s">
        <v>1656</v>
      </c>
    </row>
    <row r="58" spans="1:17" hidden="1" x14ac:dyDescent="0.25">
      <c r="A58" t="s">
        <v>1541</v>
      </c>
      <c r="B58" t="s">
        <v>14</v>
      </c>
      <c r="C58" t="s">
        <v>28</v>
      </c>
      <c r="D58" t="s">
        <v>1496</v>
      </c>
      <c r="E58">
        <v>10</v>
      </c>
      <c r="F58">
        <f>MAX(-1,3-Tableau1[[#This Row],[Nb possédé (digital)]])</f>
        <v>-1</v>
      </c>
      <c r="G58">
        <v>10</v>
      </c>
      <c r="H58">
        <f>MAX(-1,3-Tableau1[[#This Row],[Possédé (physique)]])</f>
        <v>-1</v>
      </c>
      <c r="I58" t="str">
        <f>IF(Tableau1[[#This Row],[Manque (physique)]]&gt;Tableau1[[#This Row],[Manque (digital)]],"POD",IF(Tableau1[[#This Row],[Manque (digital)]]&gt;Tableau1[[#This Row],[Manque (physique)]],"MarketPlace",""))</f>
        <v/>
      </c>
      <c r="J58" t="s">
        <v>268</v>
      </c>
      <c r="K58" t="s">
        <v>269</v>
      </c>
      <c r="L58" t="s">
        <v>52</v>
      </c>
      <c r="M58" t="s">
        <v>52</v>
      </c>
      <c r="Q58" t="s">
        <v>1692</v>
      </c>
    </row>
    <row r="59" spans="1:17" hidden="1" x14ac:dyDescent="0.25">
      <c r="A59" t="s">
        <v>1585</v>
      </c>
      <c r="B59" t="s">
        <v>14</v>
      </c>
      <c r="C59" t="s">
        <v>28</v>
      </c>
      <c r="D59" t="s">
        <v>1496</v>
      </c>
      <c r="E59">
        <v>4</v>
      </c>
      <c r="F59">
        <f>MAX(-1,3-Tableau1[[#This Row],[Nb possédé (digital)]])</f>
        <v>-1</v>
      </c>
      <c r="G59">
        <v>4</v>
      </c>
      <c r="H59">
        <f>MAX(-1,3-Tableau1[[#This Row],[Possédé (physique)]])</f>
        <v>-1</v>
      </c>
      <c r="I59" t="str">
        <f>IF(Tableau1[[#This Row],[Manque (physique)]]&gt;Tableau1[[#This Row],[Manque (digital)]],"POD",IF(Tableau1[[#This Row],[Manque (digital)]]&gt;Tableau1[[#This Row],[Manque (physique)]],"MarketPlace",""))</f>
        <v/>
      </c>
      <c r="J59" t="s">
        <v>30</v>
      </c>
      <c r="K59" t="s">
        <v>1793</v>
      </c>
      <c r="L59" t="s">
        <v>37</v>
      </c>
      <c r="M59" t="s">
        <v>37</v>
      </c>
      <c r="N59" t="s">
        <v>37</v>
      </c>
      <c r="O59" t="s">
        <v>37</v>
      </c>
      <c r="P59" t="s">
        <v>37</v>
      </c>
      <c r="Q59" t="s">
        <v>1794</v>
      </c>
    </row>
    <row r="60" spans="1:17" hidden="1" x14ac:dyDescent="0.25">
      <c r="A60" t="s">
        <v>437</v>
      </c>
      <c r="B60" t="s">
        <v>14</v>
      </c>
      <c r="C60" t="s">
        <v>28</v>
      </c>
      <c r="D60" t="s">
        <v>29</v>
      </c>
      <c r="E60">
        <v>6</v>
      </c>
      <c r="F60">
        <f>MAX(-1,3-Tableau1[[#This Row],[Nb possédé (digital)]])</f>
        <v>-1</v>
      </c>
      <c r="G60">
        <v>6</v>
      </c>
      <c r="H60">
        <f>MAX(-1,3-Tableau1[[#This Row],[Possédé (physique)]])</f>
        <v>-1</v>
      </c>
      <c r="I60" t="str">
        <f>IF(Tableau1[[#This Row],[Manque (physique)]]&gt;Tableau1[[#This Row],[Manque (digital)]],"POD",IF(Tableau1[[#This Row],[Manque (digital)]]&gt;Tableau1[[#This Row],[Manque (physique)]],"MarketPlace",""))</f>
        <v/>
      </c>
      <c r="J60" t="s">
        <v>268</v>
      </c>
      <c r="K60" t="s">
        <v>438</v>
      </c>
      <c r="L60" t="s">
        <v>20</v>
      </c>
      <c r="M60" t="s">
        <v>20</v>
      </c>
      <c r="Q60" t="s">
        <v>439</v>
      </c>
    </row>
    <row r="61" spans="1:17" hidden="1" x14ac:dyDescent="0.25">
      <c r="A61" t="s">
        <v>945</v>
      </c>
      <c r="B61" t="s">
        <v>14</v>
      </c>
      <c r="C61" t="s">
        <v>28</v>
      </c>
      <c r="D61" t="s">
        <v>29</v>
      </c>
      <c r="E61">
        <v>6</v>
      </c>
      <c r="F61">
        <f>MAX(-1,3-Tableau1[[#This Row],[Nb possédé (digital)]])</f>
        <v>-1</v>
      </c>
      <c r="G61">
        <v>6</v>
      </c>
      <c r="H61">
        <f>MAX(-1,3-Tableau1[[#This Row],[Possédé (physique)]])</f>
        <v>-1</v>
      </c>
      <c r="I61" t="str">
        <f>IF(Tableau1[[#This Row],[Manque (physique)]]&gt;Tableau1[[#This Row],[Manque (digital)]],"POD",IF(Tableau1[[#This Row],[Manque (digital)]]&gt;Tableau1[[#This Row],[Manque (physique)]],"MarketPlace",""))</f>
        <v/>
      </c>
      <c r="J61" t="s">
        <v>30</v>
      </c>
      <c r="K61" t="s">
        <v>79</v>
      </c>
      <c r="L61" t="s">
        <v>20</v>
      </c>
      <c r="M61" t="s">
        <v>20</v>
      </c>
      <c r="N61" t="s">
        <v>89</v>
      </c>
      <c r="O61" t="s">
        <v>20</v>
      </c>
      <c r="P61" t="s">
        <v>20</v>
      </c>
      <c r="Q61" t="s">
        <v>946</v>
      </c>
    </row>
    <row r="62" spans="1:17" hidden="1" x14ac:dyDescent="0.25">
      <c r="A62" t="s">
        <v>200</v>
      </c>
      <c r="B62" t="s">
        <v>14</v>
      </c>
      <c r="C62" t="s">
        <v>28</v>
      </c>
      <c r="D62" t="s">
        <v>29</v>
      </c>
      <c r="E62">
        <v>8</v>
      </c>
      <c r="F62">
        <f>MAX(-1,3-Tableau1[[#This Row],[Nb possédé (digital)]])</f>
        <v>-1</v>
      </c>
      <c r="G62">
        <v>8</v>
      </c>
      <c r="H62">
        <f>MAX(-1,3-Tableau1[[#This Row],[Possédé (physique)]])</f>
        <v>-1</v>
      </c>
      <c r="I62" t="str">
        <f>IF(Tableau1[[#This Row],[Manque (physique)]]&gt;Tableau1[[#This Row],[Manque (digital)]],"POD",IF(Tableau1[[#This Row],[Manque (digital)]]&gt;Tableau1[[#This Row],[Manque (physique)]],"MarketPlace",""))</f>
        <v/>
      </c>
      <c r="J62" t="s">
        <v>17</v>
      </c>
      <c r="K62" t="s">
        <v>201</v>
      </c>
      <c r="L62" t="s">
        <v>20</v>
      </c>
      <c r="M62" t="s">
        <v>19</v>
      </c>
      <c r="Q62" t="s">
        <v>202</v>
      </c>
    </row>
    <row r="63" spans="1:17" hidden="1" x14ac:dyDescent="0.25">
      <c r="A63" t="s">
        <v>349</v>
      </c>
      <c r="B63" t="s">
        <v>14</v>
      </c>
      <c r="C63" t="s">
        <v>28</v>
      </c>
      <c r="D63" t="s">
        <v>29</v>
      </c>
      <c r="E63">
        <v>7</v>
      </c>
      <c r="F63">
        <f>MAX(-1,3-Tableau1[[#This Row],[Nb possédé (digital)]])</f>
        <v>-1</v>
      </c>
      <c r="G63">
        <v>7</v>
      </c>
      <c r="H63">
        <f>MAX(-1,3-Tableau1[[#This Row],[Possédé (physique)]])</f>
        <v>-1</v>
      </c>
      <c r="I63" t="str">
        <f>IF(Tableau1[[#This Row],[Manque (physique)]]&gt;Tableau1[[#This Row],[Manque (digital)]],"POD",IF(Tableau1[[#This Row],[Manque (digital)]]&gt;Tableau1[[#This Row],[Manque (physique)]],"MarketPlace",""))</f>
        <v/>
      </c>
      <c r="J63" t="s">
        <v>30</v>
      </c>
      <c r="K63" t="s">
        <v>350</v>
      </c>
      <c r="L63" t="s">
        <v>20</v>
      </c>
      <c r="M63" t="s">
        <v>23</v>
      </c>
      <c r="N63" t="s">
        <v>20</v>
      </c>
      <c r="O63" t="s">
        <v>20</v>
      </c>
      <c r="P63" t="s">
        <v>20</v>
      </c>
    </row>
    <row r="64" spans="1:17" hidden="1" x14ac:dyDescent="0.25">
      <c r="A64" t="s">
        <v>221</v>
      </c>
      <c r="B64" t="s">
        <v>14</v>
      </c>
      <c r="C64" t="s">
        <v>28</v>
      </c>
      <c r="D64" t="s">
        <v>29</v>
      </c>
      <c r="E64">
        <v>6</v>
      </c>
      <c r="F64">
        <f>MAX(-1,3-Tableau1[[#This Row],[Nb possédé (digital)]])</f>
        <v>-1</v>
      </c>
      <c r="G64">
        <v>6</v>
      </c>
      <c r="H64">
        <f>MAX(-1,3-Tableau1[[#This Row],[Possédé (physique)]])</f>
        <v>-1</v>
      </c>
      <c r="I64" t="str">
        <f>IF(Tableau1[[#This Row],[Manque (physique)]]&gt;Tableau1[[#This Row],[Manque (digital)]],"POD",IF(Tableau1[[#This Row],[Manque (digital)]]&gt;Tableau1[[#This Row],[Manque (physique)]],"MarketPlace",""))</f>
        <v/>
      </c>
      <c r="J64" t="s">
        <v>116</v>
      </c>
      <c r="K64" t="s">
        <v>117</v>
      </c>
      <c r="L64" t="s">
        <v>19</v>
      </c>
      <c r="M64" t="s">
        <v>19</v>
      </c>
      <c r="Q64" t="s">
        <v>222</v>
      </c>
    </row>
    <row r="65" spans="1:17" hidden="1" x14ac:dyDescent="0.25">
      <c r="A65" t="s">
        <v>653</v>
      </c>
      <c r="B65" t="s">
        <v>14</v>
      </c>
      <c r="C65" t="s">
        <v>28</v>
      </c>
      <c r="D65" t="s">
        <v>29</v>
      </c>
      <c r="E65">
        <v>6</v>
      </c>
      <c r="F65">
        <f>MAX(-1,3-Tableau1[[#This Row],[Nb possédé (digital)]])</f>
        <v>-1</v>
      </c>
      <c r="G65">
        <v>6</v>
      </c>
      <c r="H65">
        <f>MAX(-1,3-Tableau1[[#This Row],[Possédé (physique)]])</f>
        <v>-1</v>
      </c>
      <c r="I65" t="str">
        <f>IF(Tableau1[[#This Row],[Manque (physique)]]&gt;Tableau1[[#This Row],[Manque (digital)]],"POD",IF(Tableau1[[#This Row],[Manque (digital)]]&gt;Tableau1[[#This Row],[Manque (physique)]],"MarketPlace",""))</f>
        <v/>
      </c>
      <c r="J65" t="s">
        <v>268</v>
      </c>
      <c r="K65" t="s">
        <v>438</v>
      </c>
      <c r="L65" t="s">
        <v>19</v>
      </c>
      <c r="M65" t="s">
        <v>19</v>
      </c>
      <c r="Q65" t="s">
        <v>654</v>
      </c>
    </row>
    <row r="66" spans="1:17" hidden="1" x14ac:dyDescent="0.25">
      <c r="A66" t="s">
        <v>746</v>
      </c>
      <c r="B66" t="s">
        <v>14</v>
      </c>
      <c r="C66" t="s">
        <v>28</v>
      </c>
      <c r="D66" t="s">
        <v>29</v>
      </c>
      <c r="E66">
        <v>6</v>
      </c>
      <c r="F66">
        <f>MAX(-1,3-Tableau1[[#This Row],[Nb possédé (digital)]])</f>
        <v>-1</v>
      </c>
      <c r="G66">
        <v>6</v>
      </c>
      <c r="H66">
        <f>MAX(-1,3-Tableau1[[#This Row],[Possédé (physique)]])</f>
        <v>-1</v>
      </c>
      <c r="I66" t="str">
        <f>IF(Tableau1[[#This Row],[Manque (physique)]]&gt;Tableau1[[#This Row],[Manque (digital)]],"POD",IF(Tableau1[[#This Row],[Manque (digital)]]&gt;Tableau1[[#This Row],[Manque (physique)]],"MarketPlace",""))</f>
        <v/>
      </c>
      <c r="J66" t="s">
        <v>30</v>
      </c>
      <c r="K66" t="s">
        <v>42</v>
      </c>
      <c r="L66" t="s">
        <v>19</v>
      </c>
      <c r="M66" t="s">
        <v>19</v>
      </c>
      <c r="N66" t="s">
        <v>20</v>
      </c>
      <c r="O66" t="s">
        <v>19</v>
      </c>
      <c r="P66" t="s">
        <v>19</v>
      </c>
      <c r="Q66" t="s">
        <v>747</v>
      </c>
    </row>
    <row r="67" spans="1:17" hidden="1" x14ac:dyDescent="0.25">
      <c r="A67" t="s">
        <v>353</v>
      </c>
      <c r="B67" t="s">
        <v>14</v>
      </c>
      <c r="C67" t="s">
        <v>28</v>
      </c>
      <c r="D67" t="s">
        <v>29</v>
      </c>
      <c r="E67">
        <v>7</v>
      </c>
      <c r="F67">
        <f>MAX(-1,3-Tableau1[[#This Row],[Nb possédé (digital)]])</f>
        <v>-1</v>
      </c>
      <c r="G67">
        <v>7</v>
      </c>
      <c r="H67">
        <f>MAX(-1,3-Tableau1[[#This Row],[Possédé (physique)]])</f>
        <v>-1</v>
      </c>
      <c r="I67" t="str">
        <f>IF(Tableau1[[#This Row],[Manque (physique)]]&gt;Tableau1[[#This Row],[Manque (digital)]],"POD",IF(Tableau1[[#This Row],[Manque (digital)]]&gt;Tableau1[[#This Row],[Manque (physique)]],"MarketPlace",""))</f>
        <v/>
      </c>
      <c r="J67" t="s">
        <v>30</v>
      </c>
      <c r="K67" t="s">
        <v>292</v>
      </c>
      <c r="L67" t="s">
        <v>19</v>
      </c>
      <c r="M67" t="s">
        <v>23</v>
      </c>
      <c r="N67" t="s">
        <v>20</v>
      </c>
      <c r="O67" t="s">
        <v>19</v>
      </c>
      <c r="P67" t="s">
        <v>19</v>
      </c>
      <c r="Q67" t="s">
        <v>354</v>
      </c>
    </row>
    <row r="68" spans="1:17" hidden="1" x14ac:dyDescent="0.25">
      <c r="A68" t="s">
        <v>1047</v>
      </c>
      <c r="B68" t="s">
        <v>14</v>
      </c>
      <c r="C68" t="s">
        <v>28</v>
      </c>
      <c r="D68" t="s">
        <v>29</v>
      </c>
      <c r="E68">
        <v>6</v>
      </c>
      <c r="F68">
        <f>MAX(-1,3-Tableau1[[#This Row],[Nb possédé (digital)]])</f>
        <v>-1</v>
      </c>
      <c r="G68">
        <v>6</v>
      </c>
      <c r="H68">
        <f>MAX(-1,3-Tableau1[[#This Row],[Possédé (physique)]])</f>
        <v>-1</v>
      </c>
      <c r="I68" t="str">
        <f>IF(Tableau1[[#This Row],[Manque (physique)]]&gt;Tableau1[[#This Row],[Manque (digital)]],"POD",IF(Tableau1[[#This Row],[Manque (digital)]]&gt;Tableau1[[#This Row],[Manque (physique)]],"MarketPlace",""))</f>
        <v/>
      </c>
      <c r="J68" t="s">
        <v>30</v>
      </c>
      <c r="K68" t="s">
        <v>292</v>
      </c>
      <c r="L68" t="s">
        <v>19</v>
      </c>
      <c r="M68" t="s">
        <v>23</v>
      </c>
      <c r="N68" t="s">
        <v>19</v>
      </c>
      <c r="O68" t="s">
        <v>19</v>
      </c>
      <c r="P68" t="s">
        <v>89</v>
      </c>
      <c r="Q68" t="s">
        <v>1048</v>
      </c>
    </row>
    <row r="69" spans="1:17" hidden="1" x14ac:dyDescent="0.25">
      <c r="A69" t="s">
        <v>498</v>
      </c>
      <c r="B69" t="s">
        <v>14</v>
      </c>
      <c r="C69" t="s">
        <v>28</v>
      </c>
      <c r="D69" t="s">
        <v>29</v>
      </c>
      <c r="E69">
        <v>6</v>
      </c>
      <c r="F69">
        <f>MAX(-1,3-Tableau1[[#This Row],[Nb possédé (digital)]])</f>
        <v>-1</v>
      </c>
      <c r="G69">
        <v>6</v>
      </c>
      <c r="H69">
        <f>MAX(-1,3-Tableau1[[#This Row],[Possédé (physique)]])</f>
        <v>-1</v>
      </c>
      <c r="I69" t="str">
        <f>IF(Tableau1[[#This Row],[Manque (physique)]]&gt;Tableau1[[#This Row],[Manque (digital)]],"POD",IF(Tableau1[[#This Row],[Manque (digital)]]&gt;Tableau1[[#This Row],[Manque (physique)]],"MarketPlace",""))</f>
        <v/>
      </c>
      <c r="J69" t="s">
        <v>30</v>
      </c>
      <c r="K69" t="s">
        <v>42</v>
      </c>
      <c r="L69" t="s">
        <v>23</v>
      </c>
      <c r="M69" t="s">
        <v>19</v>
      </c>
      <c r="N69" t="s">
        <v>19</v>
      </c>
      <c r="O69" t="s">
        <v>23</v>
      </c>
      <c r="P69" t="s">
        <v>19</v>
      </c>
      <c r="Q69" t="s">
        <v>499</v>
      </c>
    </row>
    <row r="70" spans="1:17" hidden="1" x14ac:dyDescent="0.25">
      <c r="A70" t="s">
        <v>27</v>
      </c>
      <c r="B70" t="s">
        <v>14</v>
      </c>
      <c r="C70" t="s">
        <v>28</v>
      </c>
      <c r="D70" t="s">
        <v>29</v>
      </c>
      <c r="E70">
        <v>6</v>
      </c>
      <c r="F70">
        <f>MAX(-1,3-Tableau1[[#This Row],[Nb possédé (digital)]])</f>
        <v>-1</v>
      </c>
      <c r="G70">
        <v>6</v>
      </c>
      <c r="H70">
        <f>MAX(-1,3-Tableau1[[#This Row],[Possédé (physique)]])</f>
        <v>-1</v>
      </c>
      <c r="I70" t="str">
        <f>IF(Tableau1[[#This Row],[Manque (physique)]]&gt;Tableau1[[#This Row],[Manque (digital)]],"POD",IF(Tableau1[[#This Row],[Manque (digital)]]&gt;Tableau1[[#This Row],[Manque (physique)]],"MarketPlace",""))</f>
        <v/>
      </c>
      <c r="J70" t="s">
        <v>30</v>
      </c>
      <c r="K70" t="s">
        <v>31</v>
      </c>
      <c r="L70" t="s">
        <v>23</v>
      </c>
      <c r="M70" t="s">
        <v>23</v>
      </c>
      <c r="N70" t="s">
        <v>23</v>
      </c>
      <c r="O70" t="s">
        <v>19</v>
      </c>
      <c r="P70" t="s">
        <v>23</v>
      </c>
      <c r="Q70" t="s">
        <v>32</v>
      </c>
    </row>
    <row r="71" spans="1:17" hidden="1" x14ac:dyDescent="0.25">
      <c r="A71" t="s">
        <v>1096</v>
      </c>
      <c r="B71" t="s">
        <v>14</v>
      </c>
      <c r="C71" t="s">
        <v>28</v>
      </c>
      <c r="D71" t="s">
        <v>29</v>
      </c>
      <c r="E71">
        <v>6</v>
      </c>
      <c r="F71">
        <f>MAX(-1,3-Tableau1[[#This Row],[Nb possédé (digital)]])</f>
        <v>-1</v>
      </c>
      <c r="G71">
        <v>6</v>
      </c>
      <c r="H71">
        <f>MAX(-1,3-Tableau1[[#This Row],[Possédé (physique)]])</f>
        <v>-1</v>
      </c>
      <c r="I71" t="str">
        <f>IF(Tableau1[[#This Row],[Manque (physique)]]&gt;Tableau1[[#This Row],[Manque (digital)]],"POD",IF(Tableau1[[#This Row],[Manque (digital)]]&gt;Tableau1[[#This Row],[Manque (physique)]],"MarketPlace",""))</f>
        <v/>
      </c>
      <c r="J71" t="s">
        <v>268</v>
      </c>
      <c r="K71" t="s">
        <v>438</v>
      </c>
      <c r="L71" t="s">
        <v>23</v>
      </c>
      <c r="M71" t="s">
        <v>23</v>
      </c>
      <c r="Q71" t="s">
        <v>1097</v>
      </c>
    </row>
    <row r="72" spans="1:17" hidden="1" x14ac:dyDescent="0.25">
      <c r="A72" t="s">
        <v>559</v>
      </c>
      <c r="B72" t="s">
        <v>14</v>
      </c>
      <c r="C72" t="s">
        <v>28</v>
      </c>
      <c r="D72" t="s">
        <v>29</v>
      </c>
      <c r="E72">
        <v>6</v>
      </c>
      <c r="F72">
        <f>MAX(-1,3-Tableau1[[#This Row],[Nb possédé (digital)]])</f>
        <v>-1</v>
      </c>
      <c r="G72">
        <v>6</v>
      </c>
      <c r="H72">
        <f>MAX(-1,3-Tableau1[[#This Row],[Possédé (physique)]])</f>
        <v>-1</v>
      </c>
      <c r="I72" t="str">
        <f>IF(Tableau1[[#This Row],[Manque (physique)]]&gt;Tableau1[[#This Row],[Manque (digital)]],"POD",IF(Tableau1[[#This Row],[Manque (digital)]]&gt;Tableau1[[#This Row],[Manque (physique)]],"MarketPlace",""))</f>
        <v/>
      </c>
      <c r="J72" t="s">
        <v>30</v>
      </c>
      <c r="K72" t="s">
        <v>83</v>
      </c>
      <c r="L72" t="s">
        <v>52</v>
      </c>
      <c r="M72" t="s">
        <v>23</v>
      </c>
      <c r="N72" t="s">
        <v>52</v>
      </c>
      <c r="O72" t="s">
        <v>52</v>
      </c>
      <c r="P72" t="s">
        <v>19</v>
      </c>
      <c r="Q72" t="s">
        <v>560</v>
      </c>
    </row>
    <row r="73" spans="1:17" hidden="1" x14ac:dyDescent="0.25">
      <c r="A73" t="s">
        <v>369</v>
      </c>
      <c r="B73" t="s">
        <v>14</v>
      </c>
      <c r="C73" t="s">
        <v>28</v>
      </c>
      <c r="D73" t="s">
        <v>29</v>
      </c>
      <c r="E73">
        <v>6</v>
      </c>
      <c r="F73">
        <f>MAX(-1,3-Tableau1[[#This Row],[Nb possédé (digital)]])</f>
        <v>-1</v>
      </c>
      <c r="G73">
        <v>6</v>
      </c>
      <c r="H73">
        <f>MAX(-1,3-Tableau1[[#This Row],[Possédé (physique)]])</f>
        <v>-1</v>
      </c>
      <c r="I73" t="str">
        <f>IF(Tableau1[[#This Row],[Manque (physique)]]&gt;Tableau1[[#This Row],[Manque (digital)]],"POD",IF(Tableau1[[#This Row],[Manque (digital)]]&gt;Tableau1[[#This Row],[Manque (physique)]],"MarketPlace",""))</f>
        <v/>
      </c>
      <c r="J73" t="s">
        <v>17</v>
      </c>
      <c r="K73" t="s">
        <v>153</v>
      </c>
      <c r="L73" t="s">
        <v>52</v>
      </c>
      <c r="M73" t="s">
        <v>52</v>
      </c>
      <c r="Q73" t="s">
        <v>370</v>
      </c>
    </row>
    <row r="74" spans="1:17" hidden="1" x14ac:dyDescent="0.25">
      <c r="A74" t="s">
        <v>908</v>
      </c>
      <c r="B74" t="s">
        <v>14</v>
      </c>
      <c r="C74" t="s">
        <v>28</v>
      </c>
      <c r="D74" t="s">
        <v>29</v>
      </c>
      <c r="E74">
        <v>8</v>
      </c>
      <c r="F74">
        <f>MAX(-1,3-Tableau1[[#This Row],[Nb possédé (digital)]])</f>
        <v>-1</v>
      </c>
      <c r="G74">
        <v>8</v>
      </c>
      <c r="H74">
        <f>MAX(-1,3-Tableau1[[#This Row],[Possédé (physique)]])</f>
        <v>-1</v>
      </c>
      <c r="I74" t="str">
        <f>IF(Tableau1[[#This Row],[Manque (physique)]]&gt;Tableau1[[#This Row],[Manque (digital)]],"POD",IF(Tableau1[[#This Row],[Manque (digital)]]&gt;Tableau1[[#This Row],[Manque (physique)]],"MarketPlace",""))</f>
        <v/>
      </c>
      <c r="J74" t="s">
        <v>30</v>
      </c>
      <c r="K74" t="s">
        <v>292</v>
      </c>
      <c r="L74" t="s">
        <v>37</v>
      </c>
      <c r="M74" t="s">
        <v>39</v>
      </c>
      <c r="N74" t="s">
        <v>37</v>
      </c>
      <c r="O74" t="s">
        <v>37</v>
      </c>
      <c r="P74" t="s">
        <v>37</v>
      </c>
      <c r="Q74" t="s">
        <v>909</v>
      </c>
    </row>
    <row r="75" spans="1:17" hidden="1" x14ac:dyDescent="0.25">
      <c r="A75" t="s">
        <v>1252</v>
      </c>
      <c r="B75" t="s">
        <v>14</v>
      </c>
      <c r="C75" t="s">
        <v>28</v>
      </c>
      <c r="D75" t="s">
        <v>1156</v>
      </c>
      <c r="E75">
        <v>10</v>
      </c>
      <c r="F75">
        <f>MAX(-1,3-Tableau1[[#This Row],[Nb possédé (digital)]])</f>
        <v>-1</v>
      </c>
      <c r="G75">
        <v>10</v>
      </c>
      <c r="H75">
        <f>MAX(-1,3-Tableau1[[#This Row],[Possédé (physique)]])</f>
        <v>-1</v>
      </c>
      <c r="I75" t="str">
        <f>IF(Tableau1[[#This Row],[Manque (physique)]]&gt;Tableau1[[#This Row],[Manque (digital)]],"POD",IF(Tableau1[[#This Row],[Manque (digital)]]&gt;Tableau1[[#This Row],[Manque (physique)]],"MarketPlace",""))</f>
        <v/>
      </c>
      <c r="J75" t="s">
        <v>268</v>
      </c>
      <c r="K75" t="s">
        <v>438</v>
      </c>
      <c r="L75" t="s">
        <v>20</v>
      </c>
      <c r="M75" t="s">
        <v>20</v>
      </c>
      <c r="Q75" t="s">
        <v>1469</v>
      </c>
    </row>
    <row r="76" spans="1:17" hidden="1" x14ac:dyDescent="0.25">
      <c r="A76" t="s">
        <v>1189</v>
      </c>
      <c r="B76" t="s">
        <v>14</v>
      </c>
      <c r="C76" t="s">
        <v>28</v>
      </c>
      <c r="D76" t="s">
        <v>1156</v>
      </c>
      <c r="E76">
        <v>7</v>
      </c>
      <c r="F76">
        <f>MAX(-1,3-Tableau1[[#This Row],[Nb possédé (digital)]])</f>
        <v>-1</v>
      </c>
      <c r="G76">
        <v>7</v>
      </c>
      <c r="H76">
        <f>MAX(-1,3-Tableau1[[#This Row],[Possédé (physique)]])</f>
        <v>-1</v>
      </c>
      <c r="I76" t="str">
        <f>IF(Tableau1[[#This Row],[Manque (physique)]]&gt;Tableau1[[#This Row],[Manque (digital)]],"POD",IF(Tableau1[[#This Row],[Manque (digital)]]&gt;Tableau1[[#This Row],[Manque (physique)]],"MarketPlace",""))</f>
        <v/>
      </c>
      <c r="J76" t="s">
        <v>30</v>
      </c>
      <c r="K76" t="s">
        <v>68</v>
      </c>
      <c r="L76" t="s">
        <v>20</v>
      </c>
      <c r="M76" t="s">
        <v>19</v>
      </c>
      <c r="N76" t="s">
        <v>89</v>
      </c>
      <c r="O76" t="s">
        <v>20</v>
      </c>
      <c r="P76" t="s">
        <v>20</v>
      </c>
      <c r="Q76" t="s">
        <v>1336</v>
      </c>
    </row>
    <row r="77" spans="1:17" hidden="1" x14ac:dyDescent="0.25">
      <c r="A77" t="s">
        <v>1162</v>
      </c>
      <c r="B77" t="s">
        <v>14</v>
      </c>
      <c r="C77" t="s">
        <v>28</v>
      </c>
      <c r="D77" t="s">
        <v>1156</v>
      </c>
      <c r="E77">
        <v>5</v>
      </c>
      <c r="F77">
        <f>MAX(-1,3-Tableau1[[#This Row],[Nb possédé (digital)]])</f>
        <v>-1</v>
      </c>
      <c r="G77">
        <v>5</v>
      </c>
      <c r="H77">
        <f>MAX(-1,3-Tableau1[[#This Row],[Possédé (physique)]])</f>
        <v>-1</v>
      </c>
      <c r="I77" t="str">
        <f>IF(Tableau1[[#This Row],[Manque (physique)]]&gt;Tableau1[[#This Row],[Manque (digital)]],"POD",IF(Tableau1[[#This Row],[Manque (digital)]]&gt;Tableau1[[#This Row],[Manque (physique)]],"MarketPlace",""))</f>
        <v/>
      </c>
      <c r="J77" t="s">
        <v>30</v>
      </c>
      <c r="K77" t="s">
        <v>83</v>
      </c>
      <c r="L77" t="s">
        <v>19</v>
      </c>
      <c r="M77" t="s">
        <v>19</v>
      </c>
      <c r="N77" t="s">
        <v>19</v>
      </c>
      <c r="O77" t="s">
        <v>19</v>
      </c>
      <c r="P77" t="s">
        <v>19</v>
      </c>
      <c r="Q77" t="s">
        <v>1278</v>
      </c>
    </row>
    <row r="78" spans="1:17" hidden="1" x14ac:dyDescent="0.25">
      <c r="A78" t="s">
        <v>1166</v>
      </c>
      <c r="B78" t="s">
        <v>14</v>
      </c>
      <c r="C78" t="s">
        <v>28</v>
      </c>
      <c r="D78" t="s">
        <v>1156</v>
      </c>
      <c r="E78">
        <v>8</v>
      </c>
      <c r="F78">
        <f>MAX(-1,3-Tableau1[[#This Row],[Nb possédé (digital)]])</f>
        <v>-1</v>
      </c>
      <c r="G78">
        <v>8</v>
      </c>
      <c r="H78">
        <f>MAX(-1,3-Tableau1[[#This Row],[Possédé (physique)]])</f>
        <v>-1</v>
      </c>
      <c r="I78" t="str">
        <f>IF(Tableau1[[#This Row],[Manque (physique)]]&gt;Tableau1[[#This Row],[Manque (digital)]],"POD",IF(Tableau1[[#This Row],[Manque (digital)]]&gt;Tableau1[[#This Row],[Manque (physique)]],"MarketPlace",""))</f>
        <v/>
      </c>
      <c r="J78" t="s">
        <v>268</v>
      </c>
      <c r="K78" t="s">
        <v>269</v>
      </c>
      <c r="L78" t="s">
        <v>19</v>
      </c>
      <c r="M78" t="s">
        <v>19</v>
      </c>
      <c r="Q78" t="s">
        <v>1286</v>
      </c>
    </row>
    <row r="79" spans="1:17" hidden="1" x14ac:dyDescent="0.25">
      <c r="A79" t="s">
        <v>1185</v>
      </c>
      <c r="B79" t="s">
        <v>14</v>
      </c>
      <c r="C79" t="s">
        <v>28</v>
      </c>
      <c r="D79" t="s">
        <v>1156</v>
      </c>
      <c r="E79">
        <v>5</v>
      </c>
      <c r="F79">
        <f>MAX(-1,3-Tableau1[[#This Row],[Nb possédé (digital)]])</f>
        <v>-1</v>
      </c>
      <c r="G79">
        <v>5</v>
      </c>
      <c r="H79">
        <f>MAX(-1,3-Tableau1[[#This Row],[Possédé (physique)]])</f>
        <v>-1</v>
      </c>
      <c r="I79" t="str">
        <f>IF(Tableau1[[#This Row],[Manque (physique)]]&gt;Tableau1[[#This Row],[Manque (digital)]],"POD",IF(Tableau1[[#This Row],[Manque (digital)]]&gt;Tableau1[[#This Row],[Manque (physique)]],"MarketPlace",""))</f>
        <v/>
      </c>
      <c r="J79" t="s">
        <v>30</v>
      </c>
      <c r="K79" t="s">
        <v>42</v>
      </c>
      <c r="L79" t="s">
        <v>19</v>
      </c>
      <c r="M79" t="s">
        <v>19</v>
      </c>
      <c r="N79" t="s">
        <v>19</v>
      </c>
      <c r="O79" t="s">
        <v>19</v>
      </c>
      <c r="P79" t="s">
        <v>89</v>
      </c>
      <c r="Q79" t="s">
        <v>1327</v>
      </c>
    </row>
    <row r="80" spans="1:17" hidden="1" x14ac:dyDescent="0.25">
      <c r="A80" t="s">
        <v>1230</v>
      </c>
      <c r="B80" t="s">
        <v>14</v>
      </c>
      <c r="C80" t="s">
        <v>28</v>
      </c>
      <c r="D80" t="s">
        <v>1156</v>
      </c>
      <c r="E80">
        <v>6</v>
      </c>
      <c r="F80">
        <f>MAX(-1,3-Tableau1[[#This Row],[Nb possédé (digital)]])</f>
        <v>-1</v>
      </c>
      <c r="G80">
        <v>6</v>
      </c>
      <c r="H80">
        <f>MAX(-1,3-Tableau1[[#This Row],[Possédé (physique)]])</f>
        <v>-1</v>
      </c>
      <c r="I80" t="str">
        <f>IF(Tableau1[[#This Row],[Manque (physique)]]&gt;Tableau1[[#This Row],[Manque (digital)]],"POD",IF(Tableau1[[#This Row],[Manque (digital)]]&gt;Tableau1[[#This Row],[Manque (physique)]],"MarketPlace",""))</f>
        <v/>
      </c>
      <c r="J80" t="s">
        <v>30</v>
      </c>
      <c r="K80" t="s">
        <v>83</v>
      </c>
      <c r="L80" t="s">
        <v>19</v>
      </c>
      <c r="M80" t="s">
        <v>19</v>
      </c>
      <c r="N80" t="s">
        <v>19</v>
      </c>
      <c r="O80" t="s">
        <v>19</v>
      </c>
      <c r="P80" t="s">
        <v>19</v>
      </c>
      <c r="Q80" t="s">
        <v>1423</v>
      </c>
    </row>
    <row r="81" spans="1:17" hidden="1" x14ac:dyDescent="0.25">
      <c r="A81" t="s">
        <v>1241</v>
      </c>
      <c r="B81" t="s">
        <v>14</v>
      </c>
      <c r="C81" t="s">
        <v>28</v>
      </c>
      <c r="D81" t="s">
        <v>1156</v>
      </c>
      <c r="E81">
        <v>6</v>
      </c>
      <c r="F81">
        <f>MAX(-1,3-Tableau1[[#This Row],[Nb possédé (digital)]])</f>
        <v>-1</v>
      </c>
      <c r="G81">
        <v>6</v>
      </c>
      <c r="H81">
        <f>MAX(-1,3-Tableau1[[#This Row],[Possédé (physique)]])</f>
        <v>-1</v>
      </c>
      <c r="I81" t="str">
        <f>IF(Tableau1[[#This Row],[Manque (physique)]]&gt;Tableau1[[#This Row],[Manque (digital)]],"POD",IF(Tableau1[[#This Row],[Manque (digital)]]&gt;Tableau1[[#This Row],[Manque (physique)]],"MarketPlace",""))</f>
        <v/>
      </c>
      <c r="J81" t="s">
        <v>268</v>
      </c>
      <c r="K81" t="s">
        <v>269</v>
      </c>
      <c r="L81" t="s">
        <v>19</v>
      </c>
      <c r="M81" t="s">
        <v>19</v>
      </c>
      <c r="Q81" t="s">
        <v>1448</v>
      </c>
    </row>
    <row r="82" spans="1:17" hidden="1" x14ac:dyDescent="0.25">
      <c r="A82" t="s">
        <v>1243</v>
      </c>
      <c r="B82" t="s">
        <v>14</v>
      </c>
      <c r="C82" t="s">
        <v>28</v>
      </c>
      <c r="D82" t="s">
        <v>1156</v>
      </c>
      <c r="E82">
        <v>5</v>
      </c>
      <c r="F82">
        <f>MAX(-1,3-Tableau1[[#This Row],[Nb possédé (digital)]])</f>
        <v>-1</v>
      </c>
      <c r="G82">
        <v>5</v>
      </c>
      <c r="H82">
        <f>MAX(-1,3-Tableau1[[#This Row],[Possédé (physique)]])</f>
        <v>-1</v>
      </c>
      <c r="I82" t="str">
        <f>IF(Tableau1[[#This Row],[Manque (physique)]]&gt;Tableau1[[#This Row],[Manque (digital)]],"POD",IF(Tableau1[[#This Row],[Manque (digital)]]&gt;Tableau1[[#This Row],[Manque (physique)]],"MarketPlace",""))</f>
        <v/>
      </c>
      <c r="J82" t="s">
        <v>17</v>
      </c>
      <c r="K82" t="s">
        <v>97</v>
      </c>
      <c r="L82" t="s">
        <v>19</v>
      </c>
      <c r="M82" t="s">
        <v>52</v>
      </c>
      <c r="Q82" t="s">
        <v>1453</v>
      </c>
    </row>
    <row r="83" spans="1:17" hidden="1" x14ac:dyDescent="0.25">
      <c r="A83" t="s">
        <v>1215</v>
      </c>
      <c r="B83" t="s">
        <v>14</v>
      </c>
      <c r="C83" t="s">
        <v>28</v>
      </c>
      <c r="D83" t="s">
        <v>1156</v>
      </c>
      <c r="E83">
        <v>7</v>
      </c>
      <c r="F83">
        <f>MAX(-1,3-Tableau1[[#This Row],[Nb possédé (digital)]])</f>
        <v>-1</v>
      </c>
      <c r="G83">
        <v>7</v>
      </c>
      <c r="H83">
        <f>MAX(-1,3-Tableau1[[#This Row],[Possédé (physique)]])</f>
        <v>-1</v>
      </c>
      <c r="I83" t="str">
        <f>IF(Tableau1[[#This Row],[Manque (physique)]]&gt;Tableau1[[#This Row],[Manque (digital)]],"POD",IF(Tableau1[[#This Row],[Manque (digital)]]&gt;Tableau1[[#This Row],[Manque (physique)]],"MarketPlace",""))</f>
        <v/>
      </c>
      <c r="J83" t="s">
        <v>30</v>
      </c>
      <c r="K83" t="s">
        <v>1389</v>
      </c>
      <c r="L83" t="s">
        <v>23</v>
      </c>
      <c r="M83" t="s">
        <v>19</v>
      </c>
      <c r="N83" t="s">
        <v>23</v>
      </c>
      <c r="O83" t="s">
        <v>23</v>
      </c>
      <c r="P83" t="s">
        <v>19</v>
      </c>
    </row>
    <row r="84" spans="1:17" hidden="1" x14ac:dyDescent="0.25">
      <c r="A84" t="s">
        <v>1216</v>
      </c>
      <c r="B84" t="s">
        <v>14</v>
      </c>
      <c r="C84" t="s">
        <v>28</v>
      </c>
      <c r="D84" t="s">
        <v>1156</v>
      </c>
      <c r="E84">
        <v>7</v>
      </c>
      <c r="F84">
        <f>MAX(-1,3-Tableau1[[#This Row],[Nb possédé (digital)]])</f>
        <v>-1</v>
      </c>
      <c r="G84">
        <v>7</v>
      </c>
      <c r="H84">
        <f>MAX(-1,3-Tableau1[[#This Row],[Possédé (physique)]])</f>
        <v>-1</v>
      </c>
      <c r="I84" t="str">
        <f>IF(Tableau1[[#This Row],[Manque (physique)]]&gt;Tableau1[[#This Row],[Manque (digital)]],"POD",IF(Tableau1[[#This Row],[Manque (digital)]]&gt;Tableau1[[#This Row],[Manque (physique)]],"MarketPlace",""))</f>
        <v/>
      </c>
      <c r="J84" t="s">
        <v>30</v>
      </c>
      <c r="K84" t="s">
        <v>350</v>
      </c>
      <c r="L84" t="s">
        <v>23</v>
      </c>
      <c r="M84" t="s">
        <v>19</v>
      </c>
      <c r="N84" t="s">
        <v>23</v>
      </c>
      <c r="O84" t="s">
        <v>23</v>
      </c>
      <c r="P84" t="s">
        <v>89</v>
      </c>
      <c r="Q84" t="s">
        <v>1392</v>
      </c>
    </row>
    <row r="85" spans="1:17" hidden="1" x14ac:dyDescent="0.25">
      <c r="A85" t="s">
        <v>1181</v>
      </c>
      <c r="B85" t="s">
        <v>14</v>
      </c>
      <c r="C85" t="s">
        <v>28</v>
      </c>
      <c r="D85" t="s">
        <v>1156</v>
      </c>
      <c r="E85">
        <v>6</v>
      </c>
      <c r="F85">
        <f>MAX(-1,3-Tableau1[[#This Row],[Nb possédé (digital)]])</f>
        <v>-1</v>
      </c>
      <c r="G85">
        <v>6</v>
      </c>
      <c r="H85">
        <f>MAX(-1,3-Tableau1[[#This Row],[Possédé (physique)]])</f>
        <v>-1</v>
      </c>
      <c r="I85" t="str">
        <f>IF(Tableau1[[#This Row],[Manque (physique)]]&gt;Tableau1[[#This Row],[Manque (digital)]],"POD",IF(Tableau1[[#This Row],[Manque (digital)]]&gt;Tableau1[[#This Row],[Manque (physique)]],"MarketPlace",""))</f>
        <v/>
      </c>
      <c r="J85" t="s">
        <v>268</v>
      </c>
      <c r="K85" t="s">
        <v>269</v>
      </c>
      <c r="L85" t="s">
        <v>23</v>
      </c>
      <c r="M85" t="s">
        <v>23</v>
      </c>
      <c r="Q85" t="s">
        <v>1320</v>
      </c>
    </row>
    <row r="86" spans="1:17" hidden="1" x14ac:dyDescent="0.25">
      <c r="A86" t="s">
        <v>1221</v>
      </c>
      <c r="B86" t="s">
        <v>14</v>
      </c>
      <c r="C86" t="s">
        <v>28</v>
      </c>
      <c r="D86" t="s">
        <v>1156</v>
      </c>
      <c r="E86">
        <v>8</v>
      </c>
      <c r="F86">
        <f>MAX(-1,3-Tableau1[[#This Row],[Nb possédé (digital)]])</f>
        <v>-1</v>
      </c>
      <c r="G86">
        <v>8</v>
      </c>
      <c r="H86">
        <f>MAX(-1,3-Tableau1[[#This Row],[Possédé (physique)]])</f>
        <v>-1</v>
      </c>
      <c r="I86" t="str">
        <f>IF(Tableau1[[#This Row],[Manque (physique)]]&gt;Tableau1[[#This Row],[Manque (digital)]],"POD",IF(Tableau1[[#This Row],[Manque (digital)]]&gt;Tableau1[[#This Row],[Manque (physique)]],"MarketPlace",""))</f>
        <v/>
      </c>
      <c r="J86" t="s">
        <v>268</v>
      </c>
      <c r="K86" t="s">
        <v>438</v>
      </c>
      <c r="L86" t="s">
        <v>23</v>
      </c>
      <c r="M86" t="s">
        <v>23</v>
      </c>
      <c r="Q86" t="s">
        <v>1403</v>
      </c>
    </row>
    <row r="87" spans="1:17" hidden="1" x14ac:dyDescent="0.25">
      <c r="A87" t="s">
        <v>1218</v>
      </c>
      <c r="B87" t="s">
        <v>14</v>
      </c>
      <c r="C87" t="s">
        <v>28</v>
      </c>
      <c r="D87" t="s">
        <v>1156</v>
      </c>
      <c r="E87">
        <v>8</v>
      </c>
      <c r="F87">
        <f>MAX(-1,3-Tableau1[[#This Row],[Nb possédé (digital)]])</f>
        <v>-1</v>
      </c>
      <c r="G87">
        <v>8</v>
      </c>
      <c r="H87">
        <f>MAX(-1,3-Tableau1[[#This Row],[Possédé (physique)]])</f>
        <v>-1</v>
      </c>
      <c r="I87" t="str">
        <f>IF(Tableau1[[#This Row],[Manque (physique)]]&gt;Tableau1[[#This Row],[Manque (digital)]],"POD",IF(Tableau1[[#This Row],[Manque (digital)]]&gt;Tableau1[[#This Row],[Manque (physique)]],"MarketPlace",""))</f>
        <v/>
      </c>
      <c r="J87" t="s">
        <v>30</v>
      </c>
      <c r="K87" t="s">
        <v>51</v>
      </c>
      <c r="L87" t="s">
        <v>23</v>
      </c>
      <c r="M87" t="s">
        <v>37</v>
      </c>
      <c r="N87" t="s">
        <v>23</v>
      </c>
      <c r="O87" t="s">
        <v>19</v>
      </c>
      <c r="P87" t="s">
        <v>23</v>
      </c>
      <c r="Q87" t="s">
        <v>1396</v>
      </c>
    </row>
    <row r="88" spans="1:17" hidden="1" x14ac:dyDescent="0.25">
      <c r="A88" t="s">
        <v>1174</v>
      </c>
      <c r="B88" t="s">
        <v>14</v>
      </c>
      <c r="C88" t="s">
        <v>28</v>
      </c>
      <c r="D88" t="s">
        <v>1156</v>
      </c>
      <c r="E88">
        <v>5</v>
      </c>
      <c r="F88">
        <f>MAX(-1,3-Tableau1[[#This Row],[Nb possédé (digital)]])</f>
        <v>-1</v>
      </c>
      <c r="G88">
        <v>5</v>
      </c>
      <c r="H88">
        <f>MAX(-1,3-Tableau1[[#This Row],[Possédé (physique)]])</f>
        <v>-1</v>
      </c>
      <c r="I88" t="str">
        <f>IF(Tableau1[[#This Row],[Manque (physique)]]&gt;Tableau1[[#This Row],[Manque (digital)]],"POD",IF(Tableau1[[#This Row],[Manque (digital)]]&gt;Tableau1[[#This Row],[Manque (physique)]],"MarketPlace",""))</f>
        <v/>
      </c>
      <c r="J88" t="s">
        <v>268</v>
      </c>
      <c r="K88" t="s">
        <v>438</v>
      </c>
      <c r="L88" t="s">
        <v>52</v>
      </c>
      <c r="M88" t="s">
        <v>52</v>
      </c>
      <c r="Q88" t="s">
        <v>1305</v>
      </c>
    </row>
    <row r="89" spans="1:17" hidden="1" x14ac:dyDescent="0.25">
      <c r="A89" t="s">
        <v>1182</v>
      </c>
      <c r="B89" t="s">
        <v>14</v>
      </c>
      <c r="C89" t="s">
        <v>28</v>
      </c>
      <c r="D89" t="s">
        <v>1156</v>
      </c>
      <c r="E89">
        <v>7</v>
      </c>
      <c r="F89">
        <f>MAX(-1,3-Tableau1[[#This Row],[Nb possédé (digital)]])</f>
        <v>-1</v>
      </c>
      <c r="G89">
        <v>7</v>
      </c>
      <c r="H89">
        <f>MAX(-1,3-Tableau1[[#This Row],[Possédé (physique)]])</f>
        <v>-1</v>
      </c>
      <c r="I89" t="str">
        <f>IF(Tableau1[[#This Row],[Manque (physique)]]&gt;Tableau1[[#This Row],[Manque (digital)]],"POD",IF(Tableau1[[#This Row],[Manque (digital)]]&gt;Tableau1[[#This Row],[Manque (physique)]],"MarketPlace",""))</f>
        <v/>
      </c>
      <c r="J89" t="s">
        <v>17</v>
      </c>
      <c r="K89" t="s">
        <v>153</v>
      </c>
      <c r="L89" t="s">
        <v>52</v>
      </c>
      <c r="M89" t="s">
        <v>52</v>
      </c>
      <c r="Q89" t="s">
        <v>1322</v>
      </c>
    </row>
    <row r="90" spans="1:17" hidden="1" x14ac:dyDescent="0.25">
      <c r="A90" t="s">
        <v>1186</v>
      </c>
      <c r="B90" t="s">
        <v>14</v>
      </c>
      <c r="C90" t="s">
        <v>28</v>
      </c>
      <c r="D90" t="s">
        <v>1156</v>
      </c>
      <c r="E90">
        <v>8</v>
      </c>
      <c r="F90">
        <f>MAX(-1,3-Tableau1[[#This Row],[Nb possédé (digital)]])</f>
        <v>-1</v>
      </c>
      <c r="G90">
        <v>8</v>
      </c>
      <c r="H90">
        <f>MAX(-1,3-Tableau1[[#This Row],[Possédé (physique)]])</f>
        <v>-1</v>
      </c>
      <c r="I90" t="str">
        <f>IF(Tableau1[[#This Row],[Manque (physique)]]&gt;Tableau1[[#This Row],[Manque (digital)]],"POD",IF(Tableau1[[#This Row],[Manque (digital)]]&gt;Tableau1[[#This Row],[Manque (physique)]],"MarketPlace",""))</f>
        <v/>
      </c>
      <c r="J90" t="s">
        <v>30</v>
      </c>
      <c r="K90" t="s">
        <v>292</v>
      </c>
      <c r="L90" t="s">
        <v>52</v>
      </c>
      <c r="M90" t="s">
        <v>52</v>
      </c>
      <c r="N90" t="s">
        <v>23</v>
      </c>
      <c r="O90" t="s">
        <v>52</v>
      </c>
      <c r="P90" t="s">
        <v>52</v>
      </c>
      <c r="Q90" t="s">
        <v>1329</v>
      </c>
    </row>
    <row r="91" spans="1:17" hidden="1" x14ac:dyDescent="0.25">
      <c r="A91" t="s">
        <v>1213</v>
      </c>
      <c r="B91" t="s">
        <v>14</v>
      </c>
      <c r="C91" t="s">
        <v>28</v>
      </c>
      <c r="D91" t="s">
        <v>1156</v>
      </c>
      <c r="E91">
        <v>7</v>
      </c>
      <c r="F91">
        <f>MAX(-1,3-Tableau1[[#This Row],[Nb possédé (digital)]])</f>
        <v>-1</v>
      </c>
      <c r="G91">
        <v>7</v>
      </c>
      <c r="H91">
        <f>MAX(-1,3-Tableau1[[#This Row],[Possédé (physique)]])</f>
        <v>-1</v>
      </c>
      <c r="I91" t="str">
        <f>IF(Tableau1[[#This Row],[Manque (physique)]]&gt;Tableau1[[#This Row],[Manque (digital)]],"POD",IF(Tableau1[[#This Row],[Manque (digital)]]&gt;Tableau1[[#This Row],[Manque (physique)]],"MarketPlace",""))</f>
        <v/>
      </c>
      <c r="J91" t="s">
        <v>30</v>
      </c>
      <c r="K91" t="s">
        <v>601</v>
      </c>
      <c r="L91" t="s">
        <v>37</v>
      </c>
      <c r="M91" t="s">
        <v>52</v>
      </c>
      <c r="N91" t="s">
        <v>19</v>
      </c>
      <c r="O91" t="s">
        <v>19</v>
      </c>
      <c r="P91" t="s">
        <v>19</v>
      </c>
      <c r="Q91" t="s">
        <v>1384</v>
      </c>
    </row>
    <row r="92" spans="1:17" hidden="1" x14ac:dyDescent="0.25">
      <c r="A92" t="s">
        <v>978</v>
      </c>
      <c r="B92" t="s">
        <v>14</v>
      </c>
      <c r="C92" t="s">
        <v>28</v>
      </c>
      <c r="E92">
        <v>25</v>
      </c>
      <c r="F92">
        <f>MAX(-1,3-Tableau1[[#This Row],[Nb possédé (digital)]])</f>
        <v>-1</v>
      </c>
      <c r="G92">
        <v>25</v>
      </c>
      <c r="H92">
        <f>MAX(-1,3-Tableau1[[#This Row],[Possédé (physique)]])</f>
        <v>-1</v>
      </c>
      <c r="I92" t="str">
        <f>IF(Tableau1[[#This Row],[Manque (physique)]]&gt;Tableau1[[#This Row],[Manque (digital)]],"POD",IF(Tableau1[[#This Row],[Manque (digital)]]&gt;Tableau1[[#This Row],[Manque (physique)]],"MarketPlace",""))</f>
        <v/>
      </c>
      <c r="J92" t="s">
        <v>197</v>
      </c>
      <c r="K92" t="s">
        <v>292</v>
      </c>
      <c r="L92" t="s">
        <v>89</v>
      </c>
      <c r="M92" t="s">
        <v>89</v>
      </c>
      <c r="N92" t="s">
        <v>19</v>
      </c>
      <c r="O92" t="s">
        <v>19</v>
      </c>
      <c r="P92" t="s">
        <v>19</v>
      </c>
      <c r="Q92" t="s">
        <v>199</v>
      </c>
    </row>
    <row r="93" spans="1:17" hidden="1" x14ac:dyDescent="0.25">
      <c r="A93" t="s">
        <v>978</v>
      </c>
      <c r="B93" t="s">
        <v>14</v>
      </c>
      <c r="C93" t="s">
        <v>28</v>
      </c>
      <c r="E93">
        <v>5</v>
      </c>
      <c r="F93">
        <f>MAX(-1,3-Tableau1[[#This Row],[Nb possédé (digital)]])</f>
        <v>-1</v>
      </c>
      <c r="G93">
        <v>5</v>
      </c>
      <c r="H93">
        <f>MAX(-1,3-Tableau1[[#This Row],[Possédé (physique)]])</f>
        <v>-1</v>
      </c>
      <c r="I93" t="str">
        <f>IF(Tableau1[[#This Row],[Manque (physique)]]&gt;Tableau1[[#This Row],[Manque (digital)]],"POD",IF(Tableau1[[#This Row],[Manque (digital)]]&gt;Tableau1[[#This Row],[Manque (physique)]],"MarketPlace",""))</f>
        <v/>
      </c>
      <c r="J93" t="s">
        <v>197</v>
      </c>
      <c r="K93" t="s">
        <v>292</v>
      </c>
      <c r="L93" t="s">
        <v>89</v>
      </c>
      <c r="M93" t="s">
        <v>89</v>
      </c>
      <c r="N93" t="s">
        <v>19</v>
      </c>
      <c r="O93" t="s">
        <v>19</v>
      </c>
      <c r="P93" t="s">
        <v>19</v>
      </c>
      <c r="Q93" t="s">
        <v>199</v>
      </c>
    </row>
    <row r="94" spans="1:17" hidden="1" x14ac:dyDescent="0.25">
      <c r="A94" t="s">
        <v>1513</v>
      </c>
      <c r="B94" t="s">
        <v>14</v>
      </c>
      <c r="C94" t="s">
        <v>28</v>
      </c>
      <c r="E94">
        <v>10</v>
      </c>
      <c r="F94">
        <f>MAX(-1,3-Tableau1[[#This Row],[Nb possédé (digital)]])</f>
        <v>-1</v>
      </c>
      <c r="G94">
        <v>10</v>
      </c>
      <c r="H94">
        <f>MAX(-1,3-Tableau1[[#This Row],[Possédé (physique)]])</f>
        <v>-1</v>
      </c>
      <c r="I94" t="str">
        <f>IF(Tableau1[[#This Row],[Manque (physique)]]&gt;Tableau1[[#This Row],[Manque (digital)]],"POD",IF(Tableau1[[#This Row],[Manque (digital)]]&gt;Tableau1[[#This Row],[Manque (physique)]],"MarketPlace",""))</f>
        <v/>
      </c>
      <c r="J94" t="s">
        <v>48</v>
      </c>
      <c r="Q94" t="s">
        <v>1636</v>
      </c>
    </row>
    <row r="95" spans="1:17" hidden="1" x14ac:dyDescent="0.25">
      <c r="A95" t="s">
        <v>1197</v>
      </c>
      <c r="B95" t="s">
        <v>14</v>
      </c>
      <c r="C95" t="s">
        <v>28</v>
      </c>
      <c r="E95">
        <v>5</v>
      </c>
      <c r="F95">
        <f>MAX(-1,3-Tableau1[[#This Row],[Nb possédé (digital)]])</f>
        <v>-1</v>
      </c>
      <c r="G95">
        <v>5</v>
      </c>
      <c r="H95">
        <f>MAX(-1,3-Tableau1[[#This Row],[Possédé (physique)]])</f>
        <v>-1</v>
      </c>
      <c r="I95" t="str">
        <f>IF(Tableau1[[#This Row],[Manque (physique)]]&gt;Tableau1[[#This Row],[Manque (digital)]],"POD",IF(Tableau1[[#This Row],[Manque (digital)]]&gt;Tableau1[[#This Row],[Manque (physique)]],"MarketPlace",""))</f>
        <v/>
      </c>
      <c r="J95" t="s">
        <v>48</v>
      </c>
      <c r="Q95" t="s">
        <v>1352</v>
      </c>
    </row>
    <row r="96" spans="1:17" hidden="1" x14ac:dyDescent="0.25">
      <c r="A96" t="s">
        <v>998</v>
      </c>
      <c r="B96" t="s">
        <v>14</v>
      </c>
      <c r="C96" t="s">
        <v>28</v>
      </c>
      <c r="E96">
        <v>15</v>
      </c>
      <c r="F96">
        <f>MAX(-1,3-Tableau1[[#This Row],[Nb possédé (digital)]])</f>
        <v>-1</v>
      </c>
      <c r="G96">
        <v>15</v>
      </c>
      <c r="H96">
        <f>MAX(-1,3-Tableau1[[#This Row],[Possédé (physique)]])</f>
        <v>-1</v>
      </c>
      <c r="I96" t="str">
        <f>IF(Tableau1[[#This Row],[Manque (physique)]]&gt;Tableau1[[#This Row],[Manque (digital)]],"POD",IF(Tableau1[[#This Row],[Manque (digital)]]&gt;Tableau1[[#This Row],[Manque (physique)]],"MarketPlace",""))</f>
        <v/>
      </c>
      <c r="J96" t="s">
        <v>48</v>
      </c>
      <c r="Q96" t="s">
        <v>999</v>
      </c>
    </row>
    <row r="97" spans="1:17" hidden="1" x14ac:dyDescent="0.25">
      <c r="A97" t="s">
        <v>1017</v>
      </c>
      <c r="B97" t="s">
        <v>14</v>
      </c>
      <c r="C97" t="s">
        <v>28</v>
      </c>
      <c r="E97">
        <v>20</v>
      </c>
      <c r="F97">
        <f>MAX(-1,3-Tableau1[[#This Row],[Nb possédé (digital)]])</f>
        <v>-1</v>
      </c>
      <c r="G97">
        <v>20</v>
      </c>
      <c r="H97">
        <f>MAX(-1,3-Tableau1[[#This Row],[Possédé (physique)]])</f>
        <v>-1</v>
      </c>
      <c r="I97" t="str">
        <f>IF(Tableau1[[#This Row],[Manque (physique)]]&gt;Tableau1[[#This Row],[Manque (digital)]],"POD",IF(Tableau1[[#This Row],[Manque (digital)]]&gt;Tableau1[[#This Row],[Manque (physique)]],"MarketPlace",""))</f>
        <v/>
      </c>
      <c r="J97" t="s">
        <v>48</v>
      </c>
      <c r="Q97" t="s">
        <v>1018</v>
      </c>
    </row>
    <row r="98" spans="1:17" hidden="1" x14ac:dyDescent="0.25">
      <c r="A98" t="s">
        <v>1089</v>
      </c>
      <c r="B98" t="s">
        <v>14</v>
      </c>
      <c r="C98" t="s">
        <v>28</v>
      </c>
      <c r="E98">
        <v>15</v>
      </c>
      <c r="F98">
        <f>MAX(-1,3-Tableau1[[#This Row],[Nb possédé (digital)]])</f>
        <v>-1</v>
      </c>
      <c r="G98">
        <v>15</v>
      </c>
      <c r="H98">
        <f>MAX(-1,3-Tableau1[[#This Row],[Possédé (physique)]])</f>
        <v>-1</v>
      </c>
      <c r="I98" t="str">
        <f>IF(Tableau1[[#This Row],[Manque (physique)]]&gt;Tableau1[[#This Row],[Manque (digital)]],"POD",IF(Tableau1[[#This Row],[Manque (digital)]]&gt;Tableau1[[#This Row],[Manque (physique)]],"MarketPlace",""))</f>
        <v/>
      </c>
      <c r="J98" t="s">
        <v>48</v>
      </c>
      <c r="Q98" t="s">
        <v>1090</v>
      </c>
    </row>
    <row r="99" spans="1:17" hidden="1" x14ac:dyDescent="0.25">
      <c r="A99" t="s">
        <v>589</v>
      </c>
      <c r="B99" t="s">
        <v>14</v>
      </c>
      <c r="C99" t="s">
        <v>35</v>
      </c>
      <c r="D99" t="s">
        <v>16</v>
      </c>
      <c r="E99">
        <v>14</v>
      </c>
      <c r="F99">
        <f>MAX(-1,3-Tableau1[[#This Row],[Nb possédé (digital)]])</f>
        <v>-1</v>
      </c>
      <c r="G99">
        <v>14</v>
      </c>
      <c r="H99">
        <f>MAX(-1,3-Tableau1[[#This Row],[Possédé (physique)]])</f>
        <v>-1</v>
      </c>
      <c r="I99" t="str">
        <f>IF(Tableau1[[#This Row],[Manque (physique)]]&gt;Tableau1[[#This Row],[Manque (digital)]],"POD",IF(Tableau1[[#This Row],[Manque (digital)]]&gt;Tableau1[[#This Row],[Manque (physique)]],"MarketPlace",""))</f>
        <v/>
      </c>
      <c r="J99" t="s">
        <v>30</v>
      </c>
      <c r="K99" t="s">
        <v>83</v>
      </c>
      <c r="L99" t="s">
        <v>20</v>
      </c>
      <c r="M99" t="s">
        <v>20</v>
      </c>
      <c r="N99" t="s">
        <v>89</v>
      </c>
      <c r="O99" t="s">
        <v>89</v>
      </c>
      <c r="P99" t="s">
        <v>19</v>
      </c>
      <c r="Q99" t="s">
        <v>521</v>
      </c>
    </row>
    <row r="100" spans="1:17" hidden="1" x14ac:dyDescent="0.25">
      <c r="A100" t="s">
        <v>778</v>
      </c>
      <c r="B100" t="s">
        <v>14</v>
      </c>
      <c r="C100" t="s">
        <v>35</v>
      </c>
      <c r="D100" t="s">
        <v>16</v>
      </c>
      <c r="E100">
        <v>7</v>
      </c>
      <c r="F100">
        <f>MAX(-1,3-Tableau1[[#This Row],[Nb possédé (digital)]])</f>
        <v>-1</v>
      </c>
      <c r="G100">
        <v>7</v>
      </c>
      <c r="H100">
        <f>MAX(-1,3-Tableau1[[#This Row],[Possédé (physique)]])</f>
        <v>-1</v>
      </c>
      <c r="I100" t="str">
        <f>IF(Tableau1[[#This Row],[Manque (physique)]]&gt;Tableau1[[#This Row],[Manque (digital)]],"POD",IF(Tableau1[[#This Row],[Manque (digital)]]&gt;Tableau1[[#This Row],[Manque (physique)]],"MarketPlace",""))</f>
        <v/>
      </c>
      <c r="J100" t="s">
        <v>17</v>
      </c>
      <c r="K100" t="s">
        <v>18</v>
      </c>
      <c r="L100" t="s">
        <v>20</v>
      </c>
      <c r="M100" t="s">
        <v>19</v>
      </c>
      <c r="Q100" t="s">
        <v>779</v>
      </c>
    </row>
    <row r="101" spans="1:17" hidden="1" x14ac:dyDescent="0.25">
      <c r="A101" t="s">
        <v>317</v>
      </c>
      <c r="B101" t="s">
        <v>14</v>
      </c>
      <c r="C101" t="s">
        <v>35</v>
      </c>
      <c r="D101" t="s">
        <v>16</v>
      </c>
      <c r="E101">
        <v>3</v>
      </c>
      <c r="F101">
        <f>MAX(-1,3-Tableau1[[#This Row],[Nb possédé (digital)]])</f>
        <v>0</v>
      </c>
      <c r="G101">
        <v>3</v>
      </c>
      <c r="H101">
        <f>MAX(-1,3-Tableau1[[#This Row],[Possédé (physique)]])</f>
        <v>0</v>
      </c>
      <c r="I101" t="str">
        <f>IF(Tableau1[[#This Row],[Manque (physique)]]&gt;Tableau1[[#This Row],[Manque (digital)]],"POD",IF(Tableau1[[#This Row],[Manque (digital)]]&gt;Tableau1[[#This Row],[Manque (physique)]],"MarketPlace",""))</f>
        <v/>
      </c>
      <c r="J101" t="s">
        <v>30</v>
      </c>
      <c r="K101" t="s">
        <v>36</v>
      </c>
      <c r="L101" t="s">
        <v>20</v>
      </c>
      <c r="M101" t="s">
        <v>23</v>
      </c>
      <c r="N101" t="s">
        <v>89</v>
      </c>
      <c r="O101" t="s">
        <v>89</v>
      </c>
      <c r="P101" t="s">
        <v>89</v>
      </c>
      <c r="Q101" t="s">
        <v>318</v>
      </c>
    </row>
    <row r="102" spans="1:17" hidden="1" x14ac:dyDescent="0.25">
      <c r="A102" t="s">
        <v>927</v>
      </c>
      <c r="B102" t="s">
        <v>14</v>
      </c>
      <c r="C102" t="s">
        <v>35</v>
      </c>
      <c r="D102" t="s">
        <v>16</v>
      </c>
      <c r="E102">
        <v>12</v>
      </c>
      <c r="F102">
        <f>MAX(-1,3-Tableau1[[#This Row],[Nb possédé (digital)]])</f>
        <v>-1</v>
      </c>
      <c r="G102">
        <v>12</v>
      </c>
      <c r="H102">
        <f>MAX(-1,3-Tableau1[[#This Row],[Possédé (physique)]])</f>
        <v>-1</v>
      </c>
      <c r="I102" t="str">
        <f>IF(Tableau1[[#This Row],[Manque (physique)]]&gt;Tableau1[[#This Row],[Manque (digital)]],"POD",IF(Tableau1[[#This Row],[Manque (digital)]]&gt;Tableau1[[#This Row],[Manque (physique)]],"MarketPlace",""))</f>
        <v/>
      </c>
      <c r="J102" t="s">
        <v>30</v>
      </c>
      <c r="K102" t="s">
        <v>557</v>
      </c>
      <c r="L102" t="s">
        <v>20</v>
      </c>
      <c r="M102" t="s">
        <v>23</v>
      </c>
      <c r="N102" t="s">
        <v>20</v>
      </c>
      <c r="O102" t="s">
        <v>20</v>
      </c>
      <c r="P102" t="s">
        <v>20</v>
      </c>
      <c r="Q102" t="s">
        <v>133</v>
      </c>
    </row>
    <row r="103" spans="1:17" hidden="1" x14ac:dyDescent="0.25">
      <c r="A103" t="s">
        <v>229</v>
      </c>
      <c r="B103" t="s">
        <v>14</v>
      </c>
      <c r="C103" t="s">
        <v>35</v>
      </c>
      <c r="D103" t="s">
        <v>16</v>
      </c>
      <c r="E103">
        <v>4</v>
      </c>
      <c r="F103">
        <f>MAX(-1,3-Tableau1[[#This Row],[Nb possédé (digital)]])</f>
        <v>-1</v>
      </c>
      <c r="G103">
        <v>4</v>
      </c>
      <c r="H103">
        <f>MAX(-1,3-Tableau1[[#This Row],[Possédé (physique)]])</f>
        <v>-1</v>
      </c>
      <c r="I103" t="str">
        <f>IF(Tableau1[[#This Row],[Manque (physique)]]&gt;Tableau1[[#This Row],[Manque (digital)]],"POD",IF(Tableau1[[#This Row],[Manque (digital)]]&gt;Tableau1[[#This Row],[Manque (physique)]],"MarketPlace",""))</f>
        <v/>
      </c>
      <c r="J103" t="s">
        <v>17</v>
      </c>
      <c r="K103" t="s">
        <v>97</v>
      </c>
      <c r="L103" t="s">
        <v>19</v>
      </c>
      <c r="M103" t="s">
        <v>19</v>
      </c>
      <c r="Q103" t="s">
        <v>230</v>
      </c>
    </row>
    <row r="104" spans="1:17" hidden="1" x14ac:dyDescent="0.25">
      <c r="A104" t="s">
        <v>251</v>
      </c>
      <c r="B104" t="s">
        <v>14</v>
      </c>
      <c r="C104" t="s">
        <v>35</v>
      </c>
      <c r="D104" t="s">
        <v>16</v>
      </c>
      <c r="E104">
        <v>5</v>
      </c>
      <c r="F104">
        <f>MAX(-1,3-Tableau1[[#This Row],[Nb possédé (digital)]])</f>
        <v>-1</v>
      </c>
      <c r="G104">
        <v>5</v>
      </c>
      <c r="H104">
        <f>MAX(-1,3-Tableau1[[#This Row],[Possédé (physique)]])</f>
        <v>-1</v>
      </c>
      <c r="I104" t="str">
        <f>IF(Tableau1[[#This Row],[Manque (physique)]]&gt;Tableau1[[#This Row],[Manque (digital)]],"POD",IF(Tableau1[[#This Row],[Manque (digital)]]&gt;Tableau1[[#This Row],[Manque (physique)]],"MarketPlace",""))</f>
        <v/>
      </c>
      <c r="J104" t="s">
        <v>30</v>
      </c>
      <c r="K104" t="s">
        <v>252</v>
      </c>
      <c r="L104" t="s">
        <v>19</v>
      </c>
      <c r="M104" t="s">
        <v>19</v>
      </c>
      <c r="N104" t="s">
        <v>20</v>
      </c>
      <c r="O104" t="s">
        <v>20</v>
      </c>
      <c r="P104" t="s">
        <v>20</v>
      </c>
      <c r="Q104" t="s">
        <v>253</v>
      </c>
    </row>
    <row r="105" spans="1:17" hidden="1" x14ac:dyDescent="0.25">
      <c r="A105" t="s">
        <v>534</v>
      </c>
      <c r="B105" t="s">
        <v>14</v>
      </c>
      <c r="C105" t="s">
        <v>35</v>
      </c>
      <c r="D105" t="s">
        <v>16</v>
      </c>
      <c r="E105">
        <v>6</v>
      </c>
      <c r="F105">
        <f>MAX(-1,3-Tableau1[[#This Row],[Nb possédé (digital)]])</f>
        <v>-1</v>
      </c>
      <c r="G105">
        <v>6</v>
      </c>
      <c r="H105">
        <f>MAX(-1,3-Tableau1[[#This Row],[Possédé (physique)]])</f>
        <v>-1</v>
      </c>
      <c r="I105" t="str">
        <f>IF(Tableau1[[#This Row],[Manque (physique)]]&gt;Tableau1[[#This Row],[Manque (digital)]],"POD",IF(Tableau1[[#This Row],[Manque (digital)]]&gt;Tableau1[[#This Row],[Manque (physique)]],"MarketPlace",""))</f>
        <v/>
      </c>
      <c r="J105" t="s">
        <v>217</v>
      </c>
      <c r="K105" t="s">
        <v>218</v>
      </c>
      <c r="L105" t="s">
        <v>19</v>
      </c>
      <c r="M105" t="s">
        <v>19</v>
      </c>
      <c r="Q105" t="s">
        <v>535</v>
      </c>
    </row>
    <row r="106" spans="1:17" hidden="1" x14ac:dyDescent="0.25">
      <c r="A106" t="s">
        <v>582</v>
      </c>
      <c r="B106" t="s">
        <v>14</v>
      </c>
      <c r="C106" t="s">
        <v>35</v>
      </c>
      <c r="D106" t="s">
        <v>16</v>
      </c>
      <c r="E106">
        <v>16</v>
      </c>
      <c r="F106">
        <f>MAX(-1,3-Tableau1[[#This Row],[Nb possédé (digital)]])</f>
        <v>-1</v>
      </c>
      <c r="G106">
        <v>16</v>
      </c>
      <c r="H106">
        <f>MAX(-1,3-Tableau1[[#This Row],[Possédé (physique)]])</f>
        <v>-1</v>
      </c>
      <c r="I106" t="str">
        <f>IF(Tableau1[[#This Row],[Manque (physique)]]&gt;Tableau1[[#This Row],[Manque (digital)]],"POD",IF(Tableau1[[#This Row],[Manque (digital)]]&gt;Tableau1[[#This Row],[Manque (physique)]],"MarketPlace",""))</f>
        <v/>
      </c>
      <c r="J106" t="s">
        <v>17</v>
      </c>
      <c r="K106" t="s">
        <v>153</v>
      </c>
      <c r="L106" t="s">
        <v>19</v>
      </c>
      <c r="M106" t="s">
        <v>19</v>
      </c>
      <c r="Q106" t="s">
        <v>583</v>
      </c>
    </row>
    <row r="107" spans="1:17" hidden="1" x14ac:dyDescent="0.25">
      <c r="A107" t="s">
        <v>881</v>
      </c>
      <c r="B107" t="s">
        <v>14</v>
      </c>
      <c r="C107" t="s">
        <v>35</v>
      </c>
      <c r="D107" t="s">
        <v>16</v>
      </c>
      <c r="E107">
        <v>15</v>
      </c>
      <c r="F107">
        <f>MAX(-1,3-Tableau1[[#This Row],[Nb possédé (digital)]])</f>
        <v>-1</v>
      </c>
      <c r="G107">
        <v>15</v>
      </c>
      <c r="H107">
        <f>MAX(-1,3-Tableau1[[#This Row],[Possédé (physique)]])</f>
        <v>-1</v>
      </c>
      <c r="I107" t="str">
        <f>IF(Tableau1[[#This Row],[Manque (physique)]]&gt;Tableau1[[#This Row],[Manque (digital)]],"POD",IF(Tableau1[[#This Row],[Manque (digital)]]&gt;Tableau1[[#This Row],[Manque (physique)]],"MarketPlace",""))</f>
        <v/>
      </c>
      <c r="J107" t="s">
        <v>30</v>
      </c>
      <c r="K107" t="s">
        <v>83</v>
      </c>
      <c r="L107" t="s">
        <v>19</v>
      </c>
      <c r="M107" t="s">
        <v>19</v>
      </c>
      <c r="N107" t="s">
        <v>89</v>
      </c>
      <c r="O107" t="s">
        <v>23</v>
      </c>
      <c r="P107" t="s">
        <v>23</v>
      </c>
    </row>
    <row r="108" spans="1:17" hidden="1" x14ac:dyDescent="0.25">
      <c r="A108" t="s">
        <v>936</v>
      </c>
      <c r="B108" t="s">
        <v>14</v>
      </c>
      <c r="C108" t="s">
        <v>35</v>
      </c>
      <c r="D108" t="s">
        <v>16</v>
      </c>
      <c r="E108">
        <v>6</v>
      </c>
      <c r="F108">
        <f>MAX(-1,3-Tableau1[[#This Row],[Nb possédé (digital)]])</f>
        <v>-1</v>
      </c>
      <c r="G108">
        <v>6</v>
      </c>
      <c r="H108">
        <f>MAX(-1,3-Tableau1[[#This Row],[Possédé (physique)]])</f>
        <v>-1</v>
      </c>
      <c r="I108" t="str">
        <f>IF(Tableau1[[#This Row],[Manque (physique)]]&gt;Tableau1[[#This Row],[Manque (digital)]],"POD",IF(Tableau1[[#This Row],[Manque (digital)]]&gt;Tableau1[[#This Row],[Manque (physique)]],"MarketPlace",""))</f>
        <v/>
      </c>
      <c r="J108" t="s">
        <v>30</v>
      </c>
      <c r="K108" t="s">
        <v>83</v>
      </c>
      <c r="L108" t="s">
        <v>19</v>
      </c>
      <c r="M108" t="s">
        <v>19</v>
      </c>
      <c r="N108" t="s">
        <v>19</v>
      </c>
      <c r="O108" t="s">
        <v>19</v>
      </c>
      <c r="P108" t="s">
        <v>19</v>
      </c>
      <c r="Q108" t="s">
        <v>937</v>
      </c>
    </row>
    <row r="109" spans="1:17" hidden="1" x14ac:dyDescent="0.25">
      <c r="A109" t="s">
        <v>1084</v>
      </c>
      <c r="B109" t="s">
        <v>14</v>
      </c>
      <c r="C109" t="s">
        <v>35</v>
      </c>
      <c r="D109" t="s">
        <v>16</v>
      </c>
      <c r="E109">
        <v>10</v>
      </c>
      <c r="F109">
        <f>MAX(-1,3-Tableau1[[#This Row],[Nb possédé (digital)]])</f>
        <v>-1</v>
      </c>
      <c r="G109">
        <v>10</v>
      </c>
      <c r="H109">
        <f>MAX(-1,3-Tableau1[[#This Row],[Possédé (physique)]])</f>
        <v>-1</v>
      </c>
      <c r="I109" t="str">
        <f>IF(Tableau1[[#This Row],[Manque (physique)]]&gt;Tableau1[[#This Row],[Manque (digital)]],"POD",IF(Tableau1[[#This Row],[Manque (digital)]]&gt;Tableau1[[#This Row],[Manque (physique)]],"MarketPlace",""))</f>
        <v/>
      </c>
      <c r="J109" t="s">
        <v>30</v>
      </c>
      <c r="K109" t="s">
        <v>83</v>
      </c>
      <c r="L109" t="s">
        <v>19</v>
      </c>
      <c r="M109" t="s">
        <v>19</v>
      </c>
      <c r="N109" t="s">
        <v>23</v>
      </c>
      <c r="O109" t="s">
        <v>23</v>
      </c>
      <c r="P109" t="s">
        <v>23</v>
      </c>
      <c r="Q109" t="s">
        <v>1085</v>
      </c>
    </row>
    <row r="110" spans="1:17" hidden="1" x14ac:dyDescent="0.25">
      <c r="A110" t="s">
        <v>409</v>
      </c>
      <c r="B110" t="s">
        <v>14</v>
      </c>
      <c r="C110" t="s">
        <v>35</v>
      </c>
      <c r="D110" t="s">
        <v>16</v>
      </c>
      <c r="E110">
        <v>12</v>
      </c>
      <c r="F110">
        <f>MAX(-1,3-Tableau1[[#This Row],[Nb possédé (digital)]])</f>
        <v>-1</v>
      </c>
      <c r="G110">
        <v>12</v>
      </c>
      <c r="H110">
        <f>MAX(-1,3-Tableau1[[#This Row],[Possédé (physique)]])</f>
        <v>-1</v>
      </c>
      <c r="I110" t="str">
        <f>IF(Tableau1[[#This Row],[Manque (physique)]]&gt;Tableau1[[#This Row],[Manque (digital)]],"POD",IF(Tableau1[[#This Row],[Manque (digital)]]&gt;Tableau1[[#This Row],[Manque (physique)]],"MarketPlace",""))</f>
        <v/>
      </c>
      <c r="J110" t="s">
        <v>17</v>
      </c>
      <c r="K110" t="s">
        <v>18</v>
      </c>
      <c r="L110" t="s">
        <v>19</v>
      </c>
      <c r="M110" t="s">
        <v>23</v>
      </c>
      <c r="Q110" t="s">
        <v>410</v>
      </c>
    </row>
    <row r="111" spans="1:17" hidden="1" x14ac:dyDescent="0.25">
      <c r="A111" t="s">
        <v>871</v>
      </c>
      <c r="B111" t="s">
        <v>14</v>
      </c>
      <c r="C111" t="s">
        <v>35</v>
      </c>
      <c r="D111" t="s">
        <v>16</v>
      </c>
      <c r="E111">
        <v>5</v>
      </c>
      <c r="F111">
        <f>MAX(-1,3-Tableau1[[#This Row],[Nb possédé (digital)]])</f>
        <v>-1</v>
      </c>
      <c r="G111">
        <v>5</v>
      </c>
      <c r="H111">
        <f>MAX(-1,3-Tableau1[[#This Row],[Possédé (physique)]])</f>
        <v>-1</v>
      </c>
      <c r="I111" t="str">
        <f>IF(Tableau1[[#This Row],[Manque (physique)]]&gt;Tableau1[[#This Row],[Manque (digital)]],"POD",IF(Tableau1[[#This Row],[Manque (digital)]]&gt;Tableau1[[#This Row],[Manque (physique)]],"MarketPlace",""))</f>
        <v/>
      </c>
      <c r="J111" t="s">
        <v>30</v>
      </c>
      <c r="K111" t="s">
        <v>328</v>
      </c>
      <c r="L111" t="s">
        <v>19</v>
      </c>
      <c r="M111" t="s">
        <v>23</v>
      </c>
      <c r="N111" t="s">
        <v>89</v>
      </c>
      <c r="O111" t="s">
        <v>23</v>
      </c>
      <c r="P111" t="s">
        <v>89</v>
      </c>
      <c r="Q111" t="s">
        <v>872</v>
      </c>
    </row>
    <row r="112" spans="1:17" hidden="1" x14ac:dyDescent="0.25">
      <c r="A112" t="s">
        <v>131</v>
      </c>
      <c r="B112" t="s">
        <v>14</v>
      </c>
      <c r="C112" t="s">
        <v>35</v>
      </c>
      <c r="D112" t="s">
        <v>16</v>
      </c>
      <c r="E112">
        <v>15</v>
      </c>
      <c r="F112">
        <f>MAX(-1,3-Tableau1[[#This Row],[Nb possédé (digital)]])</f>
        <v>-1</v>
      </c>
      <c r="G112">
        <v>15</v>
      </c>
      <c r="H112">
        <f>MAX(-1,3-Tableau1[[#This Row],[Possédé (physique)]])</f>
        <v>-1</v>
      </c>
      <c r="I112" t="str">
        <f>IF(Tableau1[[#This Row],[Manque (physique)]]&gt;Tableau1[[#This Row],[Manque (digital)]],"POD",IF(Tableau1[[#This Row],[Manque (digital)]]&gt;Tableau1[[#This Row],[Manque (physique)]],"MarketPlace",""))</f>
        <v/>
      </c>
      <c r="J112" t="s">
        <v>30</v>
      </c>
      <c r="K112" t="s">
        <v>132</v>
      </c>
      <c r="L112" t="s">
        <v>19</v>
      </c>
      <c r="M112" t="s">
        <v>52</v>
      </c>
      <c r="N112" t="s">
        <v>23</v>
      </c>
      <c r="O112" t="s">
        <v>20</v>
      </c>
      <c r="P112" t="s">
        <v>20</v>
      </c>
      <c r="Q112" t="s">
        <v>133</v>
      </c>
    </row>
    <row r="113" spans="1:17" hidden="1" x14ac:dyDescent="0.25">
      <c r="A113" t="s">
        <v>157</v>
      </c>
      <c r="B113" t="s">
        <v>14</v>
      </c>
      <c r="C113" t="s">
        <v>35</v>
      </c>
      <c r="D113" t="s">
        <v>16</v>
      </c>
      <c r="E113">
        <v>6</v>
      </c>
      <c r="F113">
        <f>MAX(-1,3-Tableau1[[#This Row],[Nb possédé (digital)]])</f>
        <v>-1</v>
      </c>
      <c r="G113">
        <v>6</v>
      </c>
      <c r="H113">
        <f>MAX(-1,3-Tableau1[[#This Row],[Possédé (physique)]])</f>
        <v>-1</v>
      </c>
      <c r="I113" t="str">
        <f>IF(Tableau1[[#This Row],[Manque (physique)]]&gt;Tableau1[[#This Row],[Manque (digital)]],"POD",IF(Tableau1[[#This Row],[Manque (digital)]]&gt;Tableau1[[#This Row],[Manque (physique)]],"MarketPlace",""))</f>
        <v/>
      </c>
      <c r="J113" t="s">
        <v>30</v>
      </c>
      <c r="K113" t="s">
        <v>83</v>
      </c>
      <c r="L113" t="s">
        <v>23</v>
      </c>
      <c r="M113" t="s">
        <v>23</v>
      </c>
      <c r="N113" t="s">
        <v>52</v>
      </c>
      <c r="O113" t="s">
        <v>19</v>
      </c>
      <c r="P113" t="s">
        <v>19</v>
      </c>
      <c r="Q113" t="s">
        <v>158</v>
      </c>
    </row>
    <row r="114" spans="1:17" hidden="1" x14ac:dyDescent="0.25">
      <c r="A114" t="s">
        <v>1142</v>
      </c>
      <c r="B114" t="s">
        <v>14</v>
      </c>
      <c r="C114" t="s">
        <v>35</v>
      </c>
      <c r="D114" t="s">
        <v>16</v>
      </c>
      <c r="E114">
        <v>5</v>
      </c>
      <c r="F114">
        <f>MAX(-1,3-Tableau1[[#This Row],[Nb possédé (digital)]])</f>
        <v>-1</v>
      </c>
      <c r="G114">
        <v>5</v>
      </c>
      <c r="H114">
        <f>MAX(-1,3-Tableau1[[#This Row],[Possédé (physique)]])</f>
        <v>-1</v>
      </c>
      <c r="I114" t="str">
        <f>IF(Tableau1[[#This Row],[Manque (physique)]]&gt;Tableau1[[#This Row],[Manque (digital)]],"POD",IF(Tableau1[[#This Row],[Manque (digital)]]&gt;Tableau1[[#This Row],[Manque (physique)]],"MarketPlace",""))</f>
        <v/>
      </c>
      <c r="J114" t="s">
        <v>17</v>
      </c>
      <c r="K114" t="s">
        <v>153</v>
      </c>
      <c r="L114" t="s">
        <v>23</v>
      </c>
      <c r="M114" t="s">
        <v>23</v>
      </c>
      <c r="Q114" t="s">
        <v>1143</v>
      </c>
    </row>
    <row r="115" spans="1:17" hidden="1" x14ac:dyDescent="0.25">
      <c r="A115" t="s">
        <v>520</v>
      </c>
      <c r="B115" t="s">
        <v>14</v>
      </c>
      <c r="C115" t="s">
        <v>35</v>
      </c>
      <c r="D115" t="s">
        <v>16</v>
      </c>
      <c r="E115">
        <v>13</v>
      </c>
      <c r="F115">
        <f>MAX(-1,3-Tableau1[[#This Row],[Nb possédé (digital)]])</f>
        <v>-1</v>
      </c>
      <c r="G115">
        <v>13</v>
      </c>
      <c r="H115">
        <f>MAX(-1,3-Tableau1[[#This Row],[Possédé (physique)]])</f>
        <v>-1</v>
      </c>
      <c r="I115" t="str">
        <f>IF(Tableau1[[#This Row],[Manque (physique)]]&gt;Tableau1[[#This Row],[Manque (digital)]],"POD",IF(Tableau1[[#This Row],[Manque (digital)]]&gt;Tableau1[[#This Row],[Manque (physique)]],"MarketPlace",""))</f>
        <v/>
      </c>
      <c r="J115" t="s">
        <v>30</v>
      </c>
      <c r="K115" t="s">
        <v>36</v>
      </c>
      <c r="L115" t="s">
        <v>23</v>
      </c>
      <c r="M115" t="s">
        <v>23</v>
      </c>
      <c r="N115" t="s">
        <v>52</v>
      </c>
      <c r="O115" t="s">
        <v>19</v>
      </c>
      <c r="P115" t="s">
        <v>52</v>
      </c>
    </row>
    <row r="116" spans="1:17" hidden="1" x14ac:dyDescent="0.25">
      <c r="A116" t="s">
        <v>544</v>
      </c>
      <c r="B116" t="s">
        <v>14</v>
      </c>
      <c r="C116" t="s">
        <v>35</v>
      </c>
      <c r="D116" t="s">
        <v>16</v>
      </c>
      <c r="E116">
        <v>6</v>
      </c>
      <c r="F116">
        <f>MAX(-1,3-Tableau1[[#This Row],[Nb possédé (digital)]])</f>
        <v>-1</v>
      </c>
      <c r="G116">
        <v>6</v>
      </c>
      <c r="H116">
        <f>MAX(-1,3-Tableau1[[#This Row],[Possédé (physique)]])</f>
        <v>-1</v>
      </c>
      <c r="I116" t="str">
        <f>IF(Tableau1[[#This Row],[Manque (physique)]]&gt;Tableau1[[#This Row],[Manque (digital)]],"POD",IF(Tableau1[[#This Row],[Manque (digital)]]&gt;Tableau1[[#This Row],[Manque (physique)]],"MarketPlace",""))</f>
        <v/>
      </c>
      <c r="J116" t="s">
        <v>30</v>
      </c>
      <c r="K116" t="s">
        <v>83</v>
      </c>
      <c r="L116" t="s">
        <v>23</v>
      </c>
      <c r="M116" t="s">
        <v>23</v>
      </c>
      <c r="N116" t="s">
        <v>20</v>
      </c>
      <c r="O116" t="s">
        <v>23</v>
      </c>
      <c r="P116" t="s">
        <v>23</v>
      </c>
      <c r="Q116" t="s">
        <v>545</v>
      </c>
    </row>
    <row r="117" spans="1:17" hidden="1" x14ac:dyDescent="0.25">
      <c r="A117" t="s">
        <v>1075</v>
      </c>
      <c r="B117" t="s">
        <v>14</v>
      </c>
      <c r="C117" t="s">
        <v>35</v>
      </c>
      <c r="D117" t="s">
        <v>16</v>
      </c>
      <c r="E117">
        <v>5</v>
      </c>
      <c r="F117">
        <f>MAX(-1,3-Tableau1[[#This Row],[Nb possédé (digital)]])</f>
        <v>-1</v>
      </c>
      <c r="G117">
        <v>5</v>
      </c>
      <c r="H117">
        <f>MAX(-1,3-Tableau1[[#This Row],[Possédé (physique)]])</f>
        <v>-1</v>
      </c>
      <c r="I117" t="str">
        <f>IF(Tableau1[[#This Row],[Manque (physique)]]&gt;Tableau1[[#This Row],[Manque (digital)]],"POD",IF(Tableau1[[#This Row],[Manque (digital)]]&gt;Tableau1[[#This Row],[Manque (physique)]],"MarketPlace",""))</f>
        <v/>
      </c>
      <c r="J117" t="s">
        <v>30</v>
      </c>
      <c r="K117" t="s">
        <v>36</v>
      </c>
      <c r="L117" t="s">
        <v>23</v>
      </c>
      <c r="M117" t="s">
        <v>23</v>
      </c>
      <c r="N117" t="s">
        <v>19</v>
      </c>
      <c r="O117" t="s">
        <v>37</v>
      </c>
      <c r="P117" t="s">
        <v>37</v>
      </c>
      <c r="Q117" t="s">
        <v>1076</v>
      </c>
    </row>
    <row r="118" spans="1:17" hidden="1" x14ac:dyDescent="0.25">
      <c r="A118" t="s">
        <v>1114</v>
      </c>
      <c r="B118" t="s">
        <v>14</v>
      </c>
      <c r="C118" t="s">
        <v>35</v>
      </c>
      <c r="D118" t="s">
        <v>16</v>
      </c>
      <c r="E118">
        <v>15</v>
      </c>
      <c r="F118">
        <f>MAX(-1,3-Tableau1[[#This Row],[Nb possédé (digital)]])</f>
        <v>-1</v>
      </c>
      <c r="G118">
        <v>15</v>
      </c>
      <c r="H118">
        <f>MAX(-1,3-Tableau1[[#This Row],[Possédé (physique)]])</f>
        <v>-1</v>
      </c>
      <c r="I118" t="str">
        <f>IF(Tableau1[[#This Row],[Manque (physique)]]&gt;Tableau1[[#This Row],[Manque (digital)]],"POD",IF(Tableau1[[#This Row],[Manque (digital)]]&gt;Tableau1[[#This Row],[Manque (physique)]],"MarketPlace",""))</f>
        <v/>
      </c>
      <c r="J118" t="s">
        <v>30</v>
      </c>
      <c r="K118" t="s">
        <v>36</v>
      </c>
      <c r="L118" t="s">
        <v>23</v>
      </c>
      <c r="M118" t="s">
        <v>23</v>
      </c>
      <c r="N118" t="s">
        <v>19</v>
      </c>
      <c r="O118" t="s">
        <v>19</v>
      </c>
      <c r="P118" t="s">
        <v>19</v>
      </c>
      <c r="Q118" t="s">
        <v>1115</v>
      </c>
    </row>
    <row r="119" spans="1:17" hidden="1" x14ac:dyDescent="0.25">
      <c r="A119" t="s">
        <v>1019</v>
      </c>
      <c r="B119" t="s">
        <v>14</v>
      </c>
      <c r="C119" t="s">
        <v>35</v>
      </c>
      <c r="D119" t="s">
        <v>16</v>
      </c>
      <c r="E119">
        <v>12</v>
      </c>
      <c r="F119">
        <f>MAX(-1,3-Tableau1[[#This Row],[Nb possédé (digital)]])</f>
        <v>-1</v>
      </c>
      <c r="G119">
        <v>12</v>
      </c>
      <c r="H119">
        <f>MAX(-1,3-Tableau1[[#This Row],[Possédé (physique)]])</f>
        <v>-1</v>
      </c>
      <c r="I119" t="str">
        <f>IF(Tableau1[[#This Row],[Manque (physique)]]&gt;Tableau1[[#This Row],[Manque (digital)]],"POD",IF(Tableau1[[#This Row],[Manque (digital)]]&gt;Tableau1[[#This Row],[Manque (physique)]],"MarketPlace",""))</f>
        <v/>
      </c>
      <c r="J119" t="s">
        <v>30</v>
      </c>
      <c r="K119" t="s">
        <v>51</v>
      </c>
      <c r="L119" t="s">
        <v>23</v>
      </c>
      <c r="M119" t="s">
        <v>52</v>
      </c>
      <c r="N119" t="s">
        <v>19</v>
      </c>
      <c r="O119" t="s">
        <v>52</v>
      </c>
      <c r="P119" t="s">
        <v>19</v>
      </c>
      <c r="Q119" t="s">
        <v>133</v>
      </c>
    </row>
    <row r="120" spans="1:17" hidden="1" x14ac:dyDescent="0.25">
      <c r="A120" t="s">
        <v>1152</v>
      </c>
      <c r="B120" t="s">
        <v>14</v>
      </c>
      <c r="C120" t="s">
        <v>35</v>
      </c>
      <c r="D120" t="s">
        <v>16</v>
      </c>
      <c r="E120">
        <v>5</v>
      </c>
      <c r="F120">
        <f>MAX(-1,3-Tableau1[[#This Row],[Nb possédé (digital)]])</f>
        <v>-1</v>
      </c>
      <c r="G120">
        <v>5</v>
      </c>
      <c r="H120">
        <f>MAX(-1,3-Tableau1[[#This Row],[Possédé (physique)]])</f>
        <v>-1</v>
      </c>
      <c r="I120" t="str">
        <f>IF(Tableau1[[#This Row],[Manque (physique)]]&gt;Tableau1[[#This Row],[Manque (digital)]],"POD",IF(Tableau1[[#This Row],[Manque (digital)]]&gt;Tableau1[[#This Row],[Manque (physique)]],"MarketPlace",""))</f>
        <v/>
      </c>
      <c r="J120" t="s">
        <v>30</v>
      </c>
      <c r="K120" t="s">
        <v>328</v>
      </c>
      <c r="L120" t="s">
        <v>52</v>
      </c>
      <c r="M120" t="s">
        <v>23</v>
      </c>
      <c r="N120" t="s">
        <v>52</v>
      </c>
      <c r="O120" t="s">
        <v>52</v>
      </c>
      <c r="P120" t="s">
        <v>89</v>
      </c>
      <c r="Q120" t="s">
        <v>916</v>
      </c>
    </row>
    <row r="121" spans="1:17" hidden="1" x14ac:dyDescent="0.25">
      <c r="A121" t="s">
        <v>607</v>
      </c>
      <c r="B121" t="s">
        <v>14</v>
      </c>
      <c r="C121" t="s">
        <v>35</v>
      </c>
      <c r="D121" t="s">
        <v>16</v>
      </c>
      <c r="E121">
        <v>16</v>
      </c>
      <c r="F121">
        <f>MAX(-1,3-Tableau1[[#This Row],[Nb possédé (digital)]])</f>
        <v>-1</v>
      </c>
      <c r="G121">
        <v>16</v>
      </c>
      <c r="H121">
        <f>MAX(-1,3-Tableau1[[#This Row],[Possédé (physique)]])</f>
        <v>-1</v>
      </c>
      <c r="I121" t="str">
        <f>IF(Tableau1[[#This Row],[Manque (physique)]]&gt;Tableau1[[#This Row],[Manque (digital)]],"POD",IF(Tableau1[[#This Row],[Manque (digital)]]&gt;Tableau1[[#This Row],[Manque (physique)]],"MarketPlace",""))</f>
        <v/>
      </c>
      <c r="J121" t="s">
        <v>30</v>
      </c>
      <c r="K121" t="s">
        <v>608</v>
      </c>
      <c r="L121" t="s">
        <v>52</v>
      </c>
      <c r="M121" t="s">
        <v>52</v>
      </c>
      <c r="N121" t="s">
        <v>52</v>
      </c>
      <c r="O121" t="s">
        <v>52</v>
      </c>
      <c r="P121" t="s">
        <v>37</v>
      </c>
    </row>
    <row r="122" spans="1:17" hidden="1" x14ac:dyDescent="0.25">
      <c r="A122" t="s">
        <v>34</v>
      </c>
      <c r="B122" t="s">
        <v>14</v>
      </c>
      <c r="C122" t="s">
        <v>35</v>
      </c>
      <c r="D122" t="s">
        <v>16</v>
      </c>
      <c r="E122">
        <v>6</v>
      </c>
      <c r="F122">
        <f>MAX(-1,3-Tableau1[[#This Row],[Nb possédé (digital)]])</f>
        <v>-1</v>
      </c>
      <c r="G122">
        <v>6</v>
      </c>
      <c r="H122">
        <f>MAX(-1,3-Tableau1[[#This Row],[Possédé (physique)]])</f>
        <v>-1</v>
      </c>
      <c r="I122" t="str">
        <f>IF(Tableau1[[#This Row],[Manque (physique)]]&gt;Tableau1[[#This Row],[Manque (digital)]],"POD",IF(Tableau1[[#This Row],[Manque (digital)]]&gt;Tableau1[[#This Row],[Manque (physique)]],"MarketPlace",""))</f>
        <v/>
      </c>
      <c r="J122" t="s">
        <v>30</v>
      </c>
      <c r="K122" t="s">
        <v>36</v>
      </c>
      <c r="L122" t="s">
        <v>37</v>
      </c>
      <c r="M122" t="s">
        <v>37</v>
      </c>
      <c r="N122" t="s">
        <v>37</v>
      </c>
      <c r="O122" t="s">
        <v>37</v>
      </c>
      <c r="P122" t="s">
        <v>37</v>
      </c>
      <c r="Q122" t="s">
        <v>38</v>
      </c>
    </row>
    <row r="123" spans="1:17" hidden="1" x14ac:dyDescent="0.25">
      <c r="A123" t="s">
        <v>140</v>
      </c>
      <c r="B123" t="s">
        <v>14</v>
      </c>
      <c r="C123" t="s">
        <v>35</v>
      </c>
      <c r="D123" t="s">
        <v>16</v>
      </c>
      <c r="E123">
        <v>14</v>
      </c>
      <c r="F123">
        <f>MAX(-1,3-Tableau1[[#This Row],[Nb possédé (digital)]])</f>
        <v>-1</v>
      </c>
      <c r="G123">
        <v>14</v>
      </c>
      <c r="H123">
        <f>MAX(-1,3-Tableau1[[#This Row],[Possédé (physique)]])</f>
        <v>-1</v>
      </c>
      <c r="I123" t="str">
        <f>IF(Tableau1[[#This Row],[Manque (physique)]]&gt;Tableau1[[#This Row],[Manque (digital)]],"POD",IF(Tableau1[[#This Row],[Manque (digital)]]&gt;Tableau1[[#This Row],[Manque (physique)]],"MarketPlace",""))</f>
        <v/>
      </c>
      <c r="J123" t="s">
        <v>30</v>
      </c>
      <c r="K123" t="s">
        <v>141</v>
      </c>
      <c r="L123" t="s">
        <v>37</v>
      </c>
      <c r="M123" t="s">
        <v>37</v>
      </c>
      <c r="N123" t="s">
        <v>23</v>
      </c>
      <c r="O123" t="s">
        <v>23</v>
      </c>
      <c r="P123" t="s">
        <v>23</v>
      </c>
      <c r="Q123" t="s">
        <v>142</v>
      </c>
    </row>
    <row r="124" spans="1:17" hidden="1" x14ac:dyDescent="0.25">
      <c r="A124" t="s">
        <v>996</v>
      </c>
      <c r="B124" t="s">
        <v>14</v>
      </c>
      <c r="C124" t="s">
        <v>35</v>
      </c>
      <c r="D124" t="s">
        <v>16</v>
      </c>
      <c r="E124">
        <v>5</v>
      </c>
      <c r="F124">
        <f>MAX(-1,3-Tableau1[[#This Row],[Nb possédé (digital)]])</f>
        <v>-1</v>
      </c>
      <c r="G124">
        <v>5</v>
      </c>
      <c r="H124">
        <f>MAX(-1,3-Tableau1[[#This Row],[Possédé (physique)]])</f>
        <v>-1</v>
      </c>
      <c r="I124" t="str">
        <f>IF(Tableau1[[#This Row],[Manque (physique)]]&gt;Tableau1[[#This Row],[Manque (digital)]],"POD",IF(Tableau1[[#This Row],[Manque (digital)]]&gt;Tableau1[[#This Row],[Manque (physique)]],"MarketPlace",""))</f>
        <v/>
      </c>
      <c r="J124" t="s">
        <v>30</v>
      </c>
      <c r="K124" t="s">
        <v>997</v>
      </c>
      <c r="L124" t="s">
        <v>39</v>
      </c>
      <c r="M124" t="s">
        <v>39</v>
      </c>
      <c r="N124" t="s">
        <v>101</v>
      </c>
      <c r="O124" t="s">
        <v>101</v>
      </c>
      <c r="P124" t="s">
        <v>101</v>
      </c>
    </row>
    <row r="125" spans="1:17" hidden="1" x14ac:dyDescent="0.25">
      <c r="A125" t="s">
        <v>600</v>
      </c>
      <c r="B125" t="s">
        <v>14</v>
      </c>
      <c r="C125" t="s">
        <v>35</v>
      </c>
      <c r="D125" t="s">
        <v>16</v>
      </c>
      <c r="E125">
        <v>7</v>
      </c>
      <c r="F125">
        <f>MAX(-1,3-Tableau1[[#This Row],[Nb possédé (digital)]])</f>
        <v>-1</v>
      </c>
      <c r="G125">
        <v>7</v>
      </c>
      <c r="H125">
        <f>MAX(-1,3-Tableau1[[#This Row],[Possédé (physique)]])</f>
        <v>-1</v>
      </c>
      <c r="I125" t="str">
        <f>IF(Tableau1[[#This Row],[Manque (physique)]]&gt;Tableau1[[#This Row],[Manque (digital)]],"POD",IF(Tableau1[[#This Row],[Manque (digital)]]&gt;Tableau1[[#This Row],[Manque (physique)]],"MarketPlace",""))</f>
        <v/>
      </c>
      <c r="J125" t="s">
        <v>30</v>
      </c>
      <c r="K125" t="s">
        <v>601</v>
      </c>
      <c r="L125" t="s">
        <v>101</v>
      </c>
      <c r="M125" t="s">
        <v>101</v>
      </c>
      <c r="N125" t="s">
        <v>39</v>
      </c>
      <c r="O125" t="s">
        <v>39</v>
      </c>
      <c r="P125" t="s">
        <v>39</v>
      </c>
      <c r="Q125" t="s">
        <v>602</v>
      </c>
    </row>
    <row r="126" spans="1:17" hidden="1" x14ac:dyDescent="0.25">
      <c r="A126" t="s">
        <v>204</v>
      </c>
      <c r="B126" t="s">
        <v>14</v>
      </c>
      <c r="C126" t="s">
        <v>35</v>
      </c>
      <c r="D126" t="s">
        <v>58</v>
      </c>
      <c r="E126">
        <v>4</v>
      </c>
      <c r="F126">
        <f>MAX(-1,3-Tableau1[[#This Row],[Nb possédé (digital)]])</f>
        <v>-1</v>
      </c>
      <c r="G126">
        <v>4</v>
      </c>
      <c r="H126">
        <f>MAX(-1,3-Tableau1[[#This Row],[Possédé (physique)]])</f>
        <v>-1</v>
      </c>
      <c r="I126" t="str">
        <f>IF(Tableau1[[#This Row],[Manque (physique)]]&gt;Tableau1[[#This Row],[Manque (digital)]],"POD",IF(Tableau1[[#This Row],[Manque (digital)]]&gt;Tableau1[[#This Row],[Manque (physique)]],"MarketPlace",""))</f>
        <v/>
      </c>
      <c r="J126" t="s">
        <v>116</v>
      </c>
      <c r="K126" t="s">
        <v>117</v>
      </c>
      <c r="L126" t="s">
        <v>20</v>
      </c>
      <c r="M126" t="s">
        <v>20</v>
      </c>
      <c r="Q126" t="s">
        <v>205</v>
      </c>
    </row>
    <row r="127" spans="1:17" hidden="1" x14ac:dyDescent="0.25">
      <c r="A127" t="s">
        <v>666</v>
      </c>
      <c r="B127" t="s">
        <v>14</v>
      </c>
      <c r="C127" t="s">
        <v>35</v>
      </c>
      <c r="D127" t="s">
        <v>58</v>
      </c>
      <c r="E127">
        <v>3</v>
      </c>
      <c r="F127">
        <f>MAX(-1,3-Tableau1[[#This Row],[Nb possédé (digital)]])</f>
        <v>0</v>
      </c>
      <c r="G127">
        <v>3</v>
      </c>
      <c r="H127">
        <f>MAX(-1,3-Tableau1[[#This Row],[Possédé (physique)]])</f>
        <v>0</v>
      </c>
      <c r="I127" t="str">
        <f>IF(Tableau1[[#This Row],[Manque (physique)]]&gt;Tableau1[[#This Row],[Manque (digital)]],"POD",IF(Tableau1[[#This Row],[Manque (digital)]]&gt;Tableau1[[#This Row],[Manque (physique)]],"MarketPlace",""))</f>
        <v/>
      </c>
      <c r="J127" t="s">
        <v>116</v>
      </c>
      <c r="K127" t="s">
        <v>117</v>
      </c>
      <c r="L127" t="s">
        <v>20</v>
      </c>
      <c r="M127" t="s">
        <v>20</v>
      </c>
      <c r="Q127" t="s">
        <v>667</v>
      </c>
    </row>
    <row r="128" spans="1:17" hidden="1" x14ac:dyDescent="0.25">
      <c r="A128" t="s">
        <v>676</v>
      </c>
      <c r="B128" t="s">
        <v>14</v>
      </c>
      <c r="C128" t="s">
        <v>35</v>
      </c>
      <c r="D128" t="s">
        <v>58</v>
      </c>
      <c r="E128">
        <v>3</v>
      </c>
      <c r="F128">
        <f>MAX(-1,3-Tableau1[[#This Row],[Nb possédé (digital)]])</f>
        <v>0</v>
      </c>
      <c r="G128">
        <v>3</v>
      </c>
      <c r="H128">
        <f>MAX(-1,3-Tableau1[[#This Row],[Possédé (physique)]])</f>
        <v>0</v>
      </c>
      <c r="I128" t="str">
        <f>IF(Tableau1[[#This Row],[Manque (physique)]]&gt;Tableau1[[#This Row],[Manque (digital)]],"POD",IF(Tableau1[[#This Row],[Manque (digital)]]&gt;Tableau1[[#This Row],[Manque (physique)]],"MarketPlace",""))</f>
        <v/>
      </c>
      <c r="J128" t="s">
        <v>30</v>
      </c>
      <c r="K128" t="s">
        <v>59</v>
      </c>
      <c r="L128" t="s">
        <v>20</v>
      </c>
      <c r="M128" t="s">
        <v>20</v>
      </c>
      <c r="N128" t="s">
        <v>20</v>
      </c>
      <c r="O128" t="s">
        <v>20</v>
      </c>
      <c r="P128" t="s">
        <v>89</v>
      </c>
      <c r="Q128" t="s">
        <v>677</v>
      </c>
    </row>
    <row r="129" spans="1:17" hidden="1" x14ac:dyDescent="0.25">
      <c r="A129" t="s">
        <v>990</v>
      </c>
      <c r="B129" t="s">
        <v>14</v>
      </c>
      <c r="C129" t="s">
        <v>35</v>
      </c>
      <c r="D129" t="s">
        <v>58</v>
      </c>
      <c r="E129">
        <v>3</v>
      </c>
      <c r="F129">
        <f>MAX(-1,3-Tableau1[[#This Row],[Nb possédé (digital)]])</f>
        <v>0</v>
      </c>
      <c r="G129">
        <v>3</v>
      </c>
      <c r="H129">
        <f>MAX(-1,3-Tableau1[[#This Row],[Possédé (physique)]])</f>
        <v>0</v>
      </c>
      <c r="I129" t="str">
        <f>IF(Tableau1[[#This Row],[Manque (physique)]]&gt;Tableau1[[#This Row],[Manque (digital)]],"POD",IF(Tableau1[[#This Row],[Manque (digital)]]&gt;Tableau1[[#This Row],[Manque (physique)]],"MarketPlace",""))</f>
        <v/>
      </c>
      <c r="J129" t="s">
        <v>30</v>
      </c>
      <c r="K129" t="s">
        <v>83</v>
      </c>
      <c r="L129" t="s">
        <v>19</v>
      </c>
      <c r="M129" t="s">
        <v>19</v>
      </c>
      <c r="N129" t="s">
        <v>23</v>
      </c>
      <c r="O129" t="s">
        <v>20</v>
      </c>
      <c r="P129" t="s">
        <v>20</v>
      </c>
      <c r="Q129" t="s">
        <v>991</v>
      </c>
    </row>
    <row r="130" spans="1:17" hidden="1" x14ac:dyDescent="0.25">
      <c r="A130" t="s">
        <v>1150</v>
      </c>
      <c r="B130" t="s">
        <v>14</v>
      </c>
      <c r="C130" t="s">
        <v>35</v>
      </c>
      <c r="D130" t="s">
        <v>58</v>
      </c>
      <c r="E130">
        <v>4</v>
      </c>
      <c r="F130">
        <f>MAX(-1,3-Tableau1[[#This Row],[Nb possédé (digital)]])</f>
        <v>-1</v>
      </c>
      <c r="G130">
        <v>4</v>
      </c>
      <c r="H130">
        <f>MAX(-1,3-Tableau1[[#This Row],[Possédé (physique)]])</f>
        <v>-1</v>
      </c>
      <c r="I130" t="str">
        <f>IF(Tableau1[[#This Row],[Manque (physique)]]&gt;Tableau1[[#This Row],[Manque (digital)]],"POD",IF(Tableau1[[#This Row],[Manque (digital)]]&gt;Tableau1[[#This Row],[Manque (physique)]],"MarketPlace",""))</f>
        <v/>
      </c>
      <c r="J130" t="s">
        <v>30</v>
      </c>
      <c r="K130" t="s">
        <v>83</v>
      </c>
      <c r="L130" t="s">
        <v>19</v>
      </c>
      <c r="M130" t="s">
        <v>23</v>
      </c>
      <c r="N130" t="s">
        <v>19</v>
      </c>
      <c r="O130" t="s">
        <v>19</v>
      </c>
      <c r="P130" t="s">
        <v>19</v>
      </c>
      <c r="Q130" t="s">
        <v>367</v>
      </c>
    </row>
    <row r="131" spans="1:17" hidden="1" x14ac:dyDescent="0.25">
      <c r="A131" t="s">
        <v>1006</v>
      </c>
      <c r="B131" t="s">
        <v>14</v>
      </c>
      <c r="C131" t="s">
        <v>35</v>
      </c>
      <c r="D131" t="s">
        <v>58</v>
      </c>
      <c r="E131">
        <v>3</v>
      </c>
      <c r="F131">
        <f>MAX(-1,3-Tableau1[[#This Row],[Nb possédé (digital)]])</f>
        <v>0</v>
      </c>
      <c r="G131">
        <v>3</v>
      </c>
      <c r="H131">
        <f>MAX(-1,3-Tableau1[[#This Row],[Possédé (physique)]])</f>
        <v>0</v>
      </c>
      <c r="I131" t="str">
        <f>IF(Tableau1[[#This Row],[Manque (physique)]]&gt;Tableau1[[#This Row],[Manque (digital)]],"POD",IF(Tableau1[[#This Row],[Manque (digital)]]&gt;Tableau1[[#This Row],[Manque (physique)]],"MarketPlace",""))</f>
        <v/>
      </c>
      <c r="J131" t="s">
        <v>30</v>
      </c>
      <c r="K131" t="s">
        <v>51</v>
      </c>
      <c r="L131" t="s">
        <v>19</v>
      </c>
      <c r="M131" t="s">
        <v>23</v>
      </c>
      <c r="N131" t="s">
        <v>19</v>
      </c>
      <c r="O131" t="s">
        <v>23</v>
      </c>
      <c r="P131" t="s">
        <v>19</v>
      </c>
      <c r="Q131" t="s">
        <v>763</v>
      </c>
    </row>
    <row r="132" spans="1:17" hidden="1" x14ac:dyDescent="0.25">
      <c r="A132" t="s">
        <v>165</v>
      </c>
      <c r="B132" t="s">
        <v>14</v>
      </c>
      <c r="C132" t="s">
        <v>35</v>
      </c>
      <c r="D132" t="s">
        <v>58</v>
      </c>
      <c r="E132">
        <v>6</v>
      </c>
      <c r="F132">
        <f>MAX(-1,3-Tableau1[[#This Row],[Nb possédé (digital)]])</f>
        <v>-1</v>
      </c>
      <c r="G132">
        <v>6</v>
      </c>
      <c r="H132">
        <f>MAX(-1,3-Tableau1[[#This Row],[Possédé (physique)]])</f>
        <v>-1</v>
      </c>
      <c r="I132" t="str">
        <f>IF(Tableau1[[#This Row],[Manque (physique)]]&gt;Tableau1[[#This Row],[Manque (digital)]],"POD",IF(Tableau1[[#This Row],[Manque (digital)]]&gt;Tableau1[[#This Row],[Manque (physique)]],"MarketPlace",""))</f>
        <v/>
      </c>
      <c r="J132" t="s">
        <v>116</v>
      </c>
      <c r="K132" t="s">
        <v>117</v>
      </c>
      <c r="L132" t="s">
        <v>23</v>
      </c>
      <c r="M132" t="s">
        <v>23</v>
      </c>
      <c r="Q132" t="s">
        <v>166</v>
      </c>
    </row>
    <row r="133" spans="1:17" hidden="1" x14ac:dyDescent="0.25">
      <c r="A133" t="s">
        <v>878</v>
      </c>
      <c r="B133" t="s">
        <v>14</v>
      </c>
      <c r="C133" t="s">
        <v>35</v>
      </c>
      <c r="D133" t="s">
        <v>58</v>
      </c>
      <c r="E133">
        <v>6</v>
      </c>
      <c r="F133">
        <f>MAX(-1,3-Tableau1[[#This Row],[Nb possédé (digital)]])</f>
        <v>-1</v>
      </c>
      <c r="G133">
        <v>6</v>
      </c>
      <c r="H133">
        <f>MAX(-1,3-Tableau1[[#This Row],[Possédé (physique)]])</f>
        <v>-1</v>
      </c>
      <c r="I133" t="str">
        <f>IF(Tableau1[[#This Row],[Manque (physique)]]&gt;Tableau1[[#This Row],[Manque (digital)]],"POD",IF(Tableau1[[#This Row],[Manque (digital)]]&gt;Tableau1[[#This Row],[Manque (physique)]],"MarketPlace",""))</f>
        <v/>
      </c>
      <c r="J133" t="s">
        <v>268</v>
      </c>
      <c r="K133" t="s">
        <v>269</v>
      </c>
      <c r="L133" t="s">
        <v>23</v>
      </c>
      <c r="M133" t="s">
        <v>23</v>
      </c>
      <c r="Q133" t="s">
        <v>879</v>
      </c>
    </row>
    <row r="134" spans="1:17" hidden="1" x14ac:dyDescent="0.25">
      <c r="A134" t="s">
        <v>987</v>
      </c>
      <c r="B134" t="s">
        <v>14</v>
      </c>
      <c r="C134" t="s">
        <v>35</v>
      </c>
      <c r="D134" t="s">
        <v>58</v>
      </c>
      <c r="E134">
        <v>3</v>
      </c>
      <c r="F134">
        <f>MAX(-1,3-Tableau1[[#This Row],[Nb possédé (digital)]])</f>
        <v>0</v>
      </c>
      <c r="G134">
        <v>3</v>
      </c>
      <c r="H134">
        <f>MAX(-1,3-Tableau1[[#This Row],[Possédé (physique)]])</f>
        <v>0</v>
      </c>
      <c r="I134" t="str">
        <f>IF(Tableau1[[#This Row],[Manque (physique)]]&gt;Tableau1[[#This Row],[Manque (digital)]],"POD",IF(Tableau1[[#This Row],[Manque (digital)]]&gt;Tableau1[[#This Row],[Manque (physique)]],"MarketPlace",""))</f>
        <v/>
      </c>
      <c r="J134" t="s">
        <v>30</v>
      </c>
      <c r="K134" t="s">
        <v>83</v>
      </c>
      <c r="L134" t="s">
        <v>23</v>
      </c>
      <c r="M134" t="s">
        <v>23</v>
      </c>
      <c r="N134" t="s">
        <v>20</v>
      </c>
      <c r="O134" t="s">
        <v>52</v>
      </c>
      <c r="P134" t="s">
        <v>52</v>
      </c>
      <c r="Q134" t="s">
        <v>988</v>
      </c>
    </row>
    <row r="135" spans="1:17" hidden="1" x14ac:dyDescent="0.25">
      <c r="A135" t="s">
        <v>1151</v>
      </c>
      <c r="B135" t="s">
        <v>14</v>
      </c>
      <c r="C135" t="s">
        <v>35</v>
      </c>
      <c r="D135" t="s">
        <v>58</v>
      </c>
      <c r="E135">
        <v>5</v>
      </c>
      <c r="F135">
        <f>MAX(-1,3-Tableau1[[#This Row],[Nb possédé (digital)]])</f>
        <v>-1</v>
      </c>
      <c r="G135">
        <v>5</v>
      </c>
      <c r="H135">
        <f>MAX(-1,3-Tableau1[[#This Row],[Possédé (physique)]])</f>
        <v>-1</v>
      </c>
      <c r="I135" t="str">
        <f>IF(Tableau1[[#This Row],[Manque (physique)]]&gt;Tableau1[[#This Row],[Manque (digital)]],"POD",IF(Tableau1[[#This Row],[Manque (digital)]]&gt;Tableau1[[#This Row],[Manque (physique)]],"MarketPlace",""))</f>
        <v/>
      </c>
      <c r="J135" t="s">
        <v>30</v>
      </c>
      <c r="K135" t="s">
        <v>83</v>
      </c>
      <c r="L135" t="s">
        <v>23</v>
      </c>
      <c r="M135" t="s">
        <v>52</v>
      </c>
      <c r="N135" t="s">
        <v>23</v>
      </c>
      <c r="O135" t="s">
        <v>23</v>
      </c>
      <c r="P135" t="s">
        <v>23</v>
      </c>
      <c r="Q135" t="s">
        <v>496</v>
      </c>
    </row>
    <row r="136" spans="1:17" hidden="1" x14ac:dyDescent="0.25">
      <c r="A136" t="s">
        <v>388</v>
      </c>
      <c r="B136" t="s">
        <v>14</v>
      </c>
      <c r="C136" t="s">
        <v>35</v>
      </c>
      <c r="D136" t="s">
        <v>58</v>
      </c>
      <c r="E136">
        <v>3</v>
      </c>
      <c r="F136">
        <f>MAX(-1,3-Tableau1[[#This Row],[Nb possédé (digital)]])</f>
        <v>0</v>
      </c>
      <c r="G136">
        <v>3</v>
      </c>
      <c r="H136">
        <f>MAX(-1,3-Tableau1[[#This Row],[Possédé (physique)]])</f>
        <v>0</v>
      </c>
      <c r="I136" t="str">
        <f>IF(Tableau1[[#This Row],[Manque (physique)]]&gt;Tableau1[[#This Row],[Manque (digital)]],"POD",IF(Tableau1[[#This Row],[Manque (digital)]]&gt;Tableau1[[#This Row],[Manque (physique)]],"MarketPlace",""))</f>
        <v/>
      </c>
      <c r="J136" t="s">
        <v>17</v>
      </c>
      <c r="K136" t="s">
        <v>97</v>
      </c>
      <c r="L136" t="s">
        <v>52</v>
      </c>
      <c r="M136" t="s">
        <v>52</v>
      </c>
      <c r="Q136" t="s">
        <v>389</v>
      </c>
    </row>
    <row r="137" spans="1:17" hidden="1" x14ac:dyDescent="0.25">
      <c r="A137" t="s">
        <v>501</v>
      </c>
      <c r="B137" t="s">
        <v>14</v>
      </c>
      <c r="C137" t="s">
        <v>35</v>
      </c>
      <c r="D137" t="s">
        <v>58</v>
      </c>
      <c r="E137">
        <v>6</v>
      </c>
      <c r="F137">
        <f>MAX(-1,3-Tableau1[[#This Row],[Nb possédé (digital)]])</f>
        <v>-1</v>
      </c>
      <c r="G137">
        <v>6</v>
      </c>
      <c r="H137">
        <f>MAX(-1,3-Tableau1[[#This Row],[Possédé (physique)]])</f>
        <v>-1</v>
      </c>
      <c r="I137" t="str">
        <f>IF(Tableau1[[#This Row],[Manque (physique)]]&gt;Tableau1[[#This Row],[Manque (digital)]],"POD",IF(Tableau1[[#This Row],[Manque (digital)]]&gt;Tableau1[[#This Row],[Manque (physique)]],"MarketPlace",""))</f>
        <v/>
      </c>
      <c r="J137" t="s">
        <v>17</v>
      </c>
      <c r="K137" t="s">
        <v>153</v>
      </c>
      <c r="L137" t="s">
        <v>52</v>
      </c>
      <c r="M137" t="s">
        <v>52</v>
      </c>
      <c r="Q137" t="s">
        <v>502</v>
      </c>
    </row>
    <row r="138" spans="1:17" hidden="1" x14ac:dyDescent="0.25">
      <c r="A138" t="s">
        <v>57</v>
      </c>
      <c r="B138" t="s">
        <v>14</v>
      </c>
      <c r="C138" t="s">
        <v>35</v>
      </c>
      <c r="D138" t="s">
        <v>58</v>
      </c>
      <c r="E138">
        <v>4</v>
      </c>
      <c r="F138">
        <f>MAX(-1,3-Tableau1[[#This Row],[Nb possédé (digital)]])</f>
        <v>-1</v>
      </c>
      <c r="G138">
        <v>4</v>
      </c>
      <c r="H138">
        <f>MAX(-1,3-Tableau1[[#This Row],[Possédé (physique)]])</f>
        <v>-1</v>
      </c>
      <c r="I138" t="str">
        <f>IF(Tableau1[[#This Row],[Manque (physique)]]&gt;Tableau1[[#This Row],[Manque (digital)]],"POD",IF(Tableau1[[#This Row],[Manque (digital)]]&gt;Tableau1[[#This Row],[Manque (physique)]],"MarketPlace",""))</f>
        <v/>
      </c>
      <c r="J138" t="s">
        <v>30</v>
      </c>
      <c r="K138" t="s">
        <v>59</v>
      </c>
      <c r="L138" t="s">
        <v>52</v>
      </c>
      <c r="M138" t="s">
        <v>37</v>
      </c>
      <c r="N138" t="s">
        <v>23</v>
      </c>
      <c r="O138" t="s">
        <v>23</v>
      </c>
      <c r="P138" t="s">
        <v>37</v>
      </c>
      <c r="Q138" t="s">
        <v>60</v>
      </c>
    </row>
    <row r="139" spans="1:17" hidden="1" x14ac:dyDescent="0.25">
      <c r="A139" t="s">
        <v>78</v>
      </c>
      <c r="B139" t="s">
        <v>14</v>
      </c>
      <c r="C139" t="s">
        <v>35</v>
      </c>
      <c r="D139" t="s">
        <v>58</v>
      </c>
      <c r="E139">
        <v>3</v>
      </c>
      <c r="F139">
        <f>MAX(-1,3-Tableau1[[#This Row],[Nb possédé (digital)]])</f>
        <v>0</v>
      </c>
      <c r="G139">
        <v>3</v>
      </c>
      <c r="H139">
        <f>MAX(-1,3-Tableau1[[#This Row],[Possédé (physique)]])</f>
        <v>0</v>
      </c>
      <c r="I139" t="str">
        <f>IF(Tableau1[[#This Row],[Manque (physique)]]&gt;Tableau1[[#This Row],[Manque (digital)]],"POD",IF(Tableau1[[#This Row],[Manque (digital)]]&gt;Tableau1[[#This Row],[Manque (physique)]],"MarketPlace",""))</f>
        <v/>
      </c>
      <c r="J139" t="s">
        <v>30</v>
      </c>
      <c r="K139" t="s">
        <v>79</v>
      </c>
      <c r="L139" t="s">
        <v>37</v>
      </c>
      <c r="M139" t="s">
        <v>37</v>
      </c>
      <c r="N139" t="s">
        <v>52</v>
      </c>
      <c r="O139" t="s">
        <v>23</v>
      </c>
      <c r="P139" t="s">
        <v>23</v>
      </c>
      <c r="Q139" t="s">
        <v>80</v>
      </c>
    </row>
    <row r="140" spans="1:17" hidden="1" x14ac:dyDescent="0.25">
      <c r="A140" t="s">
        <v>1153</v>
      </c>
      <c r="B140" t="s">
        <v>14</v>
      </c>
      <c r="C140" t="s">
        <v>35</v>
      </c>
      <c r="D140" t="s">
        <v>58</v>
      </c>
      <c r="E140">
        <v>3</v>
      </c>
      <c r="F140">
        <f>MAX(-1,3-Tableau1[[#This Row],[Nb possédé (digital)]])</f>
        <v>0</v>
      </c>
      <c r="G140">
        <v>3</v>
      </c>
      <c r="H140">
        <f>MAX(-1,3-Tableau1[[#This Row],[Possédé (physique)]])</f>
        <v>0</v>
      </c>
      <c r="I140" t="str">
        <f>IF(Tableau1[[#This Row],[Manque (physique)]]&gt;Tableau1[[#This Row],[Manque (digital)]],"POD",IF(Tableau1[[#This Row],[Manque (digital)]]&gt;Tableau1[[#This Row],[Manque (physique)]],"MarketPlace",""))</f>
        <v/>
      </c>
      <c r="J140" t="s">
        <v>30</v>
      </c>
      <c r="K140" t="s">
        <v>51</v>
      </c>
      <c r="L140" t="s">
        <v>380</v>
      </c>
      <c r="M140" t="s">
        <v>380</v>
      </c>
      <c r="N140" t="s">
        <v>23</v>
      </c>
      <c r="O140" t="s">
        <v>39</v>
      </c>
      <c r="P140" t="s">
        <v>39</v>
      </c>
      <c r="Q140" t="s">
        <v>1139</v>
      </c>
    </row>
    <row r="141" spans="1:17" hidden="1" x14ac:dyDescent="0.25">
      <c r="A141" t="s">
        <v>1552</v>
      </c>
      <c r="B141" t="s">
        <v>14</v>
      </c>
      <c r="C141" t="s">
        <v>35</v>
      </c>
      <c r="D141" t="s">
        <v>1496</v>
      </c>
      <c r="E141">
        <v>8</v>
      </c>
      <c r="F141">
        <f>MAX(-1,3-Tableau1[[#This Row],[Nb possédé (digital)]])</f>
        <v>-1</v>
      </c>
      <c r="G141">
        <v>8</v>
      </c>
      <c r="H141">
        <f>MAX(-1,3-Tableau1[[#This Row],[Possédé (physique)]])</f>
        <v>-1</v>
      </c>
      <c r="I141" t="str">
        <f>IF(Tableau1[[#This Row],[Manque (physique)]]&gt;Tableau1[[#This Row],[Manque (digital)]],"POD",IF(Tableau1[[#This Row],[Manque (digital)]]&gt;Tableau1[[#This Row],[Manque (physique)]],"MarketPlace",""))</f>
        <v/>
      </c>
      <c r="J141" t="s">
        <v>116</v>
      </c>
      <c r="K141" t="s">
        <v>117</v>
      </c>
      <c r="L141" t="s">
        <v>20</v>
      </c>
      <c r="M141" t="s">
        <v>20</v>
      </c>
      <c r="Q141" t="s">
        <v>1717</v>
      </c>
    </row>
    <row r="142" spans="1:17" hidden="1" x14ac:dyDescent="0.25">
      <c r="A142" t="s">
        <v>1594</v>
      </c>
      <c r="B142" t="s">
        <v>14</v>
      </c>
      <c r="C142" t="s">
        <v>35</v>
      </c>
      <c r="D142" t="s">
        <v>1496</v>
      </c>
      <c r="E142">
        <v>9</v>
      </c>
      <c r="F142">
        <f>MAX(-1,3-Tableau1[[#This Row],[Nb possédé (digital)]])</f>
        <v>-1</v>
      </c>
      <c r="G142">
        <v>9</v>
      </c>
      <c r="H142">
        <f>MAX(-1,3-Tableau1[[#This Row],[Possédé (physique)]])</f>
        <v>-1</v>
      </c>
      <c r="I142" t="str">
        <f>IF(Tableau1[[#This Row],[Manque (physique)]]&gt;Tableau1[[#This Row],[Manque (digital)]],"POD",IF(Tableau1[[#This Row],[Manque (digital)]]&gt;Tableau1[[#This Row],[Manque (physique)]],"MarketPlace",""))</f>
        <v/>
      </c>
      <c r="J142" t="s">
        <v>30</v>
      </c>
      <c r="K142" t="s">
        <v>1814</v>
      </c>
      <c r="L142" t="s">
        <v>20</v>
      </c>
      <c r="M142" t="s">
        <v>19</v>
      </c>
      <c r="N142" t="s">
        <v>20</v>
      </c>
      <c r="O142" t="s">
        <v>20</v>
      </c>
      <c r="P142" t="s">
        <v>89</v>
      </c>
      <c r="Q142" t="s">
        <v>1812</v>
      </c>
    </row>
    <row r="143" spans="1:17" hidden="1" x14ac:dyDescent="0.25">
      <c r="A143" t="s">
        <v>1564</v>
      </c>
      <c r="B143" t="s">
        <v>14</v>
      </c>
      <c r="C143" t="s">
        <v>35</v>
      </c>
      <c r="D143" t="s">
        <v>1496</v>
      </c>
      <c r="E143">
        <v>7</v>
      </c>
      <c r="F143">
        <f>MAX(-1,3-Tableau1[[#This Row],[Nb possédé (digital)]])</f>
        <v>-1</v>
      </c>
      <c r="G143">
        <v>7</v>
      </c>
      <c r="H143">
        <f>MAX(-1,3-Tableau1[[#This Row],[Possédé (physique)]])</f>
        <v>-1</v>
      </c>
      <c r="I143" t="str">
        <f>IF(Tableau1[[#This Row],[Manque (physique)]]&gt;Tableau1[[#This Row],[Manque (digital)]],"POD",IF(Tableau1[[#This Row],[Manque (digital)]]&gt;Tableau1[[#This Row],[Manque (physique)]],"MarketPlace",""))</f>
        <v/>
      </c>
      <c r="J143" t="s">
        <v>30</v>
      </c>
      <c r="K143" t="s">
        <v>83</v>
      </c>
      <c r="L143" t="s">
        <v>19</v>
      </c>
      <c r="M143" t="s">
        <v>19</v>
      </c>
      <c r="N143" t="s">
        <v>23</v>
      </c>
      <c r="O143" t="s">
        <v>19</v>
      </c>
      <c r="P143" t="s">
        <v>19</v>
      </c>
      <c r="Q143" t="s">
        <v>1744</v>
      </c>
    </row>
    <row r="144" spans="1:17" hidden="1" x14ac:dyDescent="0.25">
      <c r="A144" t="s">
        <v>1573</v>
      </c>
      <c r="B144" t="s">
        <v>14</v>
      </c>
      <c r="C144" t="s">
        <v>35</v>
      </c>
      <c r="D144" t="s">
        <v>1496</v>
      </c>
      <c r="E144">
        <v>7</v>
      </c>
      <c r="F144">
        <f>MAX(-1,3-Tableau1[[#This Row],[Nb possédé (digital)]])</f>
        <v>-1</v>
      </c>
      <c r="G144">
        <v>7</v>
      </c>
      <c r="H144">
        <f>MAX(-1,3-Tableau1[[#This Row],[Possédé (physique)]])</f>
        <v>-1</v>
      </c>
      <c r="I144" t="str">
        <f>IF(Tableau1[[#This Row],[Manque (physique)]]&gt;Tableau1[[#This Row],[Manque (digital)]],"POD",IF(Tableau1[[#This Row],[Manque (digital)]]&gt;Tableau1[[#This Row],[Manque (physique)]],"MarketPlace",""))</f>
        <v/>
      </c>
      <c r="J144" t="s">
        <v>17</v>
      </c>
      <c r="K144" t="s">
        <v>201</v>
      </c>
      <c r="L144" t="s">
        <v>19</v>
      </c>
      <c r="M144" t="s">
        <v>19</v>
      </c>
      <c r="Q144" t="s">
        <v>1763</v>
      </c>
    </row>
    <row r="145" spans="1:17" hidden="1" x14ac:dyDescent="0.25">
      <c r="A145" t="s">
        <v>1534</v>
      </c>
      <c r="B145" t="s">
        <v>14</v>
      </c>
      <c r="C145" t="s">
        <v>35</v>
      </c>
      <c r="D145" t="s">
        <v>1496</v>
      </c>
      <c r="E145">
        <v>11</v>
      </c>
      <c r="F145">
        <f>MAX(-1,3-Tableau1[[#This Row],[Nb possédé (digital)]])</f>
        <v>-1</v>
      </c>
      <c r="G145">
        <v>11</v>
      </c>
      <c r="H145">
        <f>MAX(-1,3-Tableau1[[#This Row],[Possédé (physique)]])</f>
        <v>-1</v>
      </c>
      <c r="I145" t="str">
        <f>IF(Tableau1[[#This Row],[Manque (physique)]]&gt;Tableau1[[#This Row],[Manque (digital)]],"POD",IF(Tableau1[[#This Row],[Manque (digital)]]&gt;Tableau1[[#This Row],[Manque (physique)]],"MarketPlace",""))</f>
        <v/>
      </c>
      <c r="J145" t="s">
        <v>30</v>
      </c>
      <c r="K145" t="s">
        <v>83</v>
      </c>
      <c r="L145" t="s">
        <v>19</v>
      </c>
      <c r="M145" t="s">
        <v>23</v>
      </c>
      <c r="N145" t="s">
        <v>23</v>
      </c>
      <c r="O145" t="s">
        <v>89</v>
      </c>
      <c r="P145" t="s">
        <v>23</v>
      </c>
      <c r="Q145" t="s">
        <v>1679</v>
      </c>
    </row>
    <row r="146" spans="1:17" hidden="1" x14ac:dyDescent="0.25">
      <c r="A146" t="s">
        <v>1578</v>
      </c>
      <c r="B146" t="s">
        <v>14</v>
      </c>
      <c r="C146" t="s">
        <v>35</v>
      </c>
      <c r="D146" t="s">
        <v>1496</v>
      </c>
      <c r="E146">
        <v>9</v>
      </c>
      <c r="F146">
        <f>MAX(-1,3-Tableau1[[#This Row],[Nb possédé (digital)]])</f>
        <v>-1</v>
      </c>
      <c r="G146">
        <v>9</v>
      </c>
      <c r="H146">
        <f>MAX(-1,3-Tableau1[[#This Row],[Possédé (physique)]])</f>
        <v>-1</v>
      </c>
      <c r="I146" t="str">
        <f>IF(Tableau1[[#This Row],[Manque (physique)]]&gt;Tableau1[[#This Row],[Manque (digital)]],"POD",IF(Tableau1[[#This Row],[Manque (digital)]]&gt;Tableau1[[#This Row],[Manque (physique)]],"MarketPlace",""))</f>
        <v/>
      </c>
      <c r="J146" t="s">
        <v>30</v>
      </c>
      <c r="K146" t="s">
        <v>68</v>
      </c>
      <c r="L146" t="s">
        <v>19</v>
      </c>
      <c r="M146" t="s">
        <v>23</v>
      </c>
      <c r="N146" t="s">
        <v>89</v>
      </c>
      <c r="O146" t="s">
        <v>89</v>
      </c>
      <c r="P146" t="s">
        <v>23</v>
      </c>
      <c r="Q146" t="s">
        <v>1775</v>
      </c>
    </row>
    <row r="147" spans="1:17" hidden="1" x14ac:dyDescent="0.25">
      <c r="A147" t="s">
        <v>1593</v>
      </c>
      <c r="B147" t="s">
        <v>14</v>
      </c>
      <c r="C147" t="s">
        <v>35</v>
      </c>
      <c r="D147" t="s">
        <v>1496</v>
      </c>
      <c r="E147">
        <v>9</v>
      </c>
      <c r="F147">
        <f>MAX(-1,3-Tableau1[[#This Row],[Nb possédé (digital)]])</f>
        <v>-1</v>
      </c>
      <c r="G147">
        <v>9</v>
      </c>
      <c r="H147">
        <f>MAX(-1,3-Tableau1[[#This Row],[Possédé (physique)]])</f>
        <v>-1</v>
      </c>
      <c r="I147" t="str">
        <f>IF(Tableau1[[#This Row],[Manque (physique)]]&gt;Tableau1[[#This Row],[Manque (digital)]],"POD",IF(Tableau1[[#This Row],[Manque (digital)]]&gt;Tableau1[[#This Row],[Manque (physique)]],"MarketPlace",""))</f>
        <v/>
      </c>
      <c r="J147" t="s">
        <v>30</v>
      </c>
      <c r="K147" t="s">
        <v>83</v>
      </c>
      <c r="L147" t="s">
        <v>19</v>
      </c>
      <c r="M147" t="s">
        <v>23</v>
      </c>
      <c r="N147" t="s">
        <v>89</v>
      </c>
      <c r="O147" t="s">
        <v>23</v>
      </c>
      <c r="P147" t="s">
        <v>23</v>
      </c>
      <c r="Q147" t="s">
        <v>1812</v>
      </c>
    </row>
    <row r="148" spans="1:17" hidden="1" x14ac:dyDescent="0.25">
      <c r="A148" t="s">
        <v>1500</v>
      </c>
      <c r="B148" t="s">
        <v>14</v>
      </c>
      <c r="C148" t="s">
        <v>35</v>
      </c>
      <c r="D148" t="s">
        <v>1496</v>
      </c>
      <c r="E148">
        <v>11</v>
      </c>
      <c r="F148">
        <f>MAX(-1,3-Tableau1[[#This Row],[Nb possédé (digital)]])</f>
        <v>-1</v>
      </c>
      <c r="G148">
        <v>11</v>
      </c>
      <c r="H148">
        <f>MAX(-1,3-Tableau1[[#This Row],[Possédé (physique)]])</f>
        <v>-1</v>
      </c>
      <c r="I148" t="str">
        <f>IF(Tableau1[[#This Row],[Manque (physique)]]&gt;Tableau1[[#This Row],[Manque (digital)]],"POD",IF(Tableau1[[#This Row],[Manque (digital)]]&gt;Tableau1[[#This Row],[Manque (physique)]],"MarketPlace",""))</f>
        <v/>
      </c>
      <c r="J148" t="s">
        <v>30</v>
      </c>
      <c r="K148" t="s">
        <v>1606</v>
      </c>
      <c r="L148" t="s">
        <v>19</v>
      </c>
      <c r="M148" t="s">
        <v>52</v>
      </c>
      <c r="N148" t="s">
        <v>19</v>
      </c>
      <c r="O148" t="s">
        <v>19</v>
      </c>
      <c r="P148" t="s">
        <v>19</v>
      </c>
      <c r="Q148" t="s">
        <v>1607</v>
      </c>
    </row>
    <row r="149" spans="1:17" hidden="1" x14ac:dyDescent="0.25">
      <c r="A149" t="s">
        <v>1558</v>
      </c>
      <c r="B149" t="s">
        <v>14</v>
      </c>
      <c r="C149" t="s">
        <v>35</v>
      </c>
      <c r="D149" t="s">
        <v>1496</v>
      </c>
      <c r="E149">
        <v>6</v>
      </c>
      <c r="F149">
        <f>MAX(-1,3-Tableau1[[#This Row],[Nb possédé (digital)]])</f>
        <v>-1</v>
      </c>
      <c r="G149">
        <v>6</v>
      </c>
      <c r="H149">
        <f>MAX(-1,3-Tableau1[[#This Row],[Possédé (physique)]])</f>
        <v>-1</v>
      </c>
      <c r="I149" t="str">
        <f>IF(Tableau1[[#This Row],[Manque (physique)]]&gt;Tableau1[[#This Row],[Manque (digital)]],"POD",IF(Tableau1[[#This Row],[Manque (digital)]]&gt;Tableau1[[#This Row],[Manque (physique)]],"MarketPlace",""))</f>
        <v/>
      </c>
      <c r="J149" t="s">
        <v>30</v>
      </c>
      <c r="K149" t="s">
        <v>252</v>
      </c>
      <c r="L149" t="s">
        <v>19</v>
      </c>
      <c r="M149" t="s">
        <v>52</v>
      </c>
      <c r="N149" t="s">
        <v>20</v>
      </c>
      <c r="O149" t="s">
        <v>23</v>
      </c>
      <c r="P149" t="s">
        <v>20</v>
      </c>
      <c r="Q149" t="s">
        <v>1732</v>
      </c>
    </row>
    <row r="150" spans="1:17" hidden="1" x14ac:dyDescent="0.25">
      <c r="A150" t="s">
        <v>1565</v>
      </c>
      <c r="B150" t="s">
        <v>14</v>
      </c>
      <c r="C150" t="s">
        <v>35</v>
      </c>
      <c r="D150" t="s">
        <v>1496</v>
      </c>
      <c r="E150">
        <v>9</v>
      </c>
      <c r="F150">
        <f>MAX(-1,3-Tableau1[[#This Row],[Nb possédé (digital)]])</f>
        <v>-1</v>
      </c>
      <c r="G150">
        <v>9</v>
      </c>
      <c r="H150">
        <f>MAX(-1,3-Tableau1[[#This Row],[Possédé (physique)]])</f>
        <v>-1</v>
      </c>
      <c r="I150" t="str">
        <f>IF(Tableau1[[#This Row],[Manque (physique)]]&gt;Tableau1[[#This Row],[Manque (digital)]],"POD",IF(Tableau1[[#This Row],[Manque (digital)]]&gt;Tableau1[[#This Row],[Manque (physique)]],"MarketPlace",""))</f>
        <v/>
      </c>
      <c r="J150" t="s">
        <v>17</v>
      </c>
      <c r="K150" t="s">
        <v>153</v>
      </c>
      <c r="L150" t="s">
        <v>19</v>
      </c>
      <c r="M150" t="s">
        <v>52</v>
      </c>
      <c r="Q150" t="s">
        <v>1746</v>
      </c>
    </row>
    <row r="151" spans="1:17" hidden="1" x14ac:dyDescent="0.25">
      <c r="A151" t="s">
        <v>1507</v>
      </c>
      <c r="B151" t="s">
        <v>14</v>
      </c>
      <c r="C151" t="s">
        <v>35</v>
      </c>
      <c r="D151" t="s">
        <v>1496</v>
      </c>
      <c r="E151">
        <v>11</v>
      </c>
      <c r="F151">
        <f>MAX(-1,3-Tableau1[[#This Row],[Nb possédé (digital)]])</f>
        <v>-1</v>
      </c>
      <c r="G151">
        <v>11</v>
      </c>
      <c r="H151">
        <f>MAX(-1,3-Tableau1[[#This Row],[Possédé (physique)]])</f>
        <v>-1</v>
      </c>
      <c r="I151" t="str">
        <f>IF(Tableau1[[#This Row],[Manque (physique)]]&gt;Tableau1[[#This Row],[Manque (digital)]],"POD",IF(Tableau1[[#This Row],[Manque (digital)]]&gt;Tableau1[[#This Row],[Manque (physique)]],"MarketPlace",""))</f>
        <v/>
      </c>
      <c r="J151" t="s">
        <v>30</v>
      </c>
      <c r="K151" t="s">
        <v>1623</v>
      </c>
      <c r="L151" t="s">
        <v>23</v>
      </c>
      <c r="M151" t="s">
        <v>19</v>
      </c>
      <c r="N151" t="s">
        <v>23</v>
      </c>
      <c r="O151" t="s">
        <v>19</v>
      </c>
      <c r="P151" t="s">
        <v>23</v>
      </c>
      <c r="Q151" t="s">
        <v>1624</v>
      </c>
    </row>
    <row r="152" spans="1:17" hidden="1" x14ac:dyDescent="0.25">
      <c r="A152" t="s">
        <v>1518</v>
      </c>
      <c r="B152" t="s">
        <v>14</v>
      </c>
      <c r="C152" t="s">
        <v>35</v>
      </c>
      <c r="D152" t="s">
        <v>1496</v>
      </c>
      <c r="E152">
        <v>10</v>
      </c>
      <c r="F152">
        <f>MAX(-1,3-Tableau1[[#This Row],[Nb possédé (digital)]])</f>
        <v>-1</v>
      </c>
      <c r="G152">
        <v>10</v>
      </c>
      <c r="H152">
        <f>MAX(-1,3-Tableau1[[#This Row],[Possédé (physique)]])</f>
        <v>-1</v>
      </c>
      <c r="I152" t="str">
        <f>IF(Tableau1[[#This Row],[Manque (physique)]]&gt;Tableau1[[#This Row],[Manque (digital)]],"POD",IF(Tableau1[[#This Row],[Manque (digital)]]&gt;Tableau1[[#This Row],[Manque (physique)]],"MarketPlace",""))</f>
        <v/>
      </c>
      <c r="J152" t="s">
        <v>30</v>
      </c>
      <c r="K152" t="s">
        <v>252</v>
      </c>
      <c r="L152" t="s">
        <v>23</v>
      </c>
      <c r="M152" t="s">
        <v>23</v>
      </c>
      <c r="N152" t="s">
        <v>23</v>
      </c>
      <c r="O152" t="s">
        <v>23</v>
      </c>
      <c r="P152" t="s">
        <v>19</v>
      </c>
      <c r="Q152" t="s">
        <v>1644</v>
      </c>
    </row>
    <row r="153" spans="1:17" hidden="1" x14ac:dyDescent="0.25">
      <c r="A153" t="s">
        <v>1525</v>
      </c>
      <c r="B153" t="s">
        <v>14</v>
      </c>
      <c r="C153" t="s">
        <v>35</v>
      </c>
      <c r="D153" t="s">
        <v>1496</v>
      </c>
      <c r="E153">
        <v>7</v>
      </c>
      <c r="F153">
        <f>MAX(-1,3-Tableau1[[#This Row],[Nb possédé (digital)]])</f>
        <v>-1</v>
      </c>
      <c r="G153">
        <v>7</v>
      </c>
      <c r="H153">
        <f>MAX(-1,3-Tableau1[[#This Row],[Possédé (physique)]])</f>
        <v>-1</v>
      </c>
      <c r="I153" t="str">
        <f>IF(Tableau1[[#This Row],[Manque (physique)]]&gt;Tableau1[[#This Row],[Manque (digital)]],"POD",IF(Tableau1[[#This Row],[Manque (digital)]]&gt;Tableau1[[#This Row],[Manque (physique)]],"MarketPlace",""))</f>
        <v/>
      </c>
      <c r="J153" t="s">
        <v>30</v>
      </c>
      <c r="K153" t="s">
        <v>83</v>
      </c>
      <c r="L153" t="s">
        <v>23</v>
      </c>
      <c r="M153" t="s">
        <v>23</v>
      </c>
      <c r="N153" t="s">
        <v>52</v>
      </c>
      <c r="O153" t="s">
        <v>52</v>
      </c>
      <c r="P153" t="s">
        <v>20</v>
      </c>
      <c r="Q153" t="s">
        <v>1660</v>
      </c>
    </row>
    <row r="154" spans="1:17" hidden="1" x14ac:dyDescent="0.25">
      <c r="A154" t="s">
        <v>1535</v>
      </c>
      <c r="B154" t="s">
        <v>14</v>
      </c>
      <c r="C154" t="s">
        <v>35</v>
      </c>
      <c r="D154" t="s">
        <v>1496</v>
      </c>
      <c r="E154">
        <v>11</v>
      </c>
      <c r="F154">
        <f>MAX(-1,3-Tableau1[[#This Row],[Nb possédé (digital)]])</f>
        <v>-1</v>
      </c>
      <c r="G154">
        <v>11</v>
      </c>
      <c r="H154">
        <f>MAX(-1,3-Tableau1[[#This Row],[Possédé (physique)]])</f>
        <v>-1</v>
      </c>
      <c r="I154" t="str">
        <f>IF(Tableau1[[#This Row],[Manque (physique)]]&gt;Tableau1[[#This Row],[Manque (digital)]],"POD",IF(Tableau1[[#This Row],[Manque (digital)]]&gt;Tableau1[[#This Row],[Manque (physique)]],"MarketPlace",""))</f>
        <v/>
      </c>
      <c r="J154" t="s">
        <v>30</v>
      </c>
      <c r="K154" t="s">
        <v>79</v>
      </c>
      <c r="L154" t="s">
        <v>23</v>
      </c>
      <c r="M154" t="s">
        <v>23</v>
      </c>
      <c r="N154" t="s">
        <v>23</v>
      </c>
      <c r="O154" t="s">
        <v>23</v>
      </c>
      <c r="P154" t="s">
        <v>23</v>
      </c>
      <c r="Q154" t="s">
        <v>1681</v>
      </c>
    </row>
    <row r="155" spans="1:17" hidden="1" x14ac:dyDescent="0.25">
      <c r="A155" t="s">
        <v>1566</v>
      </c>
      <c r="B155" t="s">
        <v>14</v>
      </c>
      <c r="C155" t="s">
        <v>35</v>
      </c>
      <c r="D155" t="s">
        <v>1496</v>
      </c>
      <c r="E155">
        <v>12</v>
      </c>
      <c r="F155">
        <f>MAX(-1,3-Tableau1[[#This Row],[Nb possédé (digital)]])</f>
        <v>-1</v>
      </c>
      <c r="G155">
        <v>12</v>
      </c>
      <c r="H155">
        <f>MAX(-1,3-Tableau1[[#This Row],[Possédé (physique)]])</f>
        <v>-1</v>
      </c>
      <c r="I155" t="str">
        <f>IF(Tableau1[[#This Row],[Manque (physique)]]&gt;Tableau1[[#This Row],[Manque (digital)]],"POD",IF(Tableau1[[#This Row],[Manque (digital)]]&gt;Tableau1[[#This Row],[Manque (physique)]],"MarketPlace",""))</f>
        <v/>
      </c>
      <c r="J155" t="s">
        <v>30</v>
      </c>
      <c r="K155" t="s">
        <v>68</v>
      </c>
      <c r="L155" t="s">
        <v>23</v>
      </c>
      <c r="M155" t="s">
        <v>37</v>
      </c>
      <c r="N155" t="s">
        <v>19</v>
      </c>
      <c r="O155" t="s">
        <v>19</v>
      </c>
      <c r="P155" t="s">
        <v>52</v>
      </c>
      <c r="Q155" t="s">
        <v>1749</v>
      </c>
    </row>
    <row r="156" spans="1:17" hidden="1" x14ac:dyDescent="0.25">
      <c r="A156" t="s">
        <v>1561</v>
      </c>
      <c r="B156" t="s">
        <v>14</v>
      </c>
      <c r="C156" t="s">
        <v>35</v>
      </c>
      <c r="D156" t="s">
        <v>1496</v>
      </c>
      <c r="E156">
        <v>12</v>
      </c>
      <c r="F156">
        <f>MAX(-1,3-Tableau1[[#This Row],[Nb possédé (digital)]])</f>
        <v>-1</v>
      </c>
      <c r="G156">
        <v>12</v>
      </c>
      <c r="H156">
        <f>MAX(-1,3-Tableau1[[#This Row],[Possédé (physique)]])</f>
        <v>-1</v>
      </c>
      <c r="I156" t="str">
        <f>IF(Tableau1[[#This Row],[Manque (physique)]]&gt;Tableau1[[#This Row],[Manque (digital)]],"POD",IF(Tableau1[[#This Row],[Manque (digital)]]&gt;Tableau1[[#This Row],[Manque (physique)]],"MarketPlace",""))</f>
        <v/>
      </c>
      <c r="J156" t="s">
        <v>30</v>
      </c>
      <c r="K156" t="s">
        <v>481</v>
      </c>
      <c r="L156" t="s">
        <v>52</v>
      </c>
      <c r="M156" t="s">
        <v>52</v>
      </c>
      <c r="N156" t="s">
        <v>37</v>
      </c>
      <c r="O156" t="s">
        <v>23</v>
      </c>
      <c r="P156" t="s">
        <v>37</v>
      </c>
      <c r="Q156" t="s">
        <v>1740</v>
      </c>
    </row>
    <row r="157" spans="1:17" hidden="1" x14ac:dyDescent="0.25">
      <c r="A157" t="s">
        <v>1039</v>
      </c>
      <c r="B157" t="s">
        <v>14</v>
      </c>
      <c r="C157" t="s">
        <v>35</v>
      </c>
      <c r="D157" t="s">
        <v>29</v>
      </c>
      <c r="E157">
        <v>5</v>
      </c>
      <c r="F157">
        <f>MAX(-1,3-Tableau1[[#This Row],[Nb possédé (digital)]])</f>
        <v>-1</v>
      </c>
      <c r="G157">
        <v>5</v>
      </c>
      <c r="H157">
        <f>MAX(-1,3-Tableau1[[#This Row],[Possédé (physique)]])</f>
        <v>-1</v>
      </c>
      <c r="I157" t="str">
        <f>IF(Tableau1[[#This Row],[Manque (physique)]]&gt;Tableau1[[#This Row],[Manque (digital)]],"POD",IF(Tableau1[[#This Row],[Manque (digital)]]&gt;Tableau1[[#This Row],[Manque (physique)]],"MarketPlace",""))</f>
        <v/>
      </c>
      <c r="J157" t="s">
        <v>17</v>
      </c>
      <c r="K157" t="s">
        <v>18</v>
      </c>
      <c r="L157" t="s">
        <v>20</v>
      </c>
      <c r="M157" t="s">
        <v>19</v>
      </c>
      <c r="Q157" t="s">
        <v>1040</v>
      </c>
    </row>
    <row r="158" spans="1:17" hidden="1" x14ac:dyDescent="0.25">
      <c r="A158" t="s">
        <v>867</v>
      </c>
      <c r="B158" t="s">
        <v>14</v>
      </c>
      <c r="C158" t="s">
        <v>35</v>
      </c>
      <c r="D158" t="s">
        <v>29</v>
      </c>
      <c r="E158">
        <v>6</v>
      </c>
      <c r="F158">
        <f>MAX(-1,3-Tableau1[[#This Row],[Nb possédé (digital)]])</f>
        <v>-1</v>
      </c>
      <c r="G158">
        <v>6</v>
      </c>
      <c r="H158">
        <f>MAX(-1,3-Tableau1[[#This Row],[Possédé (physique)]])</f>
        <v>-1</v>
      </c>
      <c r="I158" t="str">
        <f>IF(Tableau1[[#This Row],[Manque (physique)]]&gt;Tableau1[[#This Row],[Manque (digital)]],"POD",IF(Tableau1[[#This Row],[Manque (digital)]]&gt;Tableau1[[#This Row],[Manque (physique)]],"MarketPlace",""))</f>
        <v/>
      </c>
      <c r="J158" t="s">
        <v>30</v>
      </c>
      <c r="K158" t="s">
        <v>868</v>
      </c>
      <c r="L158" t="s">
        <v>20</v>
      </c>
      <c r="M158" t="s">
        <v>23</v>
      </c>
      <c r="N158" t="s">
        <v>20</v>
      </c>
      <c r="O158" t="s">
        <v>20</v>
      </c>
      <c r="P158" t="s">
        <v>20</v>
      </c>
    </row>
    <row r="159" spans="1:17" hidden="1" x14ac:dyDescent="0.25">
      <c r="A159" t="s">
        <v>361</v>
      </c>
      <c r="B159" t="s">
        <v>14</v>
      </c>
      <c r="C159" t="s">
        <v>35</v>
      </c>
      <c r="D159" t="s">
        <v>29</v>
      </c>
      <c r="E159">
        <v>7</v>
      </c>
      <c r="F159">
        <f>MAX(-1,3-Tableau1[[#This Row],[Nb possédé (digital)]])</f>
        <v>-1</v>
      </c>
      <c r="G159">
        <v>7</v>
      </c>
      <c r="H159">
        <f>MAX(-1,3-Tableau1[[#This Row],[Possédé (physique)]])</f>
        <v>-1</v>
      </c>
      <c r="I159" t="str">
        <f>IF(Tableau1[[#This Row],[Manque (physique)]]&gt;Tableau1[[#This Row],[Manque (digital)]],"POD",IF(Tableau1[[#This Row],[Manque (digital)]]&gt;Tableau1[[#This Row],[Manque (physique)]],"MarketPlace",""))</f>
        <v/>
      </c>
      <c r="J159" t="s">
        <v>17</v>
      </c>
      <c r="K159" t="s">
        <v>153</v>
      </c>
      <c r="L159" t="s">
        <v>19</v>
      </c>
      <c r="M159" t="s">
        <v>19</v>
      </c>
      <c r="Q159" t="s">
        <v>362</v>
      </c>
    </row>
    <row r="160" spans="1:17" hidden="1" x14ac:dyDescent="0.25">
      <c r="A160" t="s">
        <v>430</v>
      </c>
      <c r="B160" t="s">
        <v>14</v>
      </c>
      <c r="C160" t="s">
        <v>35</v>
      </c>
      <c r="D160" t="s">
        <v>29</v>
      </c>
      <c r="E160">
        <v>7</v>
      </c>
      <c r="F160">
        <f>MAX(-1,3-Tableau1[[#This Row],[Nb possédé (digital)]])</f>
        <v>-1</v>
      </c>
      <c r="G160">
        <v>7</v>
      </c>
      <c r="H160">
        <f>MAX(-1,3-Tableau1[[#This Row],[Possédé (physique)]])</f>
        <v>-1</v>
      </c>
      <c r="I160" t="str">
        <f>IF(Tableau1[[#This Row],[Manque (physique)]]&gt;Tableau1[[#This Row],[Manque (digital)]],"POD",IF(Tableau1[[#This Row],[Manque (digital)]]&gt;Tableau1[[#This Row],[Manque (physique)]],"MarketPlace",""))</f>
        <v/>
      </c>
      <c r="J160" t="s">
        <v>30</v>
      </c>
      <c r="K160" t="s">
        <v>68</v>
      </c>
      <c r="L160" t="s">
        <v>19</v>
      </c>
      <c r="M160" t="s">
        <v>19</v>
      </c>
      <c r="N160" t="s">
        <v>20</v>
      </c>
      <c r="O160" t="s">
        <v>20</v>
      </c>
      <c r="P160" t="s">
        <v>23</v>
      </c>
      <c r="Q160" t="s">
        <v>431</v>
      </c>
    </row>
    <row r="161" spans="1:17" hidden="1" x14ac:dyDescent="0.25">
      <c r="A161" t="s">
        <v>701</v>
      </c>
      <c r="B161" t="s">
        <v>14</v>
      </c>
      <c r="C161" t="s">
        <v>35</v>
      </c>
      <c r="D161" t="s">
        <v>29</v>
      </c>
      <c r="E161">
        <v>6</v>
      </c>
      <c r="F161">
        <f>MAX(-1,3-Tableau1[[#This Row],[Nb possédé (digital)]])</f>
        <v>-1</v>
      </c>
      <c r="G161">
        <v>6</v>
      </c>
      <c r="H161">
        <f>MAX(-1,3-Tableau1[[#This Row],[Possédé (physique)]])</f>
        <v>-1</v>
      </c>
      <c r="I161" t="str">
        <f>IF(Tableau1[[#This Row],[Manque (physique)]]&gt;Tableau1[[#This Row],[Manque (digital)]],"POD",IF(Tableau1[[#This Row],[Manque (digital)]]&gt;Tableau1[[#This Row],[Manque (physique)]],"MarketPlace",""))</f>
        <v/>
      </c>
      <c r="J161" t="s">
        <v>268</v>
      </c>
      <c r="K161" t="s">
        <v>438</v>
      </c>
      <c r="L161" t="s">
        <v>19</v>
      </c>
      <c r="M161" t="s">
        <v>19</v>
      </c>
      <c r="Q161" t="s">
        <v>702</v>
      </c>
    </row>
    <row r="162" spans="1:17" hidden="1" x14ac:dyDescent="0.25">
      <c r="A162" t="s">
        <v>718</v>
      </c>
      <c r="B162" t="s">
        <v>14</v>
      </c>
      <c r="C162" t="s">
        <v>35</v>
      </c>
      <c r="D162" t="s">
        <v>29</v>
      </c>
      <c r="E162">
        <v>6</v>
      </c>
      <c r="F162">
        <f>MAX(-1,3-Tableau1[[#This Row],[Nb possédé (digital)]])</f>
        <v>-1</v>
      </c>
      <c r="G162">
        <v>6</v>
      </c>
      <c r="H162">
        <f>MAX(-1,3-Tableau1[[#This Row],[Possédé (physique)]])</f>
        <v>-1</v>
      </c>
      <c r="I162" t="str">
        <f>IF(Tableau1[[#This Row],[Manque (physique)]]&gt;Tableau1[[#This Row],[Manque (digital)]],"POD",IF(Tableau1[[#This Row],[Manque (digital)]]&gt;Tableau1[[#This Row],[Manque (physique)]],"MarketPlace",""))</f>
        <v/>
      </c>
      <c r="J162" t="s">
        <v>116</v>
      </c>
      <c r="K162" t="s">
        <v>117</v>
      </c>
      <c r="L162" t="s">
        <v>19</v>
      </c>
      <c r="M162" t="s">
        <v>19</v>
      </c>
      <c r="Q162" t="s">
        <v>719</v>
      </c>
    </row>
    <row r="163" spans="1:17" hidden="1" x14ac:dyDescent="0.25">
      <c r="A163" t="s">
        <v>857</v>
      </c>
      <c r="B163" t="s">
        <v>14</v>
      </c>
      <c r="C163" t="s">
        <v>35</v>
      </c>
      <c r="D163" t="s">
        <v>29</v>
      </c>
      <c r="E163">
        <v>7</v>
      </c>
      <c r="F163">
        <f>MAX(-1,3-Tableau1[[#This Row],[Nb possédé (digital)]])</f>
        <v>-1</v>
      </c>
      <c r="G163">
        <v>7</v>
      </c>
      <c r="H163">
        <f>MAX(-1,3-Tableau1[[#This Row],[Possédé (physique)]])</f>
        <v>-1</v>
      </c>
      <c r="I163" t="str">
        <f>IF(Tableau1[[#This Row],[Manque (physique)]]&gt;Tableau1[[#This Row],[Manque (digital)]],"POD",IF(Tableau1[[#This Row],[Manque (digital)]]&gt;Tableau1[[#This Row],[Manque (physique)]],"MarketPlace",""))</f>
        <v/>
      </c>
      <c r="J163" t="s">
        <v>30</v>
      </c>
      <c r="K163" t="s">
        <v>83</v>
      </c>
      <c r="L163" t="s">
        <v>19</v>
      </c>
      <c r="M163" t="s">
        <v>19</v>
      </c>
      <c r="N163" t="s">
        <v>20</v>
      </c>
      <c r="O163" t="s">
        <v>20</v>
      </c>
      <c r="P163" t="s">
        <v>20</v>
      </c>
      <c r="Q163" t="s">
        <v>858</v>
      </c>
    </row>
    <row r="164" spans="1:17" hidden="1" x14ac:dyDescent="0.25">
      <c r="A164" t="s">
        <v>892</v>
      </c>
      <c r="B164" t="s">
        <v>14</v>
      </c>
      <c r="C164" t="s">
        <v>35</v>
      </c>
      <c r="D164" t="s">
        <v>29</v>
      </c>
      <c r="E164">
        <v>6</v>
      </c>
      <c r="F164">
        <f>MAX(-1,3-Tableau1[[#This Row],[Nb possédé (digital)]])</f>
        <v>-1</v>
      </c>
      <c r="G164">
        <v>6</v>
      </c>
      <c r="H164">
        <f>MAX(-1,3-Tableau1[[#This Row],[Possédé (physique)]])</f>
        <v>-1</v>
      </c>
      <c r="I164" t="str">
        <f>IF(Tableau1[[#This Row],[Manque (physique)]]&gt;Tableau1[[#This Row],[Manque (digital)]],"POD",IF(Tableau1[[#This Row],[Manque (digital)]]&gt;Tableau1[[#This Row],[Manque (physique)]],"MarketPlace",""))</f>
        <v/>
      </c>
      <c r="J164" t="s">
        <v>30</v>
      </c>
      <c r="K164" t="s">
        <v>83</v>
      </c>
      <c r="L164" t="s">
        <v>19</v>
      </c>
      <c r="M164" t="s">
        <v>19</v>
      </c>
      <c r="N164" t="s">
        <v>20</v>
      </c>
      <c r="O164" t="s">
        <v>20</v>
      </c>
      <c r="P164" t="s">
        <v>20</v>
      </c>
      <c r="Q164" t="s">
        <v>893</v>
      </c>
    </row>
    <row r="165" spans="1:17" hidden="1" x14ac:dyDescent="0.25">
      <c r="A165" t="s">
        <v>1010</v>
      </c>
      <c r="B165" t="s">
        <v>14</v>
      </c>
      <c r="C165" t="s">
        <v>35</v>
      </c>
      <c r="D165" t="s">
        <v>29</v>
      </c>
      <c r="E165">
        <v>5</v>
      </c>
      <c r="F165">
        <f>MAX(-1,3-Tableau1[[#This Row],[Nb possédé (digital)]])</f>
        <v>-1</v>
      </c>
      <c r="G165">
        <v>5</v>
      </c>
      <c r="H165">
        <f>MAX(-1,3-Tableau1[[#This Row],[Possédé (physique)]])</f>
        <v>-1</v>
      </c>
      <c r="I165" t="str">
        <f>IF(Tableau1[[#This Row],[Manque (physique)]]&gt;Tableau1[[#This Row],[Manque (digital)]],"POD",IF(Tableau1[[#This Row],[Manque (digital)]]&gt;Tableau1[[#This Row],[Manque (physique)]],"MarketPlace",""))</f>
        <v/>
      </c>
      <c r="J165" t="s">
        <v>30</v>
      </c>
      <c r="K165" t="s">
        <v>557</v>
      </c>
      <c r="L165" t="s">
        <v>23</v>
      </c>
      <c r="M165" t="s">
        <v>23</v>
      </c>
      <c r="N165" t="s">
        <v>19</v>
      </c>
      <c r="O165" t="s">
        <v>19</v>
      </c>
      <c r="P165" t="s">
        <v>19</v>
      </c>
      <c r="Q165" t="s">
        <v>1011</v>
      </c>
    </row>
    <row r="166" spans="1:17" hidden="1" x14ac:dyDescent="0.25">
      <c r="A166" t="s">
        <v>247</v>
      </c>
      <c r="B166" t="s">
        <v>14</v>
      </c>
      <c r="C166" t="s">
        <v>35</v>
      </c>
      <c r="D166" t="s">
        <v>29</v>
      </c>
      <c r="E166">
        <v>7</v>
      </c>
      <c r="F166">
        <f>MAX(-1,3-Tableau1[[#This Row],[Nb possédé (digital)]])</f>
        <v>-1</v>
      </c>
      <c r="G166">
        <v>7</v>
      </c>
      <c r="H166">
        <f>MAX(-1,3-Tableau1[[#This Row],[Possédé (physique)]])</f>
        <v>-1</v>
      </c>
      <c r="I166" t="str">
        <f>IF(Tableau1[[#This Row],[Manque (physique)]]&gt;Tableau1[[#This Row],[Manque (digital)]],"POD",IF(Tableau1[[#This Row],[Manque (digital)]]&gt;Tableau1[[#This Row],[Manque (physique)]],"MarketPlace",""))</f>
        <v/>
      </c>
      <c r="J166" t="s">
        <v>30</v>
      </c>
      <c r="K166" t="s">
        <v>68</v>
      </c>
      <c r="L166" t="s">
        <v>23</v>
      </c>
      <c r="M166" t="s">
        <v>37</v>
      </c>
      <c r="N166" t="s">
        <v>19</v>
      </c>
      <c r="O166" t="s">
        <v>52</v>
      </c>
      <c r="P166" t="s">
        <v>19</v>
      </c>
      <c r="Q166" t="s">
        <v>248</v>
      </c>
    </row>
    <row r="167" spans="1:17" hidden="1" x14ac:dyDescent="0.25">
      <c r="A167" t="s">
        <v>542</v>
      </c>
      <c r="B167" t="s">
        <v>14</v>
      </c>
      <c r="C167" t="s">
        <v>35</v>
      </c>
      <c r="D167" t="s">
        <v>29</v>
      </c>
      <c r="E167">
        <v>6</v>
      </c>
      <c r="F167">
        <f>MAX(-1,3-Tableau1[[#This Row],[Nb possédé (digital)]])</f>
        <v>-1</v>
      </c>
      <c r="G167">
        <v>6</v>
      </c>
      <c r="H167">
        <f>MAX(-1,3-Tableau1[[#This Row],[Possédé (physique)]])</f>
        <v>-1</v>
      </c>
      <c r="I167" t="str">
        <f>IF(Tableau1[[#This Row],[Manque (physique)]]&gt;Tableau1[[#This Row],[Manque (digital)]],"POD",IF(Tableau1[[#This Row],[Manque (digital)]]&gt;Tableau1[[#This Row],[Manque (physique)]],"MarketPlace",""))</f>
        <v/>
      </c>
      <c r="J167" t="s">
        <v>30</v>
      </c>
      <c r="K167" t="s">
        <v>51</v>
      </c>
      <c r="L167" t="s">
        <v>52</v>
      </c>
      <c r="M167" t="s">
        <v>52</v>
      </c>
      <c r="N167" t="s">
        <v>52</v>
      </c>
      <c r="O167" t="s">
        <v>19</v>
      </c>
      <c r="P167" t="s">
        <v>52</v>
      </c>
    </row>
    <row r="168" spans="1:17" hidden="1" x14ac:dyDescent="0.25">
      <c r="A168" t="s">
        <v>93</v>
      </c>
      <c r="B168" t="s">
        <v>14</v>
      </c>
      <c r="C168" t="s">
        <v>35</v>
      </c>
      <c r="D168" t="s">
        <v>29</v>
      </c>
      <c r="E168">
        <v>7</v>
      </c>
      <c r="F168">
        <f>MAX(-1,3-Tableau1[[#This Row],[Nb possédé (digital)]])</f>
        <v>-1</v>
      </c>
      <c r="G168">
        <v>7</v>
      </c>
      <c r="H168">
        <f>MAX(-1,3-Tableau1[[#This Row],[Possédé (physique)]])</f>
        <v>-1</v>
      </c>
      <c r="I168" t="str">
        <f>IF(Tableau1[[#This Row],[Manque (physique)]]&gt;Tableau1[[#This Row],[Manque (digital)]],"POD",IF(Tableau1[[#This Row],[Manque (digital)]]&gt;Tableau1[[#This Row],[Manque (physique)]],"MarketPlace",""))</f>
        <v/>
      </c>
      <c r="J168" t="s">
        <v>30</v>
      </c>
      <c r="K168" t="s">
        <v>94</v>
      </c>
      <c r="L168" t="s">
        <v>37</v>
      </c>
      <c r="M168" t="s">
        <v>37</v>
      </c>
      <c r="N168" t="s">
        <v>37</v>
      </c>
      <c r="O168" t="s">
        <v>52</v>
      </c>
      <c r="P168" t="s">
        <v>37</v>
      </c>
      <c r="Q168" t="s">
        <v>95</v>
      </c>
    </row>
    <row r="169" spans="1:17" hidden="1" x14ac:dyDescent="0.25">
      <c r="A169" t="s">
        <v>327</v>
      </c>
      <c r="B169" t="s">
        <v>14</v>
      </c>
      <c r="C169" t="s">
        <v>35</v>
      </c>
      <c r="D169" t="s">
        <v>29</v>
      </c>
      <c r="E169">
        <v>7</v>
      </c>
      <c r="F169">
        <f>MAX(-1,3-Tableau1[[#This Row],[Nb possédé (digital)]])</f>
        <v>-1</v>
      </c>
      <c r="G169">
        <v>7</v>
      </c>
      <c r="H169">
        <f>MAX(-1,3-Tableau1[[#This Row],[Possédé (physique)]])</f>
        <v>-1</v>
      </c>
      <c r="I169" t="str">
        <f>IF(Tableau1[[#This Row],[Manque (physique)]]&gt;Tableau1[[#This Row],[Manque (digital)]],"POD",IF(Tableau1[[#This Row],[Manque (digital)]]&gt;Tableau1[[#This Row],[Manque (physique)]],"MarketPlace",""))</f>
        <v/>
      </c>
      <c r="J169" t="s">
        <v>30</v>
      </c>
      <c r="K169" t="s">
        <v>328</v>
      </c>
      <c r="L169" t="s">
        <v>39</v>
      </c>
      <c r="M169" t="s">
        <v>39</v>
      </c>
      <c r="N169" t="s">
        <v>37</v>
      </c>
      <c r="O169" t="s">
        <v>37</v>
      </c>
      <c r="P169" t="s">
        <v>23</v>
      </c>
      <c r="Q169" t="s">
        <v>329</v>
      </c>
    </row>
    <row r="170" spans="1:17" hidden="1" x14ac:dyDescent="0.25">
      <c r="A170" t="s">
        <v>551</v>
      </c>
      <c r="B170" t="s">
        <v>14</v>
      </c>
      <c r="C170" t="s">
        <v>35</v>
      </c>
      <c r="D170" t="s">
        <v>29</v>
      </c>
      <c r="E170">
        <v>7</v>
      </c>
      <c r="F170">
        <f>MAX(-1,3-Tableau1[[#This Row],[Nb possédé (digital)]])</f>
        <v>-1</v>
      </c>
      <c r="G170">
        <v>7</v>
      </c>
      <c r="H170">
        <f>MAX(-1,3-Tableau1[[#This Row],[Possédé (physique)]])</f>
        <v>-1</v>
      </c>
      <c r="I170" t="str">
        <f>IF(Tableau1[[#This Row],[Manque (physique)]]&gt;Tableau1[[#This Row],[Manque (digital)]],"POD",IF(Tableau1[[#This Row],[Manque (digital)]]&gt;Tableau1[[#This Row],[Manque (physique)]],"MarketPlace",""))</f>
        <v/>
      </c>
      <c r="J170" t="s">
        <v>30</v>
      </c>
      <c r="K170" t="s">
        <v>552</v>
      </c>
      <c r="L170" t="s">
        <v>39</v>
      </c>
      <c r="M170" t="s">
        <v>39</v>
      </c>
      <c r="N170" t="s">
        <v>89</v>
      </c>
      <c r="O170" t="s">
        <v>89</v>
      </c>
      <c r="P170" t="s">
        <v>89</v>
      </c>
      <c r="Q170" t="s">
        <v>553</v>
      </c>
    </row>
    <row r="171" spans="1:17" hidden="1" x14ac:dyDescent="0.25">
      <c r="A171" t="s">
        <v>1072</v>
      </c>
      <c r="B171" t="s">
        <v>14</v>
      </c>
      <c r="C171" t="s">
        <v>35</v>
      </c>
      <c r="D171" t="s">
        <v>29</v>
      </c>
      <c r="E171">
        <v>6</v>
      </c>
      <c r="F171">
        <f>MAX(-1,3-Tableau1[[#This Row],[Nb possédé (digital)]])</f>
        <v>-1</v>
      </c>
      <c r="G171">
        <v>6</v>
      </c>
      <c r="H171">
        <f>MAX(-1,3-Tableau1[[#This Row],[Possédé (physique)]])</f>
        <v>-1</v>
      </c>
      <c r="I171" t="str">
        <f>IF(Tableau1[[#This Row],[Manque (physique)]]&gt;Tableau1[[#This Row],[Manque (digital)]],"POD",IF(Tableau1[[#This Row],[Manque (digital)]]&gt;Tableau1[[#This Row],[Manque (physique)]],"MarketPlace",""))</f>
        <v/>
      </c>
      <c r="J171" t="s">
        <v>30</v>
      </c>
      <c r="K171" t="s">
        <v>83</v>
      </c>
      <c r="L171" t="s">
        <v>101</v>
      </c>
      <c r="M171" t="s">
        <v>101</v>
      </c>
      <c r="N171" t="s">
        <v>39</v>
      </c>
      <c r="O171" t="s">
        <v>39</v>
      </c>
      <c r="P171" t="s">
        <v>39</v>
      </c>
      <c r="Q171" t="s">
        <v>1073</v>
      </c>
    </row>
    <row r="172" spans="1:17" hidden="1" x14ac:dyDescent="0.25">
      <c r="A172" t="s">
        <v>1190</v>
      </c>
      <c r="B172" t="s">
        <v>14</v>
      </c>
      <c r="C172" t="s">
        <v>35</v>
      </c>
      <c r="D172" t="s">
        <v>1156</v>
      </c>
      <c r="E172">
        <v>6</v>
      </c>
      <c r="F172">
        <f>MAX(-1,3-Tableau1[[#This Row],[Nb possédé (digital)]])</f>
        <v>-1</v>
      </c>
      <c r="G172">
        <v>6</v>
      </c>
      <c r="H172">
        <f>MAX(-1,3-Tableau1[[#This Row],[Possédé (physique)]])</f>
        <v>-1</v>
      </c>
      <c r="I172" t="str">
        <f>IF(Tableau1[[#This Row],[Manque (physique)]]&gt;Tableau1[[#This Row],[Manque (digital)]],"POD",IF(Tableau1[[#This Row],[Manque (digital)]]&gt;Tableau1[[#This Row],[Manque (physique)]],"MarketPlace",""))</f>
        <v/>
      </c>
      <c r="J172" t="s">
        <v>30</v>
      </c>
      <c r="K172" t="s">
        <v>79</v>
      </c>
      <c r="L172" t="s">
        <v>20</v>
      </c>
      <c r="M172" t="s">
        <v>20</v>
      </c>
      <c r="N172" t="s">
        <v>89</v>
      </c>
      <c r="O172" t="s">
        <v>89</v>
      </c>
      <c r="P172" t="s">
        <v>20</v>
      </c>
      <c r="Q172" t="s">
        <v>1339</v>
      </c>
    </row>
    <row r="173" spans="1:17" hidden="1" x14ac:dyDescent="0.25">
      <c r="A173" t="s">
        <v>1239</v>
      </c>
      <c r="B173" t="s">
        <v>14</v>
      </c>
      <c r="C173" t="s">
        <v>35</v>
      </c>
      <c r="D173" t="s">
        <v>1156</v>
      </c>
      <c r="E173">
        <v>6</v>
      </c>
      <c r="F173">
        <f>MAX(-1,3-Tableau1[[#This Row],[Nb possédé (digital)]])</f>
        <v>-1</v>
      </c>
      <c r="G173">
        <v>6</v>
      </c>
      <c r="H173">
        <f>MAX(-1,3-Tableau1[[#This Row],[Possédé (physique)]])</f>
        <v>-1</v>
      </c>
      <c r="I173" t="str">
        <f>IF(Tableau1[[#This Row],[Manque (physique)]]&gt;Tableau1[[#This Row],[Manque (digital)]],"POD",IF(Tableau1[[#This Row],[Manque (digital)]]&gt;Tableau1[[#This Row],[Manque (physique)]],"MarketPlace",""))</f>
        <v/>
      </c>
      <c r="J173" t="s">
        <v>17</v>
      </c>
      <c r="K173" t="s">
        <v>1442</v>
      </c>
      <c r="L173" t="s">
        <v>20</v>
      </c>
      <c r="M173" t="s">
        <v>19</v>
      </c>
      <c r="Q173" t="s">
        <v>1443</v>
      </c>
    </row>
    <row r="174" spans="1:17" hidden="1" x14ac:dyDescent="0.25">
      <c r="A174" t="s">
        <v>1170</v>
      </c>
      <c r="B174" t="s">
        <v>14</v>
      </c>
      <c r="C174" t="s">
        <v>35</v>
      </c>
      <c r="D174" t="s">
        <v>1156</v>
      </c>
      <c r="E174">
        <v>6</v>
      </c>
      <c r="F174">
        <f>MAX(-1,3-Tableau1[[#This Row],[Nb possédé (digital)]])</f>
        <v>-1</v>
      </c>
      <c r="G174">
        <v>7</v>
      </c>
      <c r="H174">
        <f>MAX(-1,3-Tableau1[[#This Row],[Possédé (physique)]])</f>
        <v>-1</v>
      </c>
      <c r="I174" t="str">
        <f>IF(Tableau1[[#This Row],[Manque (physique)]]&gt;Tableau1[[#This Row],[Manque (digital)]],"POD",IF(Tableau1[[#This Row],[Manque (digital)]]&gt;Tableau1[[#This Row],[Manque (physique)]],"MarketPlace",""))</f>
        <v/>
      </c>
      <c r="J174" t="s">
        <v>268</v>
      </c>
      <c r="K174" t="s">
        <v>269</v>
      </c>
      <c r="L174" t="s">
        <v>19</v>
      </c>
      <c r="M174" t="s">
        <v>19</v>
      </c>
      <c r="Q174" t="s">
        <v>1294</v>
      </c>
    </row>
    <row r="175" spans="1:17" hidden="1" x14ac:dyDescent="0.25">
      <c r="A175" t="s">
        <v>1192</v>
      </c>
      <c r="B175" t="s">
        <v>14</v>
      </c>
      <c r="C175" t="s">
        <v>35</v>
      </c>
      <c r="D175" t="s">
        <v>1156</v>
      </c>
      <c r="E175">
        <v>6</v>
      </c>
      <c r="F175">
        <f>MAX(-1,3-Tableau1[[#This Row],[Nb possédé (digital)]])</f>
        <v>-1</v>
      </c>
      <c r="G175">
        <v>6</v>
      </c>
      <c r="H175">
        <f>MAX(-1,3-Tableau1[[#This Row],[Possédé (physique)]])</f>
        <v>-1</v>
      </c>
      <c r="I175" t="str">
        <f>IF(Tableau1[[#This Row],[Manque (physique)]]&gt;Tableau1[[#This Row],[Manque (digital)]],"POD",IF(Tableau1[[#This Row],[Manque (digital)]]&gt;Tableau1[[#This Row],[Manque (physique)]],"MarketPlace",""))</f>
        <v/>
      </c>
      <c r="J175" t="s">
        <v>30</v>
      </c>
      <c r="K175" t="s">
        <v>557</v>
      </c>
      <c r="L175" t="s">
        <v>19</v>
      </c>
      <c r="M175" t="s">
        <v>19</v>
      </c>
      <c r="N175" t="s">
        <v>23</v>
      </c>
      <c r="O175" t="s">
        <v>89</v>
      </c>
      <c r="P175" t="s">
        <v>19</v>
      </c>
      <c r="Q175" t="s">
        <v>1343</v>
      </c>
    </row>
    <row r="176" spans="1:17" hidden="1" x14ac:dyDescent="0.25">
      <c r="A176" t="s">
        <v>1233</v>
      </c>
      <c r="B176" t="s">
        <v>14</v>
      </c>
      <c r="C176" t="s">
        <v>35</v>
      </c>
      <c r="D176" t="s">
        <v>1156</v>
      </c>
      <c r="E176">
        <v>6</v>
      </c>
      <c r="F176">
        <f>MAX(-1,3-Tableau1[[#This Row],[Nb possédé (digital)]])</f>
        <v>-1</v>
      </c>
      <c r="G176">
        <v>6</v>
      </c>
      <c r="H176">
        <f>MAX(-1,3-Tableau1[[#This Row],[Possédé (physique)]])</f>
        <v>-1</v>
      </c>
      <c r="I176" t="str">
        <f>IF(Tableau1[[#This Row],[Manque (physique)]]&gt;Tableau1[[#This Row],[Manque (digital)]],"POD",IF(Tableau1[[#This Row],[Manque (digital)]]&gt;Tableau1[[#This Row],[Manque (physique)]],"MarketPlace",""))</f>
        <v/>
      </c>
      <c r="J176" t="s">
        <v>268</v>
      </c>
      <c r="K176" t="s">
        <v>269</v>
      </c>
      <c r="L176" t="s">
        <v>19</v>
      </c>
      <c r="M176" t="s">
        <v>19</v>
      </c>
      <c r="Q176" t="s">
        <v>1429</v>
      </c>
    </row>
    <row r="177" spans="1:17" hidden="1" x14ac:dyDescent="0.25">
      <c r="A177" t="s">
        <v>1234</v>
      </c>
      <c r="B177" t="s">
        <v>14</v>
      </c>
      <c r="C177" t="s">
        <v>35</v>
      </c>
      <c r="D177" t="s">
        <v>1156</v>
      </c>
      <c r="E177">
        <v>8</v>
      </c>
      <c r="F177">
        <f>MAX(-1,3-Tableau1[[#This Row],[Nb possédé (digital)]])</f>
        <v>-1</v>
      </c>
      <c r="G177">
        <v>8</v>
      </c>
      <c r="H177">
        <f>MAX(-1,3-Tableau1[[#This Row],[Possédé (physique)]])</f>
        <v>-1</v>
      </c>
      <c r="I177" t="str">
        <f>IF(Tableau1[[#This Row],[Manque (physique)]]&gt;Tableau1[[#This Row],[Manque (digital)]],"POD",IF(Tableau1[[#This Row],[Manque (digital)]]&gt;Tableau1[[#This Row],[Manque (physique)]],"MarketPlace",""))</f>
        <v/>
      </c>
      <c r="J177" t="s">
        <v>30</v>
      </c>
      <c r="K177" t="s">
        <v>83</v>
      </c>
      <c r="L177" t="s">
        <v>19</v>
      </c>
      <c r="M177" t="s">
        <v>19</v>
      </c>
      <c r="N177" t="s">
        <v>19</v>
      </c>
      <c r="O177" t="s">
        <v>19</v>
      </c>
      <c r="P177" t="s">
        <v>20</v>
      </c>
      <c r="Q177" t="s">
        <v>1431</v>
      </c>
    </row>
    <row r="178" spans="1:17" hidden="1" x14ac:dyDescent="0.25">
      <c r="A178" t="s">
        <v>1254</v>
      </c>
      <c r="B178" t="s">
        <v>14</v>
      </c>
      <c r="C178" t="s">
        <v>35</v>
      </c>
      <c r="D178" t="s">
        <v>1156</v>
      </c>
      <c r="E178">
        <v>6</v>
      </c>
      <c r="F178">
        <f>MAX(-1,3-Tableau1[[#This Row],[Nb possédé (digital)]])</f>
        <v>-1</v>
      </c>
      <c r="G178">
        <v>6</v>
      </c>
      <c r="H178">
        <f>MAX(-1,3-Tableau1[[#This Row],[Possédé (physique)]])</f>
        <v>-1</v>
      </c>
      <c r="I178" t="str">
        <f>IF(Tableau1[[#This Row],[Manque (physique)]]&gt;Tableau1[[#This Row],[Manque (digital)]],"POD",IF(Tableau1[[#This Row],[Manque (digital)]]&gt;Tableau1[[#This Row],[Manque (physique)]],"MarketPlace",""))</f>
        <v/>
      </c>
      <c r="J178" t="s">
        <v>30</v>
      </c>
      <c r="K178" t="s">
        <v>83</v>
      </c>
      <c r="L178" t="s">
        <v>19</v>
      </c>
      <c r="M178" t="s">
        <v>19</v>
      </c>
      <c r="N178" t="s">
        <v>19</v>
      </c>
      <c r="O178" t="s">
        <v>23</v>
      </c>
      <c r="P178" t="s">
        <v>19</v>
      </c>
    </row>
    <row r="179" spans="1:17" hidden="1" x14ac:dyDescent="0.25">
      <c r="A179" t="s">
        <v>1177</v>
      </c>
      <c r="B179" t="s">
        <v>14</v>
      </c>
      <c r="C179" t="s">
        <v>35</v>
      </c>
      <c r="D179" t="s">
        <v>1156</v>
      </c>
      <c r="E179">
        <v>7</v>
      </c>
      <c r="F179">
        <f>MAX(-1,3-Tableau1[[#This Row],[Nb possédé (digital)]])</f>
        <v>-1</v>
      </c>
      <c r="G179">
        <v>7</v>
      </c>
      <c r="H179">
        <f>MAX(-1,3-Tableau1[[#This Row],[Possédé (physique)]])</f>
        <v>-1</v>
      </c>
      <c r="I179" t="str">
        <f>IF(Tableau1[[#This Row],[Manque (physique)]]&gt;Tableau1[[#This Row],[Manque (digital)]],"POD",IF(Tableau1[[#This Row],[Manque (digital)]]&gt;Tableau1[[#This Row],[Manque (physique)]],"MarketPlace",""))</f>
        <v/>
      </c>
      <c r="J179" t="s">
        <v>30</v>
      </c>
      <c r="K179" t="s">
        <v>328</v>
      </c>
      <c r="L179" t="s">
        <v>19</v>
      </c>
      <c r="M179" t="s">
        <v>52</v>
      </c>
      <c r="N179" t="s">
        <v>19</v>
      </c>
      <c r="O179" t="s">
        <v>23</v>
      </c>
      <c r="P179" t="s">
        <v>89</v>
      </c>
      <c r="Q179" t="s">
        <v>1313</v>
      </c>
    </row>
    <row r="180" spans="1:17" hidden="1" x14ac:dyDescent="0.25">
      <c r="A180" t="s">
        <v>1196</v>
      </c>
      <c r="B180" t="s">
        <v>14</v>
      </c>
      <c r="C180" t="s">
        <v>35</v>
      </c>
      <c r="D180" t="s">
        <v>1156</v>
      </c>
      <c r="E180">
        <v>5</v>
      </c>
      <c r="F180">
        <f>MAX(-1,3-Tableau1[[#This Row],[Nb possédé (digital)]])</f>
        <v>-1</v>
      </c>
      <c r="G180">
        <v>5</v>
      </c>
      <c r="H180">
        <f>MAX(-1,3-Tableau1[[#This Row],[Possédé (physique)]])</f>
        <v>-1</v>
      </c>
      <c r="I180" t="str">
        <f>IF(Tableau1[[#This Row],[Manque (physique)]]&gt;Tableau1[[#This Row],[Manque (digital)]],"POD",IF(Tableau1[[#This Row],[Manque (digital)]]&gt;Tableau1[[#This Row],[Manque (physique)]],"MarketPlace",""))</f>
        <v/>
      </c>
      <c r="J180" t="s">
        <v>30</v>
      </c>
      <c r="K180" t="s">
        <v>83</v>
      </c>
      <c r="L180" t="s">
        <v>23</v>
      </c>
      <c r="M180" t="s">
        <v>23</v>
      </c>
      <c r="N180" t="s">
        <v>23</v>
      </c>
      <c r="O180" t="s">
        <v>23</v>
      </c>
      <c r="P180" t="s">
        <v>19</v>
      </c>
      <c r="Q180" t="s">
        <v>1350</v>
      </c>
    </row>
    <row r="181" spans="1:17" hidden="1" x14ac:dyDescent="0.25">
      <c r="A181" t="s">
        <v>1232</v>
      </c>
      <c r="B181" t="s">
        <v>14</v>
      </c>
      <c r="C181" t="s">
        <v>35</v>
      </c>
      <c r="D181" t="s">
        <v>1156</v>
      </c>
      <c r="E181">
        <v>7</v>
      </c>
      <c r="F181">
        <f>MAX(-1,3-Tableau1[[#This Row],[Nb possédé (digital)]])</f>
        <v>-1</v>
      </c>
      <c r="G181">
        <v>7</v>
      </c>
      <c r="H181">
        <f>MAX(-1,3-Tableau1[[#This Row],[Possédé (physique)]])</f>
        <v>-1</v>
      </c>
      <c r="I181" t="str">
        <f>IF(Tableau1[[#This Row],[Manque (physique)]]&gt;Tableau1[[#This Row],[Manque (digital)]],"POD",IF(Tableau1[[#This Row],[Manque (digital)]]&gt;Tableau1[[#This Row],[Manque (physique)]],"MarketPlace",""))</f>
        <v/>
      </c>
      <c r="J181" t="s">
        <v>30</v>
      </c>
      <c r="K181" t="s">
        <v>83</v>
      </c>
      <c r="L181" t="s">
        <v>23</v>
      </c>
      <c r="M181" t="s">
        <v>23</v>
      </c>
      <c r="N181" t="s">
        <v>19</v>
      </c>
      <c r="O181" t="s">
        <v>23</v>
      </c>
      <c r="P181" t="s">
        <v>23</v>
      </c>
      <c r="Q181" t="s">
        <v>1427</v>
      </c>
    </row>
    <row r="182" spans="1:17" hidden="1" x14ac:dyDescent="0.25">
      <c r="A182" t="s">
        <v>1236</v>
      </c>
      <c r="B182" t="s">
        <v>14</v>
      </c>
      <c r="C182" t="s">
        <v>35</v>
      </c>
      <c r="D182" t="s">
        <v>1156</v>
      </c>
      <c r="E182">
        <v>7</v>
      </c>
      <c r="F182">
        <f>MAX(-1,3-Tableau1[[#This Row],[Nb possédé (digital)]])</f>
        <v>-1</v>
      </c>
      <c r="G182">
        <v>7</v>
      </c>
      <c r="H182">
        <f>MAX(-1,3-Tableau1[[#This Row],[Possédé (physique)]])</f>
        <v>-1</v>
      </c>
      <c r="I182" t="str">
        <f>IF(Tableau1[[#This Row],[Manque (physique)]]&gt;Tableau1[[#This Row],[Manque (digital)]],"POD",IF(Tableau1[[#This Row],[Manque (digital)]]&gt;Tableau1[[#This Row],[Manque (physique)]],"MarketPlace",""))</f>
        <v/>
      </c>
      <c r="J182" t="s">
        <v>30</v>
      </c>
      <c r="K182" t="s">
        <v>83</v>
      </c>
      <c r="L182" t="s">
        <v>23</v>
      </c>
      <c r="M182" t="s">
        <v>23</v>
      </c>
      <c r="N182" t="s">
        <v>23</v>
      </c>
      <c r="O182" t="s">
        <v>23</v>
      </c>
      <c r="P182" t="s">
        <v>23</v>
      </c>
      <c r="Q182" t="s">
        <v>1436</v>
      </c>
    </row>
    <row r="183" spans="1:17" hidden="1" x14ac:dyDescent="0.25">
      <c r="A183" t="s">
        <v>1244</v>
      </c>
      <c r="B183" t="s">
        <v>14</v>
      </c>
      <c r="C183" t="s">
        <v>35</v>
      </c>
      <c r="D183" t="s">
        <v>1156</v>
      </c>
      <c r="E183">
        <v>8</v>
      </c>
      <c r="F183">
        <f>MAX(-1,3-Tableau1[[#This Row],[Nb possédé (digital)]])</f>
        <v>-1</v>
      </c>
      <c r="G183">
        <v>8</v>
      </c>
      <c r="H183">
        <f>MAX(-1,3-Tableau1[[#This Row],[Possédé (physique)]])</f>
        <v>-1</v>
      </c>
      <c r="I183" t="str">
        <f>IF(Tableau1[[#This Row],[Manque (physique)]]&gt;Tableau1[[#This Row],[Manque (digital)]],"POD",IF(Tableau1[[#This Row],[Manque (digital)]]&gt;Tableau1[[#This Row],[Manque (physique)]],"MarketPlace",""))</f>
        <v/>
      </c>
      <c r="J183" t="s">
        <v>17</v>
      </c>
      <c r="K183" t="s">
        <v>97</v>
      </c>
      <c r="L183" t="s">
        <v>23</v>
      </c>
      <c r="M183" t="s">
        <v>52</v>
      </c>
      <c r="Q183" t="s">
        <v>1455</v>
      </c>
    </row>
    <row r="184" spans="1:17" hidden="1" x14ac:dyDescent="0.25">
      <c r="A184" t="s">
        <v>1206</v>
      </c>
      <c r="B184" t="s">
        <v>14</v>
      </c>
      <c r="C184" t="s">
        <v>35</v>
      </c>
      <c r="D184" t="s">
        <v>1156</v>
      </c>
      <c r="E184">
        <v>5</v>
      </c>
      <c r="F184">
        <f>MAX(-1,3-Tableau1[[#This Row],[Nb possédé (digital)]])</f>
        <v>-1</v>
      </c>
      <c r="G184">
        <v>5</v>
      </c>
      <c r="H184">
        <f>MAX(-1,3-Tableau1[[#This Row],[Possédé (physique)]])</f>
        <v>-1</v>
      </c>
      <c r="I184" t="str">
        <f>IF(Tableau1[[#This Row],[Manque (physique)]]&gt;Tableau1[[#This Row],[Manque (digital)]],"POD",IF(Tableau1[[#This Row],[Manque (digital)]]&gt;Tableau1[[#This Row],[Manque (physique)]],"MarketPlace",""))</f>
        <v/>
      </c>
      <c r="J184" t="s">
        <v>17</v>
      </c>
      <c r="K184" t="s">
        <v>153</v>
      </c>
      <c r="L184" t="s">
        <v>52</v>
      </c>
      <c r="M184" t="s">
        <v>52</v>
      </c>
      <c r="Q184" t="s">
        <v>1372</v>
      </c>
    </row>
    <row r="185" spans="1:17" hidden="1" x14ac:dyDescent="0.25">
      <c r="A185" t="s">
        <v>1210</v>
      </c>
      <c r="B185" t="s">
        <v>14</v>
      </c>
      <c r="C185" t="s">
        <v>35</v>
      </c>
      <c r="D185" t="s">
        <v>1156</v>
      </c>
      <c r="E185">
        <v>6</v>
      </c>
      <c r="F185">
        <f>MAX(-1,3-Tableau1[[#This Row],[Nb possédé (digital)]])</f>
        <v>-1</v>
      </c>
      <c r="G185">
        <v>6</v>
      </c>
      <c r="H185">
        <f>MAX(-1,3-Tableau1[[#This Row],[Possédé (physique)]])</f>
        <v>-1</v>
      </c>
      <c r="I185" t="str">
        <f>IF(Tableau1[[#This Row],[Manque (physique)]]&gt;Tableau1[[#This Row],[Manque (digital)]],"POD",IF(Tableau1[[#This Row],[Manque (digital)]]&gt;Tableau1[[#This Row],[Manque (physique)]],"MarketPlace",""))</f>
        <v/>
      </c>
      <c r="J185" t="s">
        <v>30</v>
      </c>
      <c r="K185" t="s">
        <v>79</v>
      </c>
      <c r="L185" t="s">
        <v>52</v>
      </c>
      <c r="M185" t="s">
        <v>52</v>
      </c>
      <c r="N185" t="s">
        <v>52</v>
      </c>
      <c r="O185" t="s">
        <v>52</v>
      </c>
      <c r="P185" t="s">
        <v>52</v>
      </c>
      <c r="Q185" t="s">
        <v>1379</v>
      </c>
    </row>
    <row r="186" spans="1:17" hidden="1" x14ac:dyDescent="0.25">
      <c r="A186" t="s">
        <v>1237</v>
      </c>
      <c r="B186" t="s">
        <v>14</v>
      </c>
      <c r="C186" t="s">
        <v>35</v>
      </c>
      <c r="D186" t="s">
        <v>1156</v>
      </c>
      <c r="E186">
        <v>7</v>
      </c>
      <c r="F186">
        <f>MAX(-1,3-Tableau1[[#This Row],[Nb possédé (digital)]])</f>
        <v>-1</v>
      </c>
      <c r="G186">
        <v>7</v>
      </c>
      <c r="H186">
        <f>MAX(-1,3-Tableau1[[#This Row],[Possédé (physique)]])</f>
        <v>-1</v>
      </c>
      <c r="I186" t="str">
        <f>IF(Tableau1[[#This Row],[Manque (physique)]]&gt;Tableau1[[#This Row],[Manque (digital)]],"POD",IF(Tableau1[[#This Row],[Manque (digital)]]&gt;Tableau1[[#This Row],[Manque (physique)]],"MarketPlace",""))</f>
        <v/>
      </c>
      <c r="J186" t="s">
        <v>30</v>
      </c>
      <c r="K186" t="s">
        <v>83</v>
      </c>
      <c r="L186" t="s">
        <v>52</v>
      </c>
      <c r="M186" t="s">
        <v>52</v>
      </c>
      <c r="N186" t="s">
        <v>23</v>
      </c>
      <c r="O186" t="s">
        <v>37</v>
      </c>
      <c r="P186" t="s">
        <v>37</v>
      </c>
      <c r="Q186" t="s">
        <v>1438</v>
      </c>
    </row>
    <row r="187" spans="1:17" hidden="1" x14ac:dyDescent="0.25">
      <c r="A187" t="s">
        <v>1161</v>
      </c>
      <c r="B187" t="s">
        <v>14</v>
      </c>
      <c r="C187" t="s">
        <v>35</v>
      </c>
      <c r="D187" t="s">
        <v>1156</v>
      </c>
      <c r="E187">
        <v>6</v>
      </c>
      <c r="F187">
        <f>MAX(-1,3-Tableau1[[#This Row],[Nb possédé (digital)]])</f>
        <v>-1</v>
      </c>
      <c r="G187">
        <v>6</v>
      </c>
      <c r="H187">
        <f>MAX(-1,3-Tableau1[[#This Row],[Possédé (physique)]])</f>
        <v>-1</v>
      </c>
      <c r="I187" t="str">
        <f>IF(Tableau1[[#This Row],[Manque (physique)]]&gt;Tableau1[[#This Row],[Manque (digital)]],"POD",IF(Tableau1[[#This Row],[Manque (digital)]]&gt;Tableau1[[#This Row],[Manque (physique)]],"MarketPlace",""))</f>
        <v/>
      </c>
      <c r="J187" t="s">
        <v>30</v>
      </c>
      <c r="K187" t="s">
        <v>83</v>
      </c>
      <c r="L187" t="s">
        <v>37</v>
      </c>
      <c r="M187" t="s">
        <v>37</v>
      </c>
      <c r="N187" t="s">
        <v>37</v>
      </c>
      <c r="O187" t="s">
        <v>19</v>
      </c>
      <c r="P187" t="s">
        <v>37</v>
      </c>
      <c r="Q187" t="s">
        <v>1276</v>
      </c>
    </row>
    <row r="188" spans="1:17" hidden="1" x14ac:dyDescent="0.25">
      <c r="A188" t="s">
        <v>1195</v>
      </c>
      <c r="B188" t="s">
        <v>14</v>
      </c>
      <c r="C188" t="s">
        <v>35</v>
      </c>
      <c r="D188" t="s">
        <v>1156</v>
      </c>
      <c r="E188">
        <v>8</v>
      </c>
      <c r="F188">
        <f>MAX(-1,3-Tableau1[[#This Row],[Nb possédé (digital)]])</f>
        <v>-1</v>
      </c>
      <c r="G188">
        <v>8</v>
      </c>
      <c r="H188">
        <f>MAX(-1,3-Tableau1[[#This Row],[Possédé (physique)]])</f>
        <v>-1</v>
      </c>
      <c r="I188" t="str">
        <f>IF(Tableau1[[#This Row],[Manque (physique)]]&gt;Tableau1[[#This Row],[Manque (digital)]],"POD",IF(Tableau1[[#This Row],[Manque (digital)]]&gt;Tableau1[[#This Row],[Manque (physique)]],"MarketPlace",""))</f>
        <v/>
      </c>
      <c r="J188" t="s">
        <v>30</v>
      </c>
      <c r="K188" t="s">
        <v>601</v>
      </c>
      <c r="L188" t="s">
        <v>380</v>
      </c>
      <c r="M188" t="s">
        <v>380</v>
      </c>
      <c r="N188" t="s">
        <v>37</v>
      </c>
      <c r="O188" t="s">
        <v>37</v>
      </c>
      <c r="P188" t="s">
        <v>37</v>
      </c>
      <c r="Q188" t="s">
        <v>1348</v>
      </c>
    </row>
    <row r="189" spans="1:17" hidden="1" x14ac:dyDescent="0.25">
      <c r="A189" t="s">
        <v>196</v>
      </c>
      <c r="B189" t="s">
        <v>14</v>
      </c>
      <c r="C189" t="s">
        <v>35</v>
      </c>
      <c r="E189">
        <v>20</v>
      </c>
      <c r="F189">
        <f>MAX(-1,3-Tableau1[[#This Row],[Nb possédé (digital)]])</f>
        <v>-1</v>
      </c>
      <c r="G189">
        <v>20</v>
      </c>
      <c r="H189">
        <f>MAX(-1,3-Tableau1[[#This Row],[Possédé (physique)]])</f>
        <v>-1</v>
      </c>
      <c r="I189" t="str">
        <f>IF(Tableau1[[#This Row],[Manque (physique)]]&gt;Tableau1[[#This Row],[Manque (digital)]],"POD",IF(Tableau1[[#This Row],[Manque (digital)]]&gt;Tableau1[[#This Row],[Manque (physique)]],"MarketPlace",""))</f>
        <v/>
      </c>
      <c r="J189" t="s">
        <v>197</v>
      </c>
      <c r="K189" t="s">
        <v>198</v>
      </c>
      <c r="L189" t="s">
        <v>89</v>
      </c>
      <c r="M189" t="s">
        <v>89</v>
      </c>
      <c r="N189" t="s">
        <v>19</v>
      </c>
      <c r="O189" t="s">
        <v>19</v>
      </c>
      <c r="P189" t="s">
        <v>19</v>
      </c>
      <c r="Q189" t="s">
        <v>199</v>
      </c>
    </row>
    <row r="190" spans="1:17" hidden="1" x14ac:dyDescent="0.25">
      <c r="A190" t="s">
        <v>1194</v>
      </c>
      <c r="B190" t="s">
        <v>14</v>
      </c>
      <c r="C190" t="s">
        <v>35</v>
      </c>
      <c r="E190">
        <v>5</v>
      </c>
      <c r="F190">
        <f>MAX(-1,3-Tableau1[[#This Row],[Nb possédé (digital)]])</f>
        <v>-1</v>
      </c>
      <c r="G190">
        <v>5</v>
      </c>
      <c r="H190">
        <f>MAX(-1,3-Tableau1[[#This Row],[Possédé (physique)]])</f>
        <v>-1</v>
      </c>
      <c r="I190" t="str">
        <f>IF(Tableau1[[#This Row],[Manque (physique)]]&gt;Tableau1[[#This Row],[Manque (digital)]],"POD",IF(Tableau1[[#This Row],[Manque (digital)]]&gt;Tableau1[[#This Row],[Manque (physique)]],"MarketPlace",""))</f>
        <v/>
      </c>
      <c r="J190" t="s">
        <v>197</v>
      </c>
      <c r="K190" t="s">
        <v>1346</v>
      </c>
      <c r="L190" t="s">
        <v>89</v>
      </c>
      <c r="M190" t="s">
        <v>89</v>
      </c>
      <c r="N190" t="s">
        <v>19</v>
      </c>
      <c r="O190" t="s">
        <v>19</v>
      </c>
      <c r="P190" t="s">
        <v>19</v>
      </c>
      <c r="Q190" t="s">
        <v>1347</v>
      </c>
    </row>
    <row r="191" spans="1:17" hidden="1" x14ac:dyDescent="0.25">
      <c r="A191" t="s">
        <v>1194</v>
      </c>
      <c r="B191" t="s">
        <v>14</v>
      </c>
      <c r="C191" t="s">
        <v>35</v>
      </c>
      <c r="E191">
        <v>5</v>
      </c>
      <c r="F191">
        <f>MAX(-1,3-Tableau1[[#This Row],[Nb possédé (digital)]])</f>
        <v>-1</v>
      </c>
      <c r="G191">
        <v>5</v>
      </c>
      <c r="H191">
        <f>MAX(-1,3-Tableau1[[#This Row],[Possédé (physique)]])</f>
        <v>-1</v>
      </c>
      <c r="I191" t="str">
        <f>IF(Tableau1[[#This Row],[Manque (physique)]]&gt;Tableau1[[#This Row],[Manque (digital)]],"POD",IF(Tableau1[[#This Row],[Manque (digital)]]&gt;Tableau1[[#This Row],[Manque (physique)]],"MarketPlace",""))</f>
        <v/>
      </c>
      <c r="J191" t="s">
        <v>197</v>
      </c>
      <c r="K191" t="s">
        <v>1346</v>
      </c>
      <c r="L191" t="s">
        <v>89</v>
      </c>
      <c r="M191" t="s">
        <v>89</v>
      </c>
      <c r="N191" t="s">
        <v>19</v>
      </c>
      <c r="O191" t="s">
        <v>19</v>
      </c>
      <c r="P191" t="s">
        <v>19</v>
      </c>
      <c r="Q191" t="s">
        <v>1671</v>
      </c>
    </row>
    <row r="192" spans="1:17" hidden="1" x14ac:dyDescent="0.25">
      <c r="A192" t="s">
        <v>145</v>
      </c>
      <c r="B192" t="s">
        <v>14</v>
      </c>
      <c r="C192" t="s">
        <v>35</v>
      </c>
      <c r="E192">
        <v>15</v>
      </c>
      <c r="F192">
        <f>MAX(-1,3-Tableau1[[#This Row],[Nb possédé (digital)]])</f>
        <v>-1</v>
      </c>
      <c r="G192">
        <v>15</v>
      </c>
      <c r="H192">
        <f>MAX(-1,3-Tableau1[[#This Row],[Possédé (physique)]])</f>
        <v>-1</v>
      </c>
      <c r="I192" t="str">
        <f>IF(Tableau1[[#This Row],[Manque (physique)]]&gt;Tableau1[[#This Row],[Manque (digital)]],"POD",IF(Tableau1[[#This Row],[Manque (digital)]]&gt;Tableau1[[#This Row],[Manque (physique)]],"MarketPlace",""))</f>
        <v/>
      </c>
      <c r="J192" t="s">
        <v>48</v>
      </c>
      <c r="Q192" t="s">
        <v>146</v>
      </c>
    </row>
    <row r="193" spans="1:17" hidden="1" x14ac:dyDescent="0.25">
      <c r="A193" t="s">
        <v>168</v>
      </c>
      <c r="B193" t="s">
        <v>14</v>
      </c>
      <c r="C193" t="s">
        <v>35</v>
      </c>
      <c r="E193">
        <v>20</v>
      </c>
      <c r="F193">
        <f>MAX(-1,3-Tableau1[[#This Row],[Nb possédé (digital)]])</f>
        <v>-1</v>
      </c>
      <c r="G193">
        <v>20</v>
      </c>
      <c r="H193">
        <f>MAX(-1,3-Tableau1[[#This Row],[Possédé (physique)]])</f>
        <v>-1</v>
      </c>
      <c r="I193" t="str">
        <f>IF(Tableau1[[#This Row],[Manque (physique)]]&gt;Tableau1[[#This Row],[Manque (digital)]],"POD",IF(Tableau1[[#This Row],[Manque (digital)]]&gt;Tableau1[[#This Row],[Manque (physique)]],"MarketPlace",""))</f>
        <v/>
      </c>
      <c r="J193" t="s">
        <v>48</v>
      </c>
      <c r="Q193" t="s">
        <v>169</v>
      </c>
    </row>
    <row r="194" spans="1:17" hidden="1" x14ac:dyDescent="0.25">
      <c r="A194" t="s">
        <v>616</v>
      </c>
      <c r="B194" t="s">
        <v>14</v>
      </c>
      <c r="C194" t="s">
        <v>35</v>
      </c>
      <c r="E194">
        <v>15</v>
      </c>
      <c r="F194">
        <f>MAX(-1,3-Tableau1[[#This Row],[Nb possédé (digital)]])</f>
        <v>-1</v>
      </c>
      <c r="G194">
        <v>15</v>
      </c>
      <c r="H194">
        <f>MAX(-1,3-Tableau1[[#This Row],[Possédé (physique)]])</f>
        <v>-1</v>
      </c>
      <c r="I194" t="str">
        <f>IF(Tableau1[[#This Row],[Manque (physique)]]&gt;Tableau1[[#This Row],[Manque (digital)]],"POD",IF(Tableau1[[#This Row],[Manque (digital)]]&gt;Tableau1[[#This Row],[Manque (physique)]],"MarketPlace",""))</f>
        <v/>
      </c>
      <c r="J194" t="s">
        <v>48</v>
      </c>
      <c r="Q194" t="s">
        <v>617</v>
      </c>
    </row>
    <row r="195" spans="1:17" hidden="1" x14ac:dyDescent="0.25">
      <c r="A195" t="s">
        <v>1251</v>
      </c>
      <c r="B195" t="s">
        <v>14</v>
      </c>
      <c r="C195" t="s">
        <v>35</v>
      </c>
      <c r="E195">
        <v>5</v>
      </c>
      <c r="F195">
        <f>MAX(-1,3-Tableau1[[#This Row],[Nb possédé (digital)]])</f>
        <v>-1</v>
      </c>
      <c r="G195">
        <v>5</v>
      </c>
      <c r="H195">
        <f>MAX(-1,3-Tableau1[[#This Row],[Possédé (physique)]])</f>
        <v>-1</v>
      </c>
      <c r="I195" t="str">
        <f>IF(Tableau1[[#This Row],[Manque (physique)]]&gt;Tableau1[[#This Row],[Manque (digital)]],"POD",IF(Tableau1[[#This Row],[Manque (digital)]]&gt;Tableau1[[#This Row],[Manque (physique)]],"MarketPlace",""))</f>
        <v/>
      </c>
      <c r="J195" t="s">
        <v>48</v>
      </c>
      <c r="Q195" t="s">
        <v>1468</v>
      </c>
    </row>
    <row r="196" spans="1:17" hidden="1" x14ac:dyDescent="0.25">
      <c r="A196" t="s">
        <v>1251</v>
      </c>
      <c r="B196" t="s">
        <v>14</v>
      </c>
      <c r="C196" t="s">
        <v>35</v>
      </c>
      <c r="E196">
        <v>10</v>
      </c>
      <c r="F196">
        <f>MAX(-1,3-Tableau1[[#This Row],[Nb possédé (digital)]])</f>
        <v>-1</v>
      </c>
      <c r="G196">
        <v>10</v>
      </c>
      <c r="H196">
        <f>MAX(-1,3-Tableau1[[#This Row],[Possédé (physique)]])</f>
        <v>-1</v>
      </c>
      <c r="I196" t="str">
        <f>IF(Tableau1[[#This Row],[Manque (physique)]]&gt;Tableau1[[#This Row],[Manque (digital)]],"POD",IF(Tableau1[[#This Row],[Manque (digital)]]&gt;Tableau1[[#This Row],[Manque (physique)]],"MarketPlace",""))</f>
        <v/>
      </c>
      <c r="J196" t="s">
        <v>48</v>
      </c>
      <c r="Q196" t="s">
        <v>1778</v>
      </c>
    </row>
    <row r="197" spans="1:17" hidden="1" x14ac:dyDescent="0.25">
      <c r="A197" t="s">
        <v>400</v>
      </c>
      <c r="B197" t="s">
        <v>14</v>
      </c>
      <c r="C197" t="s">
        <v>70</v>
      </c>
      <c r="D197" t="s">
        <v>16</v>
      </c>
      <c r="E197">
        <v>5</v>
      </c>
      <c r="F197">
        <f>MAX(-1,3-Tableau1[[#This Row],[Nb possédé (digital)]])</f>
        <v>-1</v>
      </c>
      <c r="G197">
        <v>5</v>
      </c>
      <c r="H197">
        <f>MAX(-1,3-Tableau1[[#This Row],[Possédé (physique)]])</f>
        <v>-1</v>
      </c>
      <c r="I197" t="str">
        <f>IF(Tableau1[[#This Row],[Manque (physique)]]&gt;Tableau1[[#This Row],[Manque (digital)]],"POD",IF(Tableau1[[#This Row],[Manque (digital)]]&gt;Tableau1[[#This Row],[Manque (physique)]],"MarketPlace",""))</f>
        <v/>
      </c>
      <c r="J197" t="s">
        <v>17</v>
      </c>
      <c r="K197" t="s">
        <v>189</v>
      </c>
      <c r="L197" t="s">
        <v>20</v>
      </c>
      <c r="M197" t="s">
        <v>20</v>
      </c>
      <c r="Q197" t="s">
        <v>401</v>
      </c>
    </row>
    <row r="198" spans="1:17" hidden="1" x14ac:dyDescent="0.25">
      <c r="A198" t="s">
        <v>787</v>
      </c>
      <c r="B198" t="s">
        <v>14</v>
      </c>
      <c r="C198" t="s">
        <v>70</v>
      </c>
      <c r="D198" t="s">
        <v>16</v>
      </c>
      <c r="E198">
        <v>7</v>
      </c>
      <c r="F198">
        <f>MAX(-1,3-Tableau1[[#This Row],[Nb possédé (digital)]])</f>
        <v>-1</v>
      </c>
      <c r="G198">
        <v>7</v>
      </c>
      <c r="H198">
        <f>MAX(-1,3-Tableau1[[#This Row],[Possédé (physique)]])</f>
        <v>-1</v>
      </c>
      <c r="I198" t="str">
        <f>IF(Tableau1[[#This Row],[Manque (physique)]]&gt;Tableau1[[#This Row],[Manque (digital)]],"POD",IF(Tableau1[[#This Row],[Manque (digital)]]&gt;Tableau1[[#This Row],[Manque (physique)]],"MarketPlace",""))</f>
        <v/>
      </c>
      <c r="J198" t="s">
        <v>30</v>
      </c>
      <c r="K198" t="s">
        <v>59</v>
      </c>
      <c r="L198" t="s">
        <v>20</v>
      </c>
      <c r="M198" t="s">
        <v>20</v>
      </c>
      <c r="N198" t="s">
        <v>20</v>
      </c>
      <c r="O198" t="s">
        <v>20</v>
      </c>
      <c r="P198" t="s">
        <v>89</v>
      </c>
      <c r="Q198" t="s">
        <v>788</v>
      </c>
    </row>
    <row r="199" spans="1:17" hidden="1" x14ac:dyDescent="0.25">
      <c r="A199" t="s">
        <v>900</v>
      </c>
      <c r="B199" t="s">
        <v>14</v>
      </c>
      <c r="C199" t="s">
        <v>70</v>
      </c>
      <c r="D199" t="s">
        <v>16</v>
      </c>
      <c r="E199">
        <v>4</v>
      </c>
      <c r="F199">
        <f>MAX(-1,3-Tableau1[[#This Row],[Nb possédé (digital)]])</f>
        <v>-1</v>
      </c>
      <c r="G199">
        <v>4</v>
      </c>
      <c r="H199">
        <f>MAX(-1,3-Tableau1[[#This Row],[Possédé (physique)]])</f>
        <v>-1</v>
      </c>
      <c r="I199" t="str">
        <f>IF(Tableau1[[#This Row],[Manque (physique)]]&gt;Tableau1[[#This Row],[Manque (digital)]],"POD",IF(Tableau1[[#This Row],[Manque (digital)]]&gt;Tableau1[[#This Row],[Manque (physique)]],"MarketPlace",""))</f>
        <v/>
      </c>
      <c r="J199" t="s">
        <v>30</v>
      </c>
      <c r="K199" t="s">
        <v>68</v>
      </c>
      <c r="L199" t="s">
        <v>19</v>
      </c>
      <c r="M199" t="s">
        <v>20</v>
      </c>
      <c r="N199" t="s">
        <v>89</v>
      </c>
      <c r="O199" t="s">
        <v>89</v>
      </c>
      <c r="P199" t="s">
        <v>89</v>
      </c>
      <c r="Q199" t="s">
        <v>901</v>
      </c>
    </row>
    <row r="200" spans="1:17" hidden="1" x14ac:dyDescent="0.25">
      <c r="A200" t="s">
        <v>282</v>
      </c>
      <c r="B200" t="s">
        <v>14</v>
      </c>
      <c r="C200" t="s">
        <v>70</v>
      </c>
      <c r="D200" t="s">
        <v>16</v>
      </c>
      <c r="E200">
        <v>8</v>
      </c>
      <c r="F200">
        <f>MAX(-1,3-Tableau1[[#This Row],[Nb possédé (digital)]])</f>
        <v>-1</v>
      </c>
      <c r="G200">
        <v>8</v>
      </c>
      <c r="H200">
        <f>MAX(-1,3-Tableau1[[#This Row],[Possédé (physique)]])</f>
        <v>-1</v>
      </c>
      <c r="I200" t="str">
        <f>IF(Tableau1[[#This Row],[Manque (physique)]]&gt;Tableau1[[#This Row],[Manque (digital)]],"POD",IF(Tableau1[[#This Row],[Manque (digital)]]&gt;Tableau1[[#This Row],[Manque (physique)]],"MarketPlace",""))</f>
        <v/>
      </c>
      <c r="J200" t="s">
        <v>30</v>
      </c>
      <c r="K200" t="s">
        <v>171</v>
      </c>
      <c r="L200" t="s">
        <v>19</v>
      </c>
      <c r="M200" t="s">
        <v>19</v>
      </c>
      <c r="N200" t="s">
        <v>19</v>
      </c>
      <c r="O200" t="s">
        <v>19</v>
      </c>
      <c r="P200" t="s">
        <v>19</v>
      </c>
      <c r="Q200" t="s">
        <v>283</v>
      </c>
    </row>
    <row r="201" spans="1:17" hidden="1" x14ac:dyDescent="0.25">
      <c r="A201" t="s">
        <v>418</v>
      </c>
      <c r="B201" t="s">
        <v>14</v>
      </c>
      <c r="C201" t="s">
        <v>70</v>
      </c>
      <c r="D201" t="s">
        <v>16</v>
      </c>
      <c r="E201">
        <v>5</v>
      </c>
      <c r="F201">
        <f>MAX(-1,3-Tableau1[[#This Row],[Nb possédé (digital)]])</f>
        <v>-1</v>
      </c>
      <c r="G201">
        <v>5</v>
      </c>
      <c r="H201">
        <f>MAX(-1,3-Tableau1[[#This Row],[Possédé (physique)]])</f>
        <v>-1</v>
      </c>
      <c r="I201" t="str">
        <f>IF(Tableau1[[#This Row],[Manque (physique)]]&gt;Tableau1[[#This Row],[Manque (digital)]],"POD",IF(Tableau1[[#This Row],[Manque (digital)]]&gt;Tableau1[[#This Row],[Manque (physique)]],"MarketPlace",""))</f>
        <v/>
      </c>
      <c r="J201" t="s">
        <v>30</v>
      </c>
      <c r="K201" t="s">
        <v>171</v>
      </c>
      <c r="L201" t="s">
        <v>19</v>
      </c>
      <c r="M201" t="s">
        <v>19</v>
      </c>
      <c r="N201" t="s">
        <v>89</v>
      </c>
      <c r="O201" t="s">
        <v>19</v>
      </c>
      <c r="P201" t="s">
        <v>19</v>
      </c>
      <c r="Q201" t="s">
        <v>419</v>
      </c>
    </row>
    <row r="202" spans="1:17" hidden="1" x14ac:dyDescent="0.25">
      <c r="A202" t="s">
        <v>474</v>
      </c>
      <c r="B202" t="s">
        <v>14</v>
      </c>
      <c r="C202" t="s">
        <v>70</v>
      </c>
      <c r="D202" t="s">
        <v>16</v>
      </c>
      <c r="E202">
        <v>8</v>
      </c>
      <c r="F202">
        <f>MAX(-1,3-Tableau1[[#This Row],[Nb possédé (digital)]])</f>
        <v>-1</v>
      </c>
      <c r="G202">
        <v>8</v>
      </c>
      <c r="H202">
        <f>MAX(-1,3-Tableau1[[#This Row],[Possédé (physique)]])</f>
        <v>-1</v>
      </c>
      <c r="I202" t="str">
        <f>IF(Tableau1[[#This Row],[Manque (physique)]]&gt;Tableau1[[#This Row],[Manque (digital)]],"POD",IF(Tableau1[[#This Row],[Manque (digital)]]&gt;Tableau1[[#This Row],[Manque (physique)]],"MarketPlace",""))</f>
        <v/>
      </c>
      <c r="J202" t="s">
        <v>17</v>
      </c>
      <c r="K202" t="s">
        <v>201</v>
      </c>
      <c r="L202" t="s">
        <v>19</v>
      </c>
      <c r="M202" t="s">
        <v>19</v>
      </c>
      <c r="Q202" t="s">
        <v>475</v>
      </c>
    </row>
    <row r="203" spans="1:17" hidden="1" x14ac:dyDescent="0.25">
      <c r="A203" t="s">
        <v>799</v>
      </c>
      <c r="B203" t="s">
        <v>14</v>
      </c>
      <c r="C203" t="s">
        <v>70</v>
      </c>
      <c r="D203" t="s">
        <v>16</v>
      </c>
      <c r="E203">
        <v>6</v>
      </c>
      <c r="F203">
        <f>MAX(-1,3-Tableau1[[#This Row],[Nb possédé (digital)]])</f>
        <v>-1</v>
      </c>
      <c r="G203">
        <v>6</v>
      </c>
      <c r="H203">
        <f>MAX(-1,3-Tableau1[[#This Row],[Possédé (physique)]])</f>
        <v>-1</v>
      </c>
      <c r="I203" t="str">
        <f>IF(Tableau1[[#This Row],[Manque (physique)]]&gt;Tableau1[[#This Row],[Manque (digital)]],"POD",IF(Tableau1[[#This Row],[Manque (digital)]]&gt;Tableau1[[#This Row],[Manque (physique)]],"MarketPlace",""))</f>
        <v/>
      </c>
      <c r="J203" t="s">
        <v>17</v>
      </c>
      <c r="K203" t="s">
        <v>189</v>
      </c>
      <c r="L203" t="s">
        <v>19</v>
      </c>
      <c r="M203" t="s">
        <v>19</v>
      </c>
      <c r="Q203" t="s">
        <v>800</v>
      </c>
    </row>
    <row r="204" spans="1:17" hidden="1" x14ac:dyDescent="0.25">
      <c r="A204" t="s">
        <v>1008</v>
      </c>
      <c r="B204" t="s">
        <v>14</v>
      </c>
      <c r="C204" t="s">
        <v>70</v>
      </c>
      <c r="D204" t="s">
        <v>16</v>
      </c>
      <c r="E204">
        <v>7</v>
      </c>
      <c r="F204">
        <f>MAX(-1,3-Tableau1[[#This Row],[Nb possédé (digital)]])</f>
        <v>-1</v>
      </c>
      <c r="G204">
        <v>7</v>
      </c>
      <c r="H204">
        <f>MAX(-1,3-Tableau1[[#This Row],[Possédé (physique)]])</f>
        <v>-1</v>
      </c>
      <c r="I204" t="str">
        <f>IF(Tableau1[[#This Row],[Manque (physique)]]&gt;Tableau1[[#This Row],[Manque (digital)]],"POD",IF(Tableau1[[#This Row],[Manque (digital)]]&gt;Tableau1[[#This Row],[Manque (physique)]],"MarketPlace",""))</f>
        <v/>
      </c>
      <c r="J204" t="s">
        <v>30</v>
      </c>
      <c r="K204" t="s">
        <v>171</v>
      </c>
      <c r="L204" t="s">
        <v>19</v>
      </c>
      <c r="M204" t="s">
        <v>19</v>
      </c>
      <c r="N204" t="s">
        <v>23</v>
      </c>
      <c r="O204" t="s">
        <v>89</v>
      </c>
      <c r="P204" t="s">
        <v>19</v>
      </c>
    </row>
    <row r="205" spans="1:17" hidden="1" x14ac:dyDescent="0.25">
      <c r="A205" t="s">
        <v>532</v>
      </c>
      <c r="B205" t="s">
        <v>14</v>
      </c>
      <c r="C205" t="s">
        <v>70</v>
      </c>
      <c r="D205" t="s">
        <v>16</v>
      </c>
      <c r="E205">
        <v>7</v>
      </c>
      <c r="F205">
        <f>MAX(-1,3-Tableau1[[#This Row],[Nb possédé (digital)]])</f>
        <v>-1</v>
      </c>
      <c r="G205">
        <v>7</v>
      </c>
      <c r="H205">
        <f>MAX(-1,3-Tableau1[[#This Row],[Possédé (physique)]])</f>
        <v>-1</v>
      </c>
      <c r="I205" t="str">
        <f>IF(Tableau1[[#This Row],[Manque (physique)]]&gt;Tableau1[[#This Row],[Manque (digital)]],"POD",IF(Tableau1[[#This Row],[Manque (digital)]]&gt;Tableau1[[#This Row],[Manque (physique)]],"MarketPlace",""))</f>
        <v/>
      </c>
      <c r="J205" t="s">
        <v>30</v>
      </c>
      <c r="K205" t="s">
        <v>86</v>
      </c>
      <c r="L205" t="s">
        <v>19</v>
      </c>
      <c r="M205" t="s">
        <v>23</v>
      </c>
      <c r="N205" t="s">
        <v>23</v>
      </c>
      <c r="O205" t="s">
        <v>23</v>
      </c>
      <c r="P205" t="s">
        <v>89</v>
      </c>
      <c r="Q205" t="s">
        <v>533</v>
      </c>
    </row>
    <row r="206" spans="1:17" hidden="1" x14ac:dyDescent="0.25">
      <c r="A206" t="s">
        <v>814</v>
      </c>
      <c r="B206" t="s">
        <v>14</v>
      </c>
      <c r="C206" t="s">
        <v>70</v>
      </c>
      <c r="D206" t="s">
        <v>16</v>
      </c>
      <c r="E206">
        <v>6</v>
      </c>
      <c r="F206">
        <f>MAX(-1,3-Tableau1[[#This Row],[Nb possédé (digital)]])</f>
        <v>-1</v>
      </c>
      <c r="G206">
        <v>6</v>
      </c>
      <c r="H206">
        <f>MAX(-1,3-Tableau1[[#This Row],[Possédé (physique)]])</f>
        <v>-1</v>
      </c>
      <c r="I206" t="str">
        <f>IF(Tableau1[[#This Row],[Manque (physique)]]&gt;Tableau1[[#This Row],[Manque (digital)]],"POD",IF(Tableau1[[#This Row],[Manque (digital)]]&gt;Tableau1[[#This Row],[Manque (physique)]],"MarketPlace",""))</f>
        <v/>
      </c>
      <c r="J206" t="s">
        <v>30</v>
      </c>
      <c r="K206" t="s">
        <v>68</v>
      </c>
      <c r="L206" t="s">
        <v>19</v>
      </c>
      <c r="M206" t="s">
        <v>23</v>
      </c>
      <c r="N206" t="s">
        <v>89</v>
      </c>
      <c r="O206" t="s">
        <v>89</v>
      </c>
      <c r="P206" t="s">
        <v>52</v>
      </c>
    </row>
    <row r="207" spans="1:17" hidden="1" x14ac:dyDescent="0.25">
      <c r="A207" t="s">
        <v>85</v>
      </c>
      <c r="B207" t="s">
        <v>14</v>
      </c>
      <c r="C207" t="s">
        <v>70</v>
      </c>
      <c r="D207" t="s">
        <v>16</v>
      </c>
      <c r="E207">
        <v>5</v>
      </c>
      <c r="F207">
        <f>MAX(-1,3-Tableau1[[#This Row],[Nb possédé (digital)]])</f>
        <v>-1</v>
      </c>
      <c r="G207">
        <v>5</v>
      </c>
      <c r="H207">
        <f>MAX(-1,3-Tableau1[[#This Row],[Possédé (physique)]])</f>
        <v>-1</v>
      </c>
      <c r="I207" t="str">
        <f>IF(Tableau1[[#This Row],[Manque (physique)]]&gt;Tableau1[[#This Row],[Manque (digital)]],"POD",IF(Tableau1[[#This Row],[Manque (digital)]]&gt;Tableau1[[#This Row],[Manque (physique)]],"MarketPlace",""))</f>
        <v/>
      </c>
      <c r="J207" t="s">
        <v>30</v>
      </c>
      <c r="K207" t="s">
        <v>86</v>
      </c>
      <c r="L207" t="s">
        <v>23</v>
      </c>
      <c r="M207" t="s">
        <v>19</v>
      </c>
      <c r="N207" t="s">
        <v>19</v>
      </c>
      <c r="O207" t="s">
        <v>19</v>
      </c>
      <c r="P207" t="s">
        <v>19</v>
      </c>
      <c r="Q207" t="s">
        <v>87</v>
      </c>
    </row>
    <row r="208" spans="1:17" hidden="1" x14ac:dyDescent="0.25">
      <c r="A208" t="s">
        <v>314</v>
      </c>
      <c r="B208" t="s">
        <v>14</v>
      </c>
      <c r="C208" t="s">
        <v>70</v>
      </c>
      <c r="D208" t="s">
        <v>16</v>
      </c>
      <c r="E208">
        <v>6</v>
      </c>
      <c r="F208">
        <f>MAX(-1,3-Tableau1[[#This Row],[Nb possédé (digital)]])</f>
        <v>-1</v>
      </c>
      <c r="G208">
        <v>6</v>
      </c>
      <c r="H208">
        <f>MAX(-1,3-Tableau1[[#This Row],[Possédé (physique)]])</f>
        <v>-1</v>
      </c>
      <c r="I208" t="str">
        <f>IF(Tableau1[[#This Row],[Manque (physique)]]&gt;Tableau1[[#This Row],[Manque (digital)]],"POD",IF(Tableau1[[#This Row],[Manque (digital)]]&gt;Tableau1[[#This Row],[Manque (physique)]],"MarketPlace",""))</f>
        <v/>
      </c>
      <c r="J208" t="s">
        <v>30</v>
      </c>
      <c r="K208" t="s">
        <v>171</v>
      </c>
      <c r="L208" t="s">
        <v>23</v>
      </c>
      <c r="M208" t="s">
        <v>19</v>
      </c>
      <c r="N208" t="s">
        <v>89</v>
      </c>
      <c r="O208" t="s">
        <v>23</v>
      </c>
      <c r="P208" t="s">
        <v>19</v>
      </c>
      <c r="Q208" t="s">
        <v>315</v>
      </c>
    </row>
    <row r="209" spans="1:17" hidden="1" x14ac:dyDescent="0.25">
      <c r="A209" t="s">
        <v>255</v>
      </c>
      <c r="B209" t="s">
        <v>14</v>
      </c>
      <c r="C209" t="s">
        <v>70</v>
      </c>
      <c r="D209" t="s">
        <v>16</v>
      </c>
      <c r="E209">
        <v>6</v>
      </c>
      <c r="F209">
        <f>MAX(-1,3-Tableau1[[#This Row],[Nb possédé (digital)]])</f>
        <v>-1</v>
      </c>
      <c r="G209">
        <v>6</v>
      </c>
      <c r="H209">
        <f>MAX(-1,3-Tableau1[[#This Row],[Possédé (physique)]])</f>
        <v>-1</v>
      </c>
      <c r="I209" t="str">
        <f>IF(Tableau1[[#This Row],[Manque (physique)]]&gt;Tableau1[[#This Row],[Manque (digital)]],"POD",IF(Tableau1[[#This Row],[Manque (digital)]]&gt;Tableau1[[#This Row],[Manque (physique)]],"MarketPlace",""))</f>
        <v/>
      </c>
      <c r="J209" t="s">
        <v>30</v>
      </c>
      <c r="K209" t="s">
        <v>171</v>
      </c>
      <c r="L209" t="s">
        <v>23</v>
      </c>
      <c r="M209" t="s">
        <v>23</v>
      </c>
      <c r="N209" t="s">
        <v>52</v>
      </c>
      <c r="O209" t="s">
        <v>89</v>
      </c>
      <c r="P209" t="s">
        <v>52</v>
      </c>
    </row>
    <row r="210" spans="1:17" hidden="1" x14ac:dyDescent="0.25">
      <c r="A210" t="s">
        <v>264</v>
      </c>
      <c r="B210" t="s">
        <v>14</v>
      </c>
      <c r="C210" t="s">
        <v>70</v>
      </c>
      <c r="D210" t="s">
        <v>16</v>
      </c>
      <c r="E210">
        <v>5</v>
      </c>
      <c r="F210">
        <f>MAX(-1,3-Tableau1[[#This Row],[Nb possédé (digital)]])</f>
        <v>-1</v>
      </c>
      <c r="G210">
        <v>5</v>
      </c>
      <c r="H210">
        <f>MAX(-1,3-Tableau1[[#This Row],[Possédé (physique)]])</f>
        <v>-1</v>
      </c>
      <c r="I210" t="str">
        <f>IF(Tableau1[[#This Row],[Manque (physique)]]&gt;Tableau1[[#This Row],[Manque (digital)]],"POD",IF(Tableau1[[#This Row],[Manque (digital)]]&gt;Tableau1[[#This Row],[Manque (physique)]],"MarketPlace",""))</f>
        <v/>
      </c>
      <c r="J210" t="s">
        <v>17</v>
      </c>
      <c r="K210" t="s">
        <v>153</v>
      </c>
      <c r="L210" t="s">
        <v>23</v>
      </c>
      <c r="M210" t="s">
        <v>23</v>
      </c>
      <c r="Q210" t="s">
        <v>265</v>
      </c>
    </row>
    <row r="211" spans="1:17" hidden="1" x14ac:dyDescent="0.25">
      <c r="A211" t="s">
        <v>392</v>
      </c>
      <c r="B211" t="s">
        <v>14</v>
      </c>
      <c r="C211" t="s">
        <v>70</v>
      </c>
      <c r="D211" t="s">
        <v>16</v>
      </c>
      <c r="E211">
        <v>6</v>
      </c>
      <c r="F211">
        <f>MAX(-1,3-Tableau1[[#This Row],[Nb possédé (digital)]])</f>
        <v>-1</v>
      </c>
      <c r="G211">
        <v>6</v>
      </c>
      <c r="H211">
        <f>MAX(-1,3-Tableau1[[#This Row],[Possédé (physique)]])</f>
        <v>-1</v>
      </c>
      <c r="I211" t="str">
        <f>IF(Tableau1[[#This Row],[Manque (physique)]]&gt;Tableau1[[#This Row],[Manque (digital)]],"POD",IF(Tableau1[[#This Row],[Manque (digital)]]&gt;Tableau1[[#This Row],[Manque (physique)]],"MarketPlace",""))</f>
        <v/>
      </c>
      <c r="J211" t="s">
        <v>30</v>
      </c>
      <c r="K211" t="s">
        <v>171</v>
      </c>
      <c r="L211" t="s">
        <v>23</v>
      </c>
      <c r="M211" t="s">
        <v>23</v>
      </c>
      <c r="N211" t="s">
        <v>23</v>
      </c>
      <c r="O211" t="s">
        <v>23</v>
      </c>
      <c r="P211" t="s">
        <v>19</v>
      </c>
      <c r="Q211" t="s">
        <v>393</v>
      </c>
    </row>
    <row r="212" spans="1:17" hidden="1" x14ac:dyDescent="0.25">
      <c r="A212" t="s">
        <v>698</v>
      </c>
      <c r="B212" t="s">
        <v>14</v>
      </c>
      <c r="C212" t="s">
        <v>70</v>
      </c>
      <c r="D212" t="s">
        <v>16</v>
      </c>
      <c r="E212">
        <v>6</v>
      </c>
      <c r="F212">
        <f>MAX(-1,3-Tableau1[[#This Row],[Nb possédé (digital)]])</f>
        <v>-1</v>
      </c>
      <c r="G212">
        <v>6</v>
      </c>
      <c r="H212">
        <f>MAX(-1,3-Tableau1[[#This Row],[Possédé (physique)]])</f>
        <v>-1</v>
      </c>
      <c r="I212" t="str">
        <f>IF(Tableau1[[#This Row],[Manque (physique)]]&gt;Tableau1[[#This Row],[Manque (digital)]],"POD",IF(Tableau1[[#This Row],[Manque (digital)]]&gt;Tableau1[[#This Row],[Manque (physique)]],"MarketPlace",""))</f>
        <v/>
      </c>
      <c r="J212" t="s">
        <v>30</v>
      </c>
      <c r="K212" t="s">
        <v>171</v>
      </c>
      <c r="L212" t="s">
        <v>23</v>
      </c>
      <c r="M212" t="s">
        <v>23</v>
      </c>
      <c r="N212" t="s">
        <v>89</v>
      </c>
      <c r="O212" t="s">
        <v>23</v>
      </c>
      <c r="P212" t="s">
        <v>23</v>
      </c>
      <c r="Q212" t="s">
        <v>699</v>
      </c>
    </row>
    <row r="213" spans="1:17" hidden="1" x14ac:dyDescent="0.25">
      <c r="A213" t="s">
        <v>1033</v>
      </c>
      <c r="B213" t="s">
        <v>14</v>
      </c>
      <c r="C213" t="s">
        <v>70</v>
      </c>
      <c r="D213" t="s">
        <v>16</v>
      </c>
      <c r="E213">
        <v>6</v>
      </c>
      <c r="F213">
        <f>MAX(-1,3-Tableau1[[#This Row],[Nb possédé (digital)]])</f>
        <v>-1</v>
      </c>
      <c r="G213">
        <v>6</v>
      </c>
      <c r="H213">
        <f>MAX(-1,3-Tableau1[[#This Row],[Possédé (physique)]])</f>
        <v>-1</v>
      </c>
      <c r="I213" t="str">
        <f>IF(Tableau1[[#This Row],[Manque (physique)]]&gt;Tableau1[[#This Row],[Manque (digital)]],"POD",IF(Tableau1[[#This Row],[Manque (digital)]]&gt;Tableau1[[#This Row],[Manque (physique)]],"MarketPlace",""))</f>
        <v/>
      </c>
      <c r="J213" t="s">
        <v>30</v>
      </c>
      <c r="K213" t="s">
        <v>103</v>
      </c>
      <c r="L213" t="s">
        <v>23</v>
      </c>
      <c r="M213" t="s">
        <v>23</v>
      </c>
      <c r="N213" t="s">
        <v>23</v>
      </c>
      <c r="O213" t="s">
        <v>23</v>
      </c>
      <c r="P213" t="s">
        <v>89</v>
      </c>
      <c r="Q213" t="s">
        <v>215</v>
      </c>
    </row>
    <row r="214" spans="1:17" hidden="1" x14ac:dyDescent="0.25">
      <c r="A214" t="s">
        <v>1035</v>
      </c>
      <c r="B214" t="s">
        <v>14</v>
      </c>
      <c r="C214" t="s">
        <v>70</v>
      </c>
      <c r="D214" t="s">
        <v>16</v>
      </c>
      <c r="E214">
        <v>7</v>
      </c>
      <c r="F214">
        <f>MAX(-1,3-Tableau1[[#This Row],[Nb possédé (digital)]])</f>
        <v>-1</v>
      </c>
      <c r="G214">
        <v>7</v>
      </c>
      <c r="H214">
        <f>MAX(-1,3-Tableau1[[#This Row],[Possédé (physique)]])</f>
        <v>-1</v>
      </c>
      <c r="I214" t="str">
        <f>IF(Tableau1[[#This Row],[Manque (physique)]]&gt;Tableau1[[#This Row],[Manque (digital)]],"POD",IF(Tableau1[[#This Row],[Manque (digital)]]&gt;Tableau1[[#This Row],[Manque (physique)]],"MarketPlace",""))</f>
        <v/>
      </c>
      <c r="J214" t="s">
        <v>17</v>
      </c>
      <c r="K214" t="s">
        <v>18</v>
      </c>
      <c r="L214" t="s">
        <v>23</v>
      </c>
      <c r="M214" t="s">
        <v>23</v>
      </c>
      <c r="Q214" t="s">
        <v>1036</v>
      </c>
    </row>
    <row r="215" spans="1:17" hidden="1" x14ac:dyDescent="0.25">
      <c r="A215" t="s">
        <v>304</v>
      </c>
      <c r="B215" t="s">
        <v>14</v>
      </c>
      <c r="C215" t="s">
        <v>70</v>
      </c>
      <c r="D215" t="s">
        <v>16</v>
      </c>
      <c r="E215">
        <v>7</v>
      </c>
      <c r="F215">
        <f>MAX(-1,3-Tableau1[[#This Row],[Nb possédé (digital)]])</f>
        <v>-1</v>
      </c>
      <c r="G215">
        <v>7</v>
      </c>
      <c r="H215">
        <f>MAX(-1,3-Tableau1[[#This Row],[Possédé (physique)]])</f>
        <v>-1</v>
      </c>
      <c r="I215" t="str">
        <f>IF(Tableau1[[#This Row],[Manque (physique)]]&gt;Tableau1[[#This Row],[Manque (digital)]],"POD",IF(Tableau1[[#This Row],[Manque (digital)]]&gt;Tableau1[[#This Row],[Manque (physique)]],"MarketPlace",""))</f>
        <v/>
      </c>
      <c r="J215" t="s">
        <v>30</v>
      </c>
      <c r="K215" t="s">
        <v>68</v>
      </c>
      <c r="L215" t="s">
        <v>52</v>
      </c>
      <c r="M215" t="s">
        <v>52</v>
      </c>
      <c r="N215" t="s">
        <v>89</v>
      </c>
      <c r="O215" t="s">
        <v>52</v>
      </c>
      <c r="P215" t="s">
        <v>52</v>
      </c>
      <c r="Q215" t="s">
        <v>305</v>
      </c>
    </row>
    <row r="216" spans="1:17" hidden="1" x14ac:dyDescent="0.25">
      <c r="A216" t="s">
        <v>451</v>
      </c>
      <c r="B216" t="s">
        <v>14</v>
      </c>
      <c r="C216" t="s">
        <v>70</v>
      </c>
      <c r="D216" t="s">
        <v>16</v>
      </c>
      <c r="E216">
        <v>5</v>
      </c>
      <c r="F216">
        <f>MAX(-1,3-Tableau1[[#This Row],[Nb possédé (digital)]])</f>
        <v>-1</v>
      </c>
      <c r="G216">
        <v>5</v>
      </c>
      <c r="H216">
        <f>MAX(-1,3-Tableau1[[#This Row],[Possédé (physique)]])</f>
        <v>-1</v>
      </c>
      <c r="I216" t="str">
        <f>IF(Tableau1[[#This Row],[Manque (physique)]]&gt;Tableau1[[#This Row],[Manque (digital)]],"POD",IF(Tableau1[[#This Row],[Manque (digital)]]&gt;Tableau1[[#This Row],[Manque (physique)]],"MarketPlace",""))</f>
        <v/>
      </c>
      <c r="J216" t="s">
        <v>217</v>
      </c>
      <c r="K216" t="s">
        <v>218</v>
      </c>
      <c r="L216" t="s">
        <v>52</v>
      </c>
      <c r="M216" t="s">
        <v>52</v>
      </c>
      <c r="Q216" t="s">
        <v>452</v>
      </c>
    </row>
    <row r="217" spans="1:17" hidden="1" x14ac:dyDescent="0.25">
      <c r="A217" t="s">
        <v>630</v>
      </c>
      <c r="B217" t="s">
        <v>14</v>
      </c>
      <c r="C217" t="s">
        <v>70</v>
      </c>
      <c r="D217" t="s">
        <v>16</v>
      </c>
      <c r="E217">
        <v>6</v>
      </c>
      <c r="F217">
        <f>MAX(-1,3-Tableau1[[#This Row],[Nb possédé (digital)]])</f>
        <v>-1</v>
      </c>
      <c r="G217">
        <v>6</v>
      </c>
      <c r="H217">
        <f>MAX(-1,3-Tableau1[[#This Row],[Possédé (physique)]])</f>
        <v>-1</v>
      </c>
      <c r="I217" t="str">
        <f>IF(Tableau1[[#This Row],[Manque (physique)]]&gt;Tableau1[[#This Row],[Manque (digital)]],"POD",IF(Tableau1[[#This Row],[Manque (digital)]]&gt;Tableau1[[#This Row],[Manque (physique)]],"MarketPlace",""))</f>
        <v/>
      </c>
      <c r="J217" t="s">
        <v>217</v>
      </c>
      <c r="K217" t="s">
        <v>218</v>
      </c>
      <c r="L217" t="s">
        <v>52</v>
      </c>
      <c r="M217" t="s">
        <v>52</v>
      </c>
      <c r="Q217" t="s">
        <v>631</v>
      </c>
    </row>
    <row r="218" spans="1:17" hidden="1" x14ac:dyDescent="0.25">
      <c r="A218" t="s">
        <v>685</v>
      </c>
      <c r="B218" t="s">
        <v>14</v>
      </c>
      <c r="C218" t="s">
        <v>70</v>
      </c>
      <c r="D218" t="s">
        <v>16</v>
      </c>
      <c r="E218">
        <v>5</v>
      </c>
      <c r="F218">
        <f>MAX(-1,3-Tableau1[[#This Row],[Nb possédé (digital)]])</f>
        <v>-1</v>
      </c>
      <c r="G218">
        <v>5</v>
      </c>
      <c r="H218">
        <f>MAX(-1,3-Tableau1[[#This Row],[Possédé (physique)]])</f>
        <v>-1</v>
      </c>
      <c r="I218" t="str">
        <f>IF(Tableau1[[#This Row],[Manque (physique)]]&gt;Tableau1[[#This Row],[Manque (digital)]],"POD",IF(Tableau1[[#This Row],[Manque (digital)]]&gt;Tableau1[[#This Row],[Manque (physique)]],"MarketPlace",""))</f>
        <v/>
      </c>
      <c r="J218" t="s">
        <v>30</v>
      </c>
      <c r="K218" t="s">
        <v>68</v>
      </c>
      <c r="L218" t="s">
        <v>52</v>
      </c>
      <c r="M218" t="s">
        <v>37</v>
      </c>
      <c r="N218" t="s">
        <v>37</v>
      </c>
      <c r="O218" t="s">
        <v>37</v>
      </c>
      <c r="P218" t="s">
        <v>89</v>
      </c>
      <c r="Q218" t="s">
        <v>359</v>
      </c>
    </row>
    <row r="219" spans="1:17" hidden="1" x14ac:dyDescent="0.25">
      <c r="A219" t="s">
        <v>75</v>
      </c>
      <c r="B219" t="s">
        <v>14</v>
      </c>
      <c r="C219" t="s">
        <v>70</v>
      </c>
      <c r="D219" t="s">
        <v>16</v>
      </c>
      <c r="E219">
        <v>7</v>
      </c>
      <c r="F219">
        <f>MAX(-1,3-Tableau1[[#This Row],[Nb possédé (digital)]])</f>
        <v>-1</v>
      </c>
      <c r="G219">
        <v>7</v>
      </c>
      <c r="H219">
        <f>MAX(-1,3-Tableau1[[#This Row],[Possédé (physique)]])</f>
        <v>-1</v>
      </c>
      <c r="I219" t="str">
        <f>IF(Tableau1[[#This Row],[Manque (physique)]]&gt;Tableau1[[#This Row],[Manque (digital)]],"POD",IF(Tableau1[[#This Row],[Manque (digital)]]&gt;Tableau1[[#This Row],[Manque (physique)]],"MarketPlace",""))</f>
        <v/>
      </c>
      <c r="J219" t="s">
        <v>30</v>
      </c>
      <c r="K219" t="s">
        <v>63</v>
      </c>
      <c r="L219" t="s">
        <v>37</v>
      </c>
      <c r="M219" t="s">
        <v>37</v>
      </c>
      <c r="N219" t="s">
        <v>37</v>
      </c>
      <c r="O219" t="s">
        <v>37</v>
      </c>
      <c r="P219" t="s">
        <v>37</v>
      </c>
      <c r="Q219" t="s">
        <v>76</v>
      </c>
    </row>
    <row r="220" spans="1:17" hidden="1" x14ac:dyDescent="0.25">
      <c r="A220" t="s">
        <v>904</v>
      </c>
      <c r="B220" t="s">
        <v>14</v>
      </c>
      <c r="C220" t="s">
        <v>70</v>
      </c>
      <c r="D220" t="s">
        <v>16</v>
      </c>
      <c r="E220">
        <v>4</v>
      </c>
      <c r="F220">
        <f>MAX(-1,3-Tableau1[[#This Row],[Nb possédé (digital)]])</f>
        <v>-1</v>
      </c>
      <c r="G220">
        <v>4</v>
      </c>
      <c r="H220">
        <f>MAX(-1,3-Tableau1[[#This Row],[Possédé (physique)]])</f>
        <v>-1</v>
      </c>
      <c r="I220" t="str">
        <f>IF(Tableau1[[#This Row],[Manque (physique)]]&gt;Tableau1[[#This Row],[Manque (digital)]],"POD",IF(Tableau1[[#This Row],[Manque (digital)]]&gt;Tableau1[[#This Row],[Manque (physique)]],"MarketPlace",""))</f>
        <v/>
      </c>
      <c r="J220" t="s">
        <v>17</v>
      </c>
      <c r="K220" t="s">
        <v>153</v>
      </c>
      <c r="L220" t="s">
        <v>37</v>
      </c>
      <c r="M220" t="s">
        <v>37</v>
      </c>
      <c r="Q220" t="s">
        <v>905</v>
      </c>
    </row>
    <row r="221" spans="1:17" hidden="1" x14ac:dyDescent="0.25">
      <c r="A221" t="s">
        <v>128</v>
      </c>
      <c r="B221" t="s">
        <v>14</v>
      </c>
      <c r="C221" t="s">
        <v>70</v>
      </c>
      <c r="D221" t="s">
        <v>16</v>
      </c>
      <c r="E221">
        <v>5</v>
      </c>
      <c r="F221">
        <f>MAX(-1,3-Tableau1[[#This Row],[Nb possédé (digital)]])</f>
        <v>-1</v>
      </c>
      <c r="G221">
        <v>5</v>
      </c>
      <c r="H221">
        <f>MAX(-1,3-Tableau1[[#This Row],[Possédé (physique)]])</f>
        <v>-1</v>
      </c>
      <c r="I221" t="str">
        <f>IF(Tableau1[[#This Row],[Manque (physique)]]&gt;Tableau1[[#This Row],[Manque (digital)]],"POD",IF(Tableau1[[#This Row],[Manque (digital)]]&gt;Tableau1[[#This Row],[Manque (physique)]],"MarketPlace",""))</f>
        <v/>
      </c>
      <c r="J221" t="s">
        <v>30</v>
      </c>
      <c r="K221" t="s">
        <v>51</v>
      </c>
      <c r="L221" t="s">
        <v>39</v>
      </c>
      <c r="M221" t="s">
        <v>39</v>
      </c>
      <c r="N221" t="s">
        <v>37</v>
      </c>
      <c r="O221" t="s">
        <v>37</v>
      </c>
      <c r="P221" t="s">
        <v>37</v>
      </c>
      <c r="Q221" t="s">
        <v>129</v>
      </c>
    </row>
    <row r="222" spans="1:17" hidden="1" x14ac:dyDescent="0.25">
      <c r="A222" t="s">
        <v>758</v>
      </c>
      <c r="B222" t="s">
        <v>14</v>
      </c>
      <c r="C222" t="s">
        <v>70</v>
      </c>
      <c r="D222" t="s">
        <v>16</v>
      </c>
      <c r="E222">
        <v>4</v>
      </c>
      <c r="F222">
        <f>MAX(-1,3-Tableau1[[#This Row],[Nb possédé (digital)]])</f>
        <v>-1</v>
      </c>
      <c r="G222">
        <v>4</v>
      </c>
      <c r="H222">
        <f>MAX(-1,3-Tableau1[[#This Row],[Possédé (physique)]])</f>
        <v>-1</v>
      </c>
      <c r="I222" t="str">
        <f>IF(Tableau1[[#This Row],[Manque (physique)]]&gt;Tableau1[[#This Row],[Manque (digital)]],"POD",IF(Tableau1[[#This Row],[Manque (digital)]]&gt;Tableau1[[#This Row],[Manque (physique)]],"MarketPlace",""))</f>
        <v/>
      </c>
      <c r="J222" t="s">
        <v>30</v>
      </c>
      <c r="K222" t="s">
        <v>51</v>
      </c>
      <c r="L222" t="s">
        <v>380</v>
      </c>
      <c r="M222" t="s">
        <v>37</v>
      </c>
      <c r="N222" t="s">
        <v>37</v>
      </c>
      <c r="O222" t="s">
        <v>37</v>
      </c>
      <c r="P222" t="s">
        <v>37</v>
      </c>
      <c r="Q222" t="s">
        <v>759</v>
      </c>
    </row>
    <row r="223" spans="1:17" hidden="1" x14ac:dyDescent="0.25">
      <c r="A223" t="s">
        <v>96</v>
      </c>
      <c r="B223" t="s">
        <v>14</v>
      </c>
      <c r="C223" t="s">
        <v>70</v>
      </c>
      <c r="D223" t="s">
        <v>16</v>
      </c>
      <c r="E223">
        <v>6</v>
      </c>
      <c r="F223">
        <f>MAX(-1,3-Tableau1[[#This Row],[Nb possédé (digital)]])</f>
        <v>-1</v>
      </c>
      <c r="G223">
        <v>6</v>
      </c>
      <c r="H223">
        <f>MAX(-1,3-Tableau1[[#This Row],[Possédé (physique)]])</f>
        <v>-1</v>
      </c>
      <c r="I223" t="str">
        <f>IF(Tableau1[[#This Row],[Manque (physique)]]&gt;Tableau1[[#This Row],[Manque (digital)]],"POD",IF(Tableau1[[#This Row],[Manque (digital)]]&gt;Tableau1[[#This Row],[Manque (physique)]],"MarketPlace",""))</f>
        <v/>
      </c>
      <c r="J223" t="s">
        <v>17</v>
      </c>
      <c r="K223" t="s">
        <v>97</v>
      </c>
      <c r="L223" t="s">
        <v>98</v>
      </c>
      <c r="M223" t="s">
        <v>98</v>
      </c>
      <c r="Q223" t="s">
        <v>99</v>
      </c>
    </row>
    <row r="224" spans="1:17" hidden="1" x14ac:dyDescent="0.25">
      <c r="A224" t="s">
        <v>341</v>
      </c>
      <c r="B224" t="s">
        <v>14</v>
      </c>
      <c r="C224" t="s">
        <v>70</v>
      </c>
      <c r="D224" t="s">
        <v>58</v>
      </c>
      <c r="E224">
        <v>4</v>
      </c>
      <c r="F224">
        <f>MAX(-1,3-Tableau1[[#This Row],[Nb possédé (digital)]])</f>
        <v>-1</v>
      </c>
      <c r="G224">
        <v>4</v>
      </c>
      <c r="H224">
        <f>MAX(-1,3-Tableau1[[#This Row],[Possédé (physique)]])</f>
        <v>-1</v>
      </c>
      <c r="I224" t="str">
        <f>IF(Tableau1[[#This Row],[Manque (physique)]]&gt;Tableau1[[#This Row],[Manque (digital)]],"POD",IF(Tableau1[[#This Row],[Manque (digital)]]&gt;Tableau1[[#This Row],[Manque (physique)]],"MarketPlace",""))</f>
        <v/>
      </c>
      <c r="J224" t="s">
        <v>17</v>
      </c>
      <c r="K224" t="s">
        <v>189</v>
      </c>
      <c r="L224" t="s">
        <v>20</v>
      </c>
      <c r="M224" t="s">
        <v>20</v>
      </c>
      <c r="Q224" t="s">
        <v>342</v>
      </c>
    </row>
    <row r="225" spans="1:17" hidden="1" x14ac:dyDescent="0.25">
      <c r="A225" t="s">
        <v>1063</v>
      </c>
      <c r="B225" t="s">
        <v>14</v>
      </c>
      <c r="C225" t="s">
        <v>70</v>
      </c>
      <c r="D225" t="s">
        <v>58</v>
      </c>
      <c r="E225">
        <v>3</v>
      </c>
      <c r="F225">
        <f>MAX(-1,3-Tableau1[[#This Row],[Nb possédé (digital)]])</f>
        <v>0</v>
      </c>
      <c r="G225">
        <v>3</v>
      </c>
      <c r="H225">
        <f>MAX(-1,3-Tableau1[[#This Row],[Possédé (physique)]])</f>
        <v>0</v>
      </c>
      <c r="I225" t="str">
        <f>IF(Tableau1[[#This Row],[Manque (physique)]]&gt;Tableau1[[#This Row],[Manque (digital)]],"POD",IF(Tableau1[[#This Row],[Manque (digital)]]&gt;Tableau1[[#This Row],[Manque (physique)]],"MarketPlace",""))</f>
        <v/>
      </c>
      <c r="J225" t="s">
        <v>116</v>
      </c>
      <c r="K225" t="s">
        <v>117</v>
      </c>
      <c r="L225" t="s">
        <v>20</v>
      </c>
      <c r="M225" t="s">
        <v>20</v>
      </c>
      <c r="Q225" t="s">
        <v>1064</v>
      </c>
    </row>
    <row r="226" spans="1:17" hidden="1" x14ac:dyDescent="0.25">
      <c r="A226" t="s">
        <v>1080</v>
      </c>
      <c r="B226" t="s">
        <v>14</v>
      </c>
      <c r="C226" t="s">
        <v>70</v>
      </c>
      <c r="D226" t="s">
        <v>58</v>
      </c>
      <c r="E226">
        <v>3</v>
      </c>
      <c r="F226">
        <f>MAX(-1,3-Tableau1[[#This Row],[Nb possédé (digital)]])</f>
        <v>0</v>
      </c>
      <c r="G226">
        <v>3</v>
      </c>
      <c r="H226">
        <f>MAX(-1,3-Tableau1[[#This Row],[Possédé (physique)]])</f>
        <v>0</v>
      </c>
      <c r="I226" t="str">
        <f>IF(Tableau1[[#This Row],[Manque (physique)]]&gt;Tableau1[[#This Row],[Manque (digital)]],"POD",IF(Tableau1[[#This Row],[Manque (digital)]]&gt;Tableau1[[#This Row],[Manque (physique)]],"MarketPlace",""))</f>
        <v/>
      </c>
      <c r="J226" t="s">
        <v>17</v>
      </c>
      <c r="K226" t="s">
        <v>97</v>
      </c>
      <c r="L226" t="s">
        <v>20</v>
      </c>
      <c r="M226" t="s">
        <v>20</v>
      </c>
      <c r="Q226" t="s">
        <v>1081</v>
      </c>
    </row>
    <row r="227" spans="1:17" hidden="1" x14ac:dyDescent="0.25">
      <c r="A227" t="s">
        <v>1117</v>
      </c>
      <c r="B227" t="s">
        <v>14</v>
      </c>
      <c r="C227" t="s">
        <v>70</v>
      </c>
      <c r="D227" t="s">
        <v>58</v>
      </c>
      <c r="E227">
        <v>3</v>
      </c>
      <c r="F227">
        <f>MAX(-1,3-Tableau1[[#This Row],[Nb possédé (digital)]])</f>
        <v>0</v>
      </c>
      <c r="G227">
        <v>3</v>
      </c>
      <c r="H227">
        <f>MAX(-1,3-Tableau1[[#This Row],[Possédé (physique)]])</f>
        <v>0</v>
      </c>
      <c r="I227" t="str">
        <f>IF(Tableau1[[#This Row],[Manque (physique)]]&gt;Tableau1[[#This Row],[Manque (digital)]],"POD",IF(Tableau1[[#This Row],[Manque (digital)]]&gt;Tableau1[[#This Row],[Manque (physique)]],"MarketPlace",""))</f>
        <v/>
      </c>
      <c r="J227" t="s">
        <v>17</v>
      </c>
      <c r="K227" t="s">
        <v>201</v>
      </c>
      <c r="L227" t="s">
        <v>20</v>
      </c>
      <c r="M227" t="s">
        <v>20</v>
      </c>
      <c r="Q227" t="s">
        <v>1118</v>
      </c>
    </row>
    <row r="228" spans="1:17" hidden="1" x14ac:dyDescent="0.25">
      <c r="A228" t="s">
        <v>271</v>
      </c>
      <c r="B228" t="s">
        <v>14</v>
      </c>
      <c r="C228" t="s">
        <v>70</v>
      </c>
      <c r="D228" t="s">
        <v>58</v>
      </c>
      <c r="E228">
        <v>3</v>
      </c>
      <c r="F228">
        <f>MAX(-1,3-Tableau1[[#This Row],[Nb possédé (digital)]])</f>
        <v>0</v>
      </c>
      <c r="G228">
        <v>3</v>
      </c>
      <c r="H228">
        <f>MAX(-1,3-Tableau1[[#This Row],[Possédé (physique)]])</f>
        <v>0</v>
      </c>
      <c r="I228" t="str">
        <f>IF(Tableau1[[#This Row],[Manque (physique)]]&gt;Tableau1[[#This Row],[Manque (digital)]],"POD",IF(Tableau1[[#This Row],[Manque (digital)]]&gt;Tableau1[[#This Row],[Manque (physique)]],"MarketPlace",""))</f>
        <v/>
      </c>
      <c r="J228" t="s">
        <v>30</v>
      </c>
      <c r="K228" t="s">
        <v>68</v>
      </c>
      <c r="L228" t="s">
        <v>19</v>
      </c>
      <c r="M228" t="s">
        <v>19</v>
      </c>
      <c r="N228" t="s">
        <v>89</v>
      </c>
      <c r="O228" t="s">
        <v>23</v>
      </c>
      <c r="P228" t="s">
        <v>19</v>
      </c>
      <c r="Q228" t="s">
        <v>272</v>
      </c>
    </row>
    <row r="229" spans="1:17" hidden="1" x14ac:dyDescent="0.25">
      <c r="A229" t="s">
        <v>395</v>
      </c>
      <c r="B229" t="s">
        <v>14</v>
      </c>
      <c r="C229" t="s">
        <v>70</v>
      </c>
      <c r="D229" t="s">
        <v>58</v>
      </c>
      <c r="E229">
        <v>3</v>
      </c>
      <c r="F229">
        <f>MAX(-1,3-Tableau1[[#This Row],[Nb possédé (digital)]])</f>
        <v>0</v>
      </c>
      <c r="G229">
        <v>3</v>
      </c>
      <c r="H229">
        <f>MAX(-1,3-Tableau1[[#This Row],[Possédé (physique)]])</f>
        <v>0</v>
      </c>
      <c r="I229" t="str">
        <f>IF(Tableau1[[#This Row],[Manque (physique)]]&gt;Tableau1[[#This Row],[Manque (digital)]],"POD",IF(Tableau1[[#This Row],[Manque (digital)]]&gt;Tableau1[[#This Row],[Manque (physique)]],"MarketPlace",""))</f>
        <v/>
      </c>
      <c r="J229" t="s">
        <v>30</v>
      </c>
      <c r="K229" t="s">
        <v>79</v>
      </c>
      <c r="L229" t="s">
        <v>19</v>
      </c>
      <c r="M229" t="s">
        <v>19</v>
      </c>
      <c r="N229" t="s">
        <v>19</v>
      </c>
      <c r="O229" t="s">
        <v>19</v>
      </c>
      <c r="P229" t="s">
        <v>19</v>
      </c>
      <c r="Q229" t="s">
        <v>396</v>
      </c>
    </row>
    <row r="230" spans="1:17" hidden="1" x14ac:dyDescent="0.25">
      <c r="A230" t="s">
        <v>682</v>
      </c>
      <c r="B230" t="s">
        <v>14</v>
      </c>
      <c r="C230" t="s">
        <v>70</v>
      </c>
      <c r="D230" t="s">
        <v>58</v>
      </c>
      <c r="E230">
        <v>4</v>
      </c>
      <c r="F230">
        <f>MAX(-1,3-Tableau1[[#This Row],[Nb possédé (digital)]])</f>
        <v>-1</v>
      </c>
      <c r="G230">
        <v>4</v>
      </c>
      <c r="H230">
        <f>MAX(-1,3-Tableau1[[#This Row],[Possédé (physique)]])</f>
        <v>-1</v>
      </c>
      <c r="I230" t="str">
        <f>IF(Tableau1[[#This Row],[Manque (physique)]]&gt;Tableau1[[#This Row],[Manque (digital)]],"POD",IF(Tableau1[[#This Row],[Manque (digital)]]&gt;Tableau1[[#This Row],[Manque (physique)]],"MarketPlace",""))</f>
        <v/>
      </c>
      <c r="J230" t="s">
        <v>30</v>
      </c>
      <c r="K230" t="s">
        <v>328</v>
      </c>
      <c r="L230" t="s">
        <v>19</v>
      </c>
      <c r="M230" t="s">
        <v>19</v>
      </c>
      <c r="N230" t="s">
        <v>89</v>
      </c>
      <c r="O230" t="s">
        <v>23</v>
      </c>
      <c r="P230" t="s">
        <v>23</v>
      </c>
      <c r="Q230" t="s">
        <v>683</v>
      </c>
    </row>
    <row r="231" spans="1:17" hidden="1" x14ac:dyDescent="0.25">
      <c r="A231" t="s">
        <v>454</v>
      </c>
      <c r="B231" t="s">
        <v>14</v>
      </c>
      <c r="C231" t="s">
        <v>70</v>
      </c>
      <c r="D231" t="s">
        <v>58</v>
      </c>
      <c r="E231">
        <v>3</v>
      </c>
      <c r="F231">
        <f>MAX(-1,3-Tableau1[[#This Row],[Nb possédé (digital)]])</f>
        <v>0</v>
      </c>
      <c r="G231">
        <v>3</v>
      </c>
      <c r="H231">
        <f>MAX(-1,3-Tableau1[[#This Row],[Possédé (physique)]])</f>
        <v>0</v>
      </c>
      <c r="I231" t="str">
        <f>IF(Tableau1[[#This Row],[Manque (physique)]]&gt;Tableau1[[#This Row],[Manque (digital)]],"POD",IF(Tableau1[[#This Row],[Manque (digital)]]&gt;Tableau1[[#This Row],[Manque (physique)]],"MarketPlace",""))</f>
        <v/>
      </c>
      <c r="J231" t="s">
        <v>30</v>
      </c>
      <c r="K231" t="s">
        <v>103</v>
      </c>
      <c r="L231" t="s">
        <v>23</v>
      </c>
      <c r="M231" t="s">
        <v>19</v>
      </c>
      <c r="N231" t="s">
        <v>89</v>
      </c>
      <c r="O231" t="s">
        <v>89</v>
      </c>
      <c r="P231" t="s">
        <v>23</v>
      </c>
      <c r="Q231" t="s">
        <v>455</v>
      </c>
    </row>
    <row r="232" spans="1:17" hidden="1" x14ac:dyDescent="0.25">
      <c r="A232" t="s">
        <v>817</v>
      </c>
      <c r="B232" t="s">
        <v>14</v>
      </c>
      <c r="C232" t="s">
        <v>70</v>
      </c>
      <c r="D232" t="s">
        <v>58</v>
      </c>
      <c r="E232">
        <v>3</v>
      </c>
      <c r="F232">
        <f>MAX(-1,3-Tableau1[[#This Row],[Nb possédé (digital)]])</f>
        <v>0</v>
      </c>
      <c r="G232">
        <v>3</v>
      </c>
      <c r="H232">
        <f>MAX(-1,3-Tableau1[[#This Row],[Possédé (physique)]])</f>
        <v>0</v>
      </c>
      <c r="I232" t="str">
        <f>IF(Tableau1[[#This Row],[Manque (physique)]]&gt;Tableau1[[#This Row],[Manque (digital)]],"POD",IF(Tableau1[[#This Row],[Manque (digital)]]&gt;Tableau1[[#This Row],[Manque (physique)]],"MarketPlace",""))</f>
        <v/>
      </c>
      <c r="J232" t="s">
        <v>30</v>
      </c>
      <c r="K232" t="s">
        <v>68</v>
      </c>
      <c r="L232" t="s">
        <v>23</v>
      </c>
      <c r="M232" t="s">
        <v>23</v>
      </c>
      <c r="N232" t="s">
        <v>23</v>
      </c>
      <c r="O232" t="s">
        <v>89</v>
      </c>
      <c r="P232" t="s">
        <v>23</v>
      </c>
      <c r="Q232" t="s">
        <v>818</v>
      </c>
    </row>
    <row r="233" spans="1:17" hidden="1" x14ac:dyDescent="0.25">
      <c r="A233" t="s">
        <v>830</v>
      </c>
      <c r="B233" t="s">
        <v>14</v>
      </c>
      <c r="C233" t="s">
        <v>70</v>
      </c>
      <c r="D233" t="s">
        <v>58</v>
      </c>
      <c r="E233">
        <v>4</v>
      </c>
      <c r="F233">
        <f>MAX(-1,3-Tableau1[[#This Row],[Nb possédé (digital)]])</f>
        <v>-1</v>
      </c>
      <c r="G233">
        <v>4</v>
      </c>
      <c r="H233">
        <f>MAX(-1,3-Tableau1[[#This Row],[Possédé (physique)]])</f>
        <v>-1</v>
      </c>
      <c r="I233" t="str">
        <f>IF(Tableau1[[#This Row],[Manque (physique)]]&gt;Tableau1[[#This Row],[Manque (digital)]],"POD",IF(Tableau1[[#This Row],[Manque (digital)]]&gt;Tableau1[[#This Row],[Manque (physique)]],"MarketPlace",""))</f>
        <v/>
      </c>
      <c r="J233" t="s">
        <v>30</v>
      </c>
      <c r="K233" t="s">
        <v>124</v>
      </c>
      <c r="L233" t="s">
        <v>23</v>
      </c>
      <c r="M233" t="s">
        <v>23</v>
      </c>
      <c r="N233" t="s">
        <v>23</v>
      </c>
      <c r="O233" t="s">
        <v>23</v>
      </c>
      <c r="P233" t="s">
        <v>89</v>
      </c>
      <c r="Q233" t="s">
        <v>831</v>
      </c>
    </row>
    <row r="234" spans="1:17" hidden="1" x14ac:dyDescent="0.25">
      <c r="A234" t="s">
        <v>1078</v>
      </c>
      <c r="B234" t="s">
        <v>14</v>
      </c>
      <c r="C234" t="s">
        <v>70</v>
      </c>
      <c r="D234" t="s">
        <v>58</v>
      </c>
      <c r="E234">
        <v>3</v>
      </c>
      <c r="F234">
        <f>MAX(-1,3-Tableau1[[#This Row],[Nb possédé (digital)]])</f>
        <v>0</v>
      </c>
      <c r="G234">
        <v>3</v>
      </c>
      <c r="H234">
        <f>MAX(-1,3-Tableau1[[#This Row],[Possédé (physique)]])</f>
        <v>0</v>
      </c>
      <c r="I234" t="str">
        <f>IF(Tableau1[[#This Row],[Manque (physique)]]&gt;Tableau1[[#This Row],[Manque (digital)]],"POD",IF(Tableau1[[#This Row],[Manque (digital)]]&gt;Tableau1[[#This Row],[Manque (physique)]],"MarketPlace",""))</f>
        <v/>
      </c>
      <c r="J234" t="s">
        <v>268</v>
      </c>
      <c r="K234" t="s">
        <v>269</v>
      </c>
      <c r="L234" t="s">
        <v>23</v>
      </c>
      <c r="M234" t="s">
        <v>23</v>
      </c>
      <c r="Q234" t="s">
        <v>1079</v>
      </c>
    </row>
    <row r="235" spans="1:17" hidden="1" x14ac:dyDescent="0.25">
      <c r="A235" t="s">
        <v>210</v>
      </c>
      <c r="B235" t="s">
        <v>14</v>
      </c>
      <c r="C235" t="s">
        <v>70</v>
      </c>
      <c r="D235" t="s">
        <v>58</v>
      </c>
      <c r="E235">
        <v>4</v>
      </c>
      <c r="F235">
        <f>MAX(-1,3-Tableau1[[#This Row],[Nb possédé (digital)]])</f>
        <v>-1</v>
      </c>
      <c r="G235">
        <v>4</v>
      </c>
      <c r="H235">
        <f>MAX(-1,3-Tableau1[[#This Row],[Possédé (physique)]])</f>
        <v>-1</v>
      </c>
      <c r="I235" t="str">
        <f>IF(Tableau1[[#This Row],[Manque (physique)]]&gt;Tableau1[[#This Row],[Manque (digital)]],"POD",IF(Tableau1[[#This Row],[Manque (digital)]]&gt;Tableau1[[#This Row],[Manque (physique)]],"MarketPlace",""))</f>
        <v/>
      </c>
      <c r="J235" t="s">
        <v>17</v>
      </c>
      <c r="K235" t="s">
        <v>153</v>
      </c>
      <c r="L235" t="s">
        <v>52</v>
      </c>
      <c r="M235" t="s">
        <v>52</v>
      </c>
      <c r="Q235" t="s">
        <v>211</v>
      </c>
    </row>
    <row r="236" spans="1:17" hidden="1" x14ac:dyDescent="0.25">
      <c r="A236" t="s">
        <v>538</v>
      </c>
      <c r="B236" t="s">
        <v>14</v>
      </c>
      <c r="C236" t="s">
        <v>70</v>
      </c>
      <c r="D236" t="s">
        <v>58</v>
      </c>
      <c r="E236">
        <v>3</v>
      </c>
      <c r="F236">
        <f>MAX(-1,3-Tableau1[[#This Row],[Nb possédé (digital)]])</f>
        <v>0</v>
      </c>
      <c r="G236">
        <v>3</v>
      </c>
      <c r="H236">
        <f>MAX(-1,3-Tableau1[[#This Row],[Possédé (physique)]])</f>
        <v>0</v>
      </c>
      <c r="I236" t="str">
        <f>IF(Tableau1[[#This Row],[Manque (physique)]]&gt;Tableau1[[#This Row],[Manque (digital)]],"POD",IF(Tableau1[[#This Row],[Manque (digital)]]&gt;Tableau1[[#This Row],[Manque (physique)]],"MarketPlace",""))</f>
        <v/>
      </c>
      <c r="J236" t="s">
        <v>30</v>
      </c>
      <c r="K236" t="s">
        <v>539</v>
      </c>
      <c r="L236" t="s">
        <v>52</v>
      </c>
      <c r="M236" t="s">
        <v>52</v>
      </c>
      <c r="N236" t="s">
        <v>52</v>
      </c>
      <c r="O236" t="s">
        <v>52</v>
      </c>
      <c r="P236" t="s">
        <v>52</v>
      </c>
      <c r="Q236" t="s">
        <v>540</v>
      </c>
    </row>
    <row r="237" spans="1:17" hidden="1" x14ac:dyDescent="0.25">
      <c r="A237" t="s">
        <v>730</v>
      </c>
      <c r="B237" t="s">
        <v>14</v>
      </c>
      <c r="C237" t="s">
        <v>70</v>
      </c>
      <c r="D237" t="s">
        <v>58</v>
      </c>
      <c r="E237">
        <v>3</v>
      </c>
      <c r="F237">
        <f>MAX(-1,3-Tableau1[[#This Row],[Nb possédé (digital)]])</f>
        <v>0</v>
      </c>
      <c r="G237">
        <v>3</v>
      </c>
      <c r="H237">
        <f>MAX(-1,3-Tableau1[[#This Row],[Possédé (physique)]])</f>
        <v>0</v>
      </c>
      <c r="I237" t="str">
        <f>IF(Tableau1[[#This Row],[Manque (physique)]]&gt;Tableau1[[#This Row],[Manque (digital)]],"POD",IF(Tableau1[[#This Row],[Manque (digital)]]&gt;Tableau1[[#This Row],[Manque (physique)]],"MarketPlace",""))</f>
        <v/>
      </c>
      <c r="J237" t="s">
        <v>116</v>
      </c>
      <c r="K237" t="s">
        <v>117</v>
      </c>
      <c r="L237" t="s">
        <v>52</v>
      </c>
      <c r="M237" t="s">
        <v>52</v>
      </c>
      <c r="Q237" t="s">
        <v>731</v>
      </c>
    </row>
    <row r="238" spans="1:17" hidden="1" x14ac:dyDescent="0.25">
      <c r="A238" t="s">
        <v>716</v>
      </c>
      <c r="B238" t="s">
        <v>14</v>
      </c>
      <c r="C238" t="s">
        <v>70</v>
      </c>
      <c r="D238" t="s">
        <v>58</v>
      </c>
      <c r="E238">
        <v>3</v>
      </c>
      <c r="F238">
        <f>MAX(-1,3-Tableau1[[#This Row],[Nb possédé (digital)]])</f>
        <v>0</v>
      </c>
      <c r="G238">
        <v>3</v>
      </c>
      <c r="H238">
        <f>MAX(-1,3-Tableau1[[#This Row],[Possédé (physique)]])</f>
        <v>0</v>
      </c>
      <c r="I238" t="str">
        <f>IF(Tableau1[[#This Row],[Manque (physique)]]&gt;Tableau1[[#This Row],[Manque (digital)]],"POD",IF(Tableau1[[#This Row],[Manque (digital)]]&gt;Tableau1[[#This Row],[Manque (physique)]],"MarketPlace",""))</f>
        <v/>
      </c>
      <c r="J238" t="s">
        <v>30</v>
      </c>
      <c r="K238" t="s">
        <v>557</v>
      </c>
      <c r="L238" t="s">
        <v>37</v>
      </c>
      <c r="M238" t="s">
        <v>37</v>
      </c>
      <c r="N238" t="s">
        <v>89</v>
      </c>
      <c r="O238" t="s">
        <v>37</v>
      </c>
      <c r="P238" t="s">
        <v>37</v>
      </c>
      <c r="Q238" t="s">
        <v>717</v>
      </c>
    </row>
    <row r="239" spans="1:17" hidden="1" x14ac:dyDescent="0.25">
      <c r="A239" t="s">
        <v>1504</v>
      </c>
      <c r="B239" t="s">
        <v>14</v>
      </c>
      <c r="C239" t="s">
        <v>70</v>
      </c>
      <c r="D239" t="s">
        <v>1496</v>
      </c>
      <c r="E239">
        <v>11</v>
      </c>
      <c r="F239">
        <f>MAX(-1,3-Tableau1[[#This Row],[Nb possédé (digital)]])</f>
        <v>-1</v>
      </c>
      <c r="G239">
        <v>11</v>
      </c>
      <c r="H239">
        <f>MAX(-1,3-Tableau1[[#This Row],[Possédé (physique)]])</f>
        <v>-1</v>
      </c>
      <c r="I239" t="str">
        <f>IF(Tableau1[[#This Row],[Manque (physique)]]&gt;Tableau1[[#This Row],[Manque (digital)]],"POD",IF(Tableau1[[#This Row],[Manque (digital)]]&gt;Tableau1[[#This Row],[Manque (physique)]],"MarketPlace",""))</f>
        <v/>
      </c>
      <c r="J239" t="s">
        <v>116</v>
      </c>
      <c r="K239" t="s">
        <v>117</v>
      </c>
      <c r="L239" t="s">
        <v>20</v>
      </c>
      <c r="M239" t="s">
        <v>19</v>
      </c>
      <c r="Q239" t="s">
        <v>1615</v>
      </c>
    </row>
    <row r="240" spans="1:17" hidden="1" x14ac:dyDescent="0.25">
      <c r="A240" t="s">
        <v>1563</v>
      </c>
      <c r="B240" t="s">
        <v>14</v>
      </c>
      <c r="C240" t="s">
        <v>70</v>
      </c>
      <c r="D240" t="s">
        <v>1496</v>
      </c>
      <c r="E240">
        <v>9</v>
      </c>
      <c r="F240">
        <f>MAX(-1,3-Tableau1[[#This Row],[Nb possédé (digital)]])</f>
        <v>-1</v>
      </c>
      <c r="G240">
        <v>9</v>
      </c>
      <c r="H240">
        <f>MAX(-1,3-Tableau1[[#This Row],[Possédé (physique)]])</f>
        <v>-1</v>
      </c>
      <c r="I240" t="str">
        <f>IF(Tableau1[[#This Row],[Manque (physique)]]&gt;Tableau1[[#This Row],[Manque (digital)]],"POD",IF(Tableau1[[#This Row],[Manque (digital)]]&gt;Tableau1[[#This Row],[Manque (physique)]],"MarketPlace",""))</f>
        <v/>
      </c>
      <c r="J240" t="s">
        <v>30</v>
      </c>
      <c r="K240" t="s">
        <v>292</v>
      </c>
      <c r="L240" t="s">
        <v>19</v>
      </c>
      <c r="M240" t="s">
        <v>20</v>
      </c>
      <c r="N240" t="s">
        <v>89</v>
      </c>
      <c r="O240" t="s">
        <v>89</v>
      </c>
      <c r="P240" t="s">
        <v>23</v>
      </c>
    </row>
    <row r="241" spans="1:17" hidden="1" x14ac:dyDescent="0.25">
      <c r="A241" t="s">
        <v>1501</v>
      </c>
      <c r="B241" t="s">
        <v>14</v>
      </c>
      <c r="C241" t="s">
        <v>70</v>
      </c>
      <c r="D241" t="s">
        <v>1496</v>
      </c>
      <c r="E241">
        <v>10</v>
      </c>
      <c r="F241">
        <f>MAX(-1,3-Tableau1[[#This Row],[Nb possédé (digital)]])</f>
        <v>-1</v>
      </c>
      <c r="G241">
        <v>10</v>
      </c>
      <c r="H241">
        <f>MAX(-1,3-Tableau1[[#This Row],[Possédé (physique)]])</f>
        <v>-1</v>
      </c>
      <c r="I241" t="str">
        <f>IF(Tableau1[[#This Row],[Manque (physique)]]&gt;Tableau1[[#This Row],[Manque (digital)]],"POD",IF(Tableau1[[#This Row],[Manque (digital)]]&gt;Tableau1[[#This Row],[Manque (physique)]],"MarketPlace",""))</f>
        <v/>
      </c>
      <c r="J241" t="s">
        <v>30</v>
      </c>
      <c r="K241" t="s">
        <v>171</v>
      </c>
      <c r="L241" t="s">
        <v>19</v>
      </c>
      <c r="M241" t="s">
        <v>19</v>
      </c>
      <c r="N241" t="s">
        <v>89</v>
      </c>
      <c r="O241" t="s">
        <v>19</v>
      </c>
      <c r="P241" t="s">
        <v>19</v>
      </c>
      <c r="Q241" t="s">
        <v>1609</v>
      </c>
    </row>
    <row r="242" spans="1:17" hidden="1" x14ac:dyDescent="0.25">
      <c r="A242" t="s">
        <v>1528</v>
      </c>
      <c r="B242" t="s">
        <v>14</v>
      </c>
      <c r="C242" t="s">
        <v>70</v>
      </c>
      <c r="D242" t="s">
        <v>1496</v>
      </c>
      <c r="E242">
        <v>8</v>
      </c>
      <c r="F242">
        <f>MAX(-1,3-Tableau1[[#This Row],[Nb possédé (digital)]])</f>
        <v>-1</v>
      </c>
      <c r="G242">
        <v>8</v>
      </c>
      <c r="H242">
        <f>MAX(-1,3-Tableau1[[#This Row],[Possédé (physique)]])</f>
        <v>-1</v>
      </c>
      <c r="I242" t="str">
        <f>IF(Tableau1[[#This Row],[Manque (physique)]]&gt;Tableau1[[#This Row],[Manque (digital)]],"POD",IF(Tableau1[[#This Row],[Manque (digital)]]&gt;Tableau1[[#This Row],[Manque (physique)]],"MarketPlace",""))</f>
        <v/>
      </c>
      <c r="J242" t="s">
        <v>30</v>
      </c>
      <c r="K242" t="s">
        <v>83</v>
      </c>
      <c r="L242" t="s">
        <v>19</v>
      </c>
      <c r="M242" t="s">
        <v>19</v>
      </c>
      <c r="N242" t="s">
        <v>23</v>
      </c>
      <c r="O242" t="s">
        <v>23</v>
      </c>
      <c r="P242" t="s">
        <v>89</v>
      </c>
    </row>
    <row r="243" spans="1:17" hidden="1" x14ac:dyDescent="0.25">
      <c r="A243" t="s">
        <v>1529</v>
      </c>
      <c r="B243" t="s">
        <v>14</v>
      </c>
      <c r="C243" t="s">
        <v>70</v>
      </c>
      <c r="D243" t="s">
        <v>1496</v>
      </c>
      <c r="E243">
        <v>8</v>
      </c>
      <c r="F243">
        <f>MAX(-1,3-Tableau1[[#This Row],[Nb possédé (digital)]])</f>
        <v>-1</v>
      </c>
      <c r="G243">
        <v>8</v>
      </c>
      <c r="H243">
        <f>MAX(-1,3-Tableau1[[#This Row],[Possédé (physique)]])</f>
        <v>-1</v>
      </c>
      <c r="I243" t="str">
        <f>IF(Tableau1[[#This Row],[Manque (physique)]]&gt;Tableau1[[#This Row],[Manque (digital)]],"POD",IF(Tableau1[[#This Row],[Manque (digital)]]&gt;Tableau1[[#This Row],[Manque (physique)]],"MarketPlace",""))</f>
        <v/>
      </c>
      <c r="J243" t="s">
        <v>30</v>
      </c>
      <c r="K243" t="s">
        <v>68</v>
      </c>
      <c r="L243" t="s">
        <v>19</v>
      </c>
      <c r="M243" t="s">
        <v>19</v>
      </c>
      <c r="N243" t="s">
        <v>19</v>
      </c>
      <c r="O243" t="s">
        <v>19</v>
      </c>
      <c r="P243" t="s">
        <v>20</v>
      </c>
      <c r="Q243" t="s">
        <v>1669</v>
      </c>
    </row>
    <row r="244" spans="1:17" hidden="1" x14ac:dyDescent="0.25">
      <c r="A244" t="s">
        <v>1560</v>
      </c>
      <c r="B244" t="s">
        <v>14</v>
      </c>
      <c r="C244" t="s">
        <v>70</v>
      </c>
      <c r="D244" t="s">
        <v>1496</v>
      </c>
      <c r="E244">
        <v>14</v>
      </c>
      <c r="F244">
        <f>MAX(-1,3-Tableau1[[#This Row],[Nb possédé (digital)]])</f>
        <v>-1</v>
      </c>
      <c r="G244">
        <v>14</v>
      </c>
      <c r="H244">
        <f>MAX(-1,3-Tableau1[[#This Row],[Possédé (physique)]])</f>
        <v>-1</v>
      </c>
      <c r="I244" t="str">
        <f>IF(Tableau1[[#This Row],[Manque (physique)]]&gt;Tableau1[[#This Row],[Manque (digital)]],"POD",IF(Tableau1[[#This Row],[Manque (digital)]]&gt;Tableau1[[#This Row],[Manque (physique)]],"MarketPlace",""))</f>
        <v/>
      </c>
      <c r="J244" t="s">
        <v>30</v>
      </c>
      <c r="K244" t="s">
        <v>124</v>
      </c>
      <c r="L244" t="s">
        <v>19</v>
      </c>
      <c r="M244" t="s">
        <v>19</v>
      </c>
      <c r="N244" t="s">
        <v>89</v>
      </c>
      <c r="O244" t="s">
        <v>19</v>
      </c>
      <c r="P244" t="s">
        <v>23</v>
      </c>
      <c r="Q244" t="s">
        <v>1737</v>
      </c>
    </row>
    <row r="245" spans="1:17" hidden="1" x14ac:dyDescent="0.25">
      <c r="A245" t="s">
        <v>1580</v>
      </c>
      <c r="B245" t="s">
        <v>14</v>
      </c>
      <c r="C245" t="s">
        <v>70</v>
      </c>
      <c r="D245" t="s">
        <v>1496</v>
      </c>
      <c r="E245">
        <v>9</v>
      </c>
      <c r="F245">
        <f>MAX(-1,3-Tableau1[[#This Row],[Nb possédé (digital)]])</f>
        <v>-1</v>
      </c>
      <c r="G245">
        <v>9</v>
      </c>
      <c r="H245">
        <f>MAX(-1,3-Tableau1[[#This Row],[Possédé (physique)]])</f>
        <v>-1</v>
      </c>
      <c r="I245" t="str">
        <f>IF(Tableau1[[#This Row],[Manque (physique)]]&gt;Tableau1[[#This Row],[Manque (digital)]],"POD",IF(Tableau1[[#This Row],[Manque (digital)]]&gt;Tableau1[[#This Row],[Manque (physique)]],"MarketPlace",""))</f>
        <v/>
      </c>
      <c r="J245" t="s">
        <v>268</v>
      </c>
      <c r="K245" t="s">
        <v>269</v>
      </c>
      <c r="L245" t="s">
        <v>19</v>
      </c>
      <c r="M245" t="s">
        <v>19</v>
      </c>
      <c r="Q245" t="s">
        <v>1782</v>
      </c>
    </row>
    <row r="246" spans="1:17" hidden="1" x14ac:dyDescent="0.25">
      <c r="A246" t="s">
        <v>1579</v>
      </c>
      <c r="B246" t="s">
        <v>14</v>
      </c>
      <c r="C246" t="s">
        <v>70</v>
      </c>
      <c r="D246" t="s">
        <v>1496</v>
      </c>
      <c r="E246">
        <v>11</v>
      </c>
      <c r="F246">
        <f>MAX(-1,3-Tableau1[[#This Row],[Nb possédé (digital)]])</f>
        <v>-1</v>
      </c>
      <c r="G246">
        <v>11</v>
      </c>
      <c r="H246">
        <f>MAX(-1,3-Tableau1[[#This Row],[Possédé (physique)]])</f>
        <v>-1</v>
      </c>
      <c r="I246" t="str">
        <f>IF(Tableau1[[#This Row],[Manque (physique)]]&gt;Tableau1[[#This Row],[Manque (digital)]],"POD",IF(Tableau1[[#This Row],[Manque (digital)]]&gt;Tableau1[[#This Row],[Manque (physique)]],"MarketPlace",""))</f>
        <v/>
      </c>
      <c r="J246" t="s">
        <v>30</v>
      </c>
      <c r="K246" t="s">
        <v>83</v>
      </c>
      <c r="L246" t="s">
        <v>23</v>
      </c>
      <c r="M246" t="s">
        <v>19</v>
      </c>
      <c r="N246" t="s">
        <v>89</v>
      </c>
      <c r="O246" t="s">
        <v>23</v>
      </c>
      <c r="P246" t="s">
        <v>19</v>
      </c>
      <c r="Q246" t="s">
        <v>1779</v>
      </c>
    </row>
    <row r="247" spans="1:17" hidden="1" x14ac:dyDescent="0.25">
      <c r="A247" t="s">
        <v>1506</v>
      </c>
      <c r="B247" t="s">
        <v>14</v>
      </c>
      <c r="C247" t="s">
        <v>70</v>
      </c>
      <c r="D247" t="s">
        <v>1496</v>
      </c>
      <c r="E247">
        <v>9</v>
      </c>
      <c r="F247">
        <f>MAX(-1,3-Tableau1[[#This Row],[Nb possédé (digital)]])</f>
        <v>-1</v>
      </c>
      <c r="G247">
        <v>9</v>
      </c>
      <c r="H247">
        <f>MAX(-1,3-Tableau1[[#This Row],[Possédé (physique)]])</f>
        <v>-1</v>
      </c>
      <c r="I247" t="str">
        <f>IF(Tableau1[[#This Row],[Manque (physique)]]&gt;Tableau1[[#This Row],[Manque (digital)]],"POD",IF(Tableau1[[#This Row],[Manque (digital)]]&gt;Tableau1[[#This Row],[Manque (physique)]],"MarketPlace",""))</f>
        <v/>
      </c>
      <c r="J247" t="s">
        <v>30</v>
      </c>
      <c r="K247" t="s">
        <v>79</v>
      </c>
      <c r="L247" t="s">
        <v>23</v>
      </c>
      <c r="M247" t="s">
        <v>23</v>
      </c>
      <c r="N247" t="s">
        <v>19</v>
      </c>
      <c r="O247" t="s">
        <v>19</v>
      </c>
      <c r="P247" t="s">
        <v>23</v>
      </c>
      <c r="Q247" t="s">
        <v>1621</v>
      </c>
    </row>
    <row r="248" spans="1:17" hidden="1" x14ac:dyDescent="0.25">
      <c r="A248" t="s">
        <v>1514</v>
      </c>
      <c r="B248" t="s">
        <v>14</v>
      </c>
      <c r="C248" t="s">
        <v>70</v>
      </c>
      <c r="D248" t="s">
        <v>1496</v>
      </c>
      <c r="E248">
        <v>9</v>
      </c>
      <c r="F248">
        <f>MAX(-1,3-Tableau1[[#This Row],[Nb possédé (digital)]])</f>
        <v>-1</v>
      </c>
      <c r="G248">
        <v>9</v>
      </c>
      <c r="H248">
        <f>MAX(-1,3-Tableau1[[#This Row],[Possédé (physique)]])</f>
        <v>-1</v>
      </c>
      <c r="I248" t="str">
        <f>IF(Tableau1[[#This Row],[Manque (physique)]]&gt;Tableau1[[#This Row],[Manque (digital)]],"POD",IF(Tableau1[[#This Row],[Manque (digital)]]&gt;Tableau1[[#This Row],[Manque (physique)]],"MarketPlace",""))</f>
        <v/>
      </c>
      <c r="J248" t="s">
        <v>30</v>
      </c>
      <c r="K248" t="s">
        <v>83</v>
      </c>
      <c r="L248" t="s">
        <v>23</v>
      </c>
      <c r="M248" t="s">
        <v>23</v>
      </c>
      <c r="N248" t="s">
        <v>52</v>
      </c>
      <c r="O248" t="s">
        <v>52</v>
      </c>
      <c r="P248" t="s">
        <v>89</v>
      </c>
      <c r="Q248" t="s">
        <v>1637</v>
      </c>
    </row>
    <row r="249" spans="1:17" hidden="1" x14ac:dyDescent="0.25">
      <c r="A249" t="s">
        <v>1592</v>
      </c>
      <c r="B249" t="s">
        <v>14</v>
      </c>
      <c r="C249" t="s">
        <v>70</v>
      </c>
      <c r="D249" t="s">
        <v>1496</v>
      </c>
      <c r="E249">
        <v>8</v>
      </c>
      <c r="F249">
        <f>MAX(-1,3-Tableau1[[#This Row],[Nb possédé (digital)]])</f>
        <v>-1</v>
      </c>
      <c r="G249">
        <v>8</v>
      </c>
      <c r="H249">
        <f>MAX(-1,3-Tableau1[[#This Row],[Possédé (physique)]])</f>
        <v>-1</v>
      </c>
      <c r="I249" t="str">
        <f>IF(Tableau1[[#This Row],[Manque (physique)]]&gt;Tableau1[[#This Row],[Manque (digital)]],"POD",IF(Tableau1[[#This Row],[Manque (digital)]]&gt;Tableau1[[#This Row],[Manque (physique)]],"MarketPlace",""))</f>
        <v/>
      </c>
      <c r="J249" t="s">
        <v>30</v>
      </c>
      <c r="K249" t="s">
        <v>68</v>
      </c>
      <c r="L249" t="s">
        <v>23</v>
      </c>
      <c r="M249" t="s">
        <v>23</v>
      </c>
      <c r="N249" t="s">
        <v>52</v>
      </c>
      <c r="O249" t="s">
        <v>89</v>
      </c>
      <c r="P249" t="s">
        <v>52</v>
      </c>
      <c r="Q249" t="s">
        <v>1810</v>
      </c>
    </row>
    <row r="250" spans="1:17" hidden="1" x14ac:dyDescent="0.25">
      <c r="A250" t="s">
        <v>1516</v>
      </c>
      <c r="B250" t="s">
        <v>14</v>
      </c>
      <c r="C250" t="s">
        <v>70</v>
      </c>
      <c r="D250" t="s">
        <v>1496</v>
      </c>
      <c r="E250">
        <v>12</v>
      </c>
      <c r="F250">
        <f>MAX(-1,3-Tableau1[[#This Row],[Nb possédé (digital)]])</f>
        <v>-1</v>
      </c>
      <c r="G250">
        <v>12</v>
      </c>
      <c r="H250">
        <f>MAX(-1,3-Tableau1[[#This Row],[Possédé (physique)]])</f>
        <v>-1</v>
      </c>
      <c r="I250" t="str">
        <f>IF(Tableau1[[#This Row],[Manque (physique)]]&gt;Tableau1[[#This Row],[Manque (digital)]],"POD",IF(Tableau1[[#This Row],[Manque (digital)]]&gt;Tableau1[[#This Row],[Manque (physique)]],"MarketPlace",""))</f>
        <v/>
      </c>
      <c r="J250" t="s">
        <v>30</v>
      </c>
      <c r="K250" t="s">
        <v>83</v>
      </c>
      <c r="L250" t="s">
        <v>23</v>
      </c>
      <c r="M250" t="s">
        <v>52</v>
      </c>
      <c r="N250" t="s">
        <v>89</v>
      </c>
      <c r="O250" t="s">
        <v>37</v>
      </c>
      <c r="P250" t="s">
        <v>37</v>
      </c>
      <c r="Q250" t="s">
        <v>1640</v>
      </c>
    </row>
    <row r="251" spans="1:17" hidden="1" x14ac:dyDescent="0.25">
      <c r="A251" t="s">
        <v>1527</v>
      </c>
      <c r="B251" t="s">
        <v>14</v>
      </c>
      <c r="C251" t="s">
        <v>70</v>
      </c>
      <c r="D251" t="s">
        <v>1496</v>
      </c>
      <c r="E251">
        <v>10</v>
      </c>
      <c r="F251">
        <f>MAX(-1,3-Tableau1[[#This Row],[Nb possédé (digital)]])</f>
        <v>-1</v>
      </c>
      <c r="G251">
        <v>10</v>
      </c>
      <c r="H251">
        <f>MAX(-1,3-Tableau1[[#This Row],[Possédé (physique)]])</f>
        <v>-1</v>
      </c>
      <c r="I251" t="str">
        <f>IF(Tableau1[[#This Row],[Manque (physique)]]&gt;Tableau1[[#This Row],[Manque (digital)]],"POD",IF(Tableau1[[#This Row],[Manque (digital)]]&gt;Tableau1[[#This Row],[Manque (physique)]],"MarketPlace",""))</f>
        <v/>
      </c>
      <c r="J251" t="s">
        <v>30</v>
      </c>
      <c r="K251" t="s">
        <v>1623</v>
      </c>
      <c r="L251" t="s">
        <v>52</v>
      </c>
      <c r="M251" t="s">
        <v>23</v>
      </c>
      <c r="N251" t="s">
        <v>52</v>
      </c>
      <c r="O251" t="s">
        <v>89</v>
      </c>
      <c r="P251" t="s">
        <v>52</v>
      </c>
      <c r="Q251" t="s">
        <v>1665</v>
      </c>
    </row>
    <row r="252" spans="1:17" hidden="1" x14ac:dyDescent="0.25">
      <c r="A252" t="s">
        <v>1569</v>
      </c>
      <c r="B252" t="s">
        <v>14</v>
      </c>
      <c r="C252" t="s">
        <v>70</v>
      </c>
      <c r="D252" t="s">
        <v>1496</v>
      </c>
      <c r="E252">
        <v>7</v>
      </c>
      <c r="F252">
        <f>MAX(-1,3-Tableau1[[#This Row],[Nb possédé (digital)]])</f>
        <v>-1</v>
      </c>
      <c r="G252">
        <v>7</v>
      </c>
      <c r="H252">
        <f>MAX(-1,3-Tableau1[[#This Row],[Possédé (physique)]])</f>
        <v>-1</v>
      </c>
      <c r="I252" t="str">
        <f>IF(Tableau1[[#This Row],[Manque (physique)]]&gt;Tableau1[[#This Row],[Manque (digital)]],"POD",IF(Tableau1[[#This Row],[Manque (digital)]]&gt;Tableau1[[#This Row],[Manque (physique)]],"MarketPlace",""))</f>
        <v/>
      </c>
      <c r="J252" t="s">
        <v>17</v>
      </c>
      <c r="K252" t="s">
        <v>201</v>
      </c>
      <c r="L252" t="s">
        <v>52</v>
      </c>
      <c r="M252" t="s">
        <v>52</v>
      </c>
      <c r="Q252" t="s">
        <v>1754</v>
      </c>
    </row>
    <row r="253" spans="1:17" hidden="1" x14ac:dyDescent="0.25">
      <c r="A253" t="s">
        <v>1574</v>
      </c>
      <c r="B253" t="s">
        <v>14</v>
      </c>
      <c r="C253" t="s">
        <v>70</v>
      </c>
      <c r="D253" t="s">
        <v>1496</v>
      </c>
      <c r="E253">
        <v>8</v>
      </c>
      <c r="F253">
        <f>MAX(-1,3-Tableau1[[#This Row],[Nb possédé (digital)]])</f>
        <v>-1</v>
      </c>
      <c r="G253">
        <v>8</v>
      </c>
      <c r="H253">
        <f>MAX(-1,3-Tableau1[[#This Row],[Possédé (physique)]])</f>
        <v>-1</v>
      </c>
      <c r="I253" t="str">
        <f>IF(Tableau1[[#This Row],[Manque (physique)]]&gt;Tableau1[[#This Row],[Manque (digital)]],"POD",IF(Tableau1[[#This Row],[Manque (digital)]]&gt;Tableau1[[#This Row],[Manque (physique)]],"MarketPlace",""))</f>
        <v/>
      </c>
      <c r="J253" t="s">
        <v>17</v>
      </c>
      <c r="K253" t="s">
        <v>153</v>
      </c>
      <c r="L253" t="s">
        <v>52</v>
      </c>
      <c r="M253" t="s">
        <v>52</v>
      </c>
      <c r="Q253" t="s">
        <v>1766</v>
      </c>
    </row>
    <row r="254" spans="1:17" hidden="1" x14ac:dyDescent="0.25">
      <c r="A254" t="s">
        <v>1511</v>
      </c>
      <c r="B254" t="s">
        <v>14</v>
      </c>
      <c r="C254" t="s">
        <v>70</v>
      </c>
      <c r="D254" t="s">
        <v>1496</v>
      </c>
      <c r="E254">
        <v>10</v>
      </c>
      <c r="F254">
        <f>MAX(-1,3-Tableau1[[#This Row],[Nb possédé (digital)]])</f>
        <v>-1</v>
      </c>
      <c r="G254">
        <v>10</v>
      </c>
      <c r="H254">
        <f>MAX(-1,3-Tableau1[[#This Row],[Possédé (physique)]])</f>
        <v>-1</v>
      </c>
      <c r="I254" t="str">
        <f>IF(Tableau1[[#This Row],[Manque (physique)]]&gt;Tableau1[[#This Row],[Manque (digital)]],"POD",IF(Tableau1[[#This Row],[Manque (digital)]]&gt;Tableau1[[#This Row],[Manque (physique)]],"MarketPlace",""))</f>
        <v/>
      </c>
      <c r="J254" t="s">
        <v>30</v>
      </c>
      <c r="K254" t="s">
        <v>171</v>
      </c>
      <c r="L254" t="s">
        <v>39</v>
      </c>
      <c r="M254" t="s">
        <v>39</v>
      </c>
      <c r="N254" t="s">
        <v>39</v>
      </c>
      <c r="O254" t="s">
        <v>39</v>
      </c>
      <c r="P254" t="s">
        <v>39</v>
      </c>
      <c r="Q254" t="s">
        <v>1632</v>
      </c>
    </row>
    <row r="255" spans="1:17" hidden="1" x14ac:dyDescent="0.25">
      <c r="A255" t="s">
        <v>170</v>
      </c>
      <c r="B255" t="s">
        <v>14</v>
      </c>
      <c r="C255" t="s">
        <v>70</v>
      </c>
      <c r="D255" t="s">
        <v>29</v>
      </c>
      <c r="E255">
        <v>6</v>
      </c>
      <c r="F255">
        <f>MAX(-1,3-Tableau1[[#This Row],[Nb possédé (digital)]])</f>
        <v>-1</v>
      </c>
      <c r="G255">
        <v>6</v>
      </c>
      <c r="H255">
        <f>MAX(-1,3-Tableau1[[#This Row],[Possédé (physique)]])</f>
        <v>-1</v>
      </c>
      <c r="I255" t="str">
        <f>IF(Tableau1[[#This Row],[Manque (physique)]]&gt;Tableau1[[#This Row],[Manque (digital)]],"POD",IF(Tableau1[[#This Row],[Manque (digital)]]&gt;Tableau1[[#This Row],[Manque (physique)]],"MarketPlace",""))</f>
        <v/>
      </c>
      <c r="J255" t="s">
        <v>30</v>
      </c>
      <c r="K255" t="s">
        <v>171</v>
      </c>
      <c r="L255" t="s">
        <v>20</v>
      </c>
      <c r="M255" t="s">
        <v>19</v>
      </c>
      <c r="N255" t="s">
        <v>89</v>
      </c>
      <c r="O255" t="s">
        <v>89</v>
      </c>
      <c r="P255" t="s">
        <v>19</v>
      </c>
    </row>
    <row r="256" spans="1:17" hidden="1" x14ac:dyDescent="0.25">
      <c r="A256" t="s">
        <v>441</v>
      </c>
      <c r="B256" t="s">
        <v>14</v>
      </c>
      <c r="C256" t="s">
        <v>70</v>
      </c>
      <c r="D256" t="s">
        <v>29</v>
      </c>
      <c r="E256">
        <v>6</v>
      </c>
      <c r="F256">
        <f>MAX(-1,3-Tableau1[[#This Row],[Nb possédé (digital)]])</f>
        <v>-1</v>
      </c>
      <c r="G256">
        <v>6</v>
      </c>
      <c r="H256">
        <f>MAX(-1,3-Tableau1[[#This Row],[Possédé (physique)]])</f>
        <v>-1</v>
      </c>
      <c r="I256" t="str">
        <f>IF(Tableau1[[#This Row],[Manque (physique)]]&gt;Tableau1[[#This Row],[Manque (digital)]],"POD",IF(Tableau1[[#This Row],[Manque (digital)]]&gt;Tableau1[[#This Row],[Manque (physique)]],"MarketPlace",""))</f>
        <v/>
      </c>
      <c r="J256" t="s">
        <v>30</v>
      </c>
      <c r="K256" t="s">
        <v>171</v>
      </c>
      <c r="L256" t="s">
        <v>19</v>
      </c>
      <c r="M256" t="s">
        <v>20</v>
      </c>
      <c r="N256" t="s">
        <v>20</v>
      </c>
      <c r="O256" t="s">
        <v>20</v>
      </c>
      <c r="P256" t="s">
        <v>89</v>
      </c>
      <c r="Q256" t="s">
        <v>442</v>
      </c>
    </row>
    <row r="257" spans="1:17" hidden="1" x14ac:dyDescent="0.25">
      <c r="A257" t="s">
        <v>289</v>
      </c>
      <c r="B257" t="s">
        <v>14</v>
      </c>
      <c r="C257" t="s">
        <v>70</v>
      </c>
      <c r="D257" t="s">
        <v>29</v>
      </c>
      <c r="E257">
        <v>6</v>
      </c>
      <c r="F257">
        <f>MAX(-1,3-Tableau1[[#This Row],[Nb possédé (digital)]])</f>
        <v>-1</v>
      </c>
      <c r="G257">
        <v>6</v>
      </c>
      <c r="H257">
        <f>MAX(-1,3-Tableau1[[#This Row],[Possédé (physique)]])</f>
        <v>-1</v>
      </c>
      <c r="I257" t="str">
        <f>IF(Tableau1[[#This Row],[Manque (physique)]]&gt;Tableau1[[#This Row],[Manque (digital)]],"POD",IF(Tableau1[[#This Row],[Manque (digital)]]&gt;Tableau1[[#This Row],[Manque (physique)]],"MarketPlace",""))</f>
        <v/>
      </c>
      <c r="J257" t="s">
        <v>30</v>
      </c>
      <c r="K257" t="s">
        <v>171</v>
      </c>
      <c r="L257" t="s">
        <v>19</v>
      </c>
      <c r="M257" t="s">
        <v>19</v>
      </c>
      <c r="N257" t="s">
        <v>19</v>
      </c>
      <c r="O257" t="s">
        <v>23</v>
      </c>
      <c r="P257" t="s">
        <v>89</v>
      </c>
    </row>
    <row r="258" spans="1:17" hidden="1" x14ac:dyDescent="0.25">
      <c r="A258" t="s">
        <v>364</v>
      </c>
      <c r="B258" t="s">
        <v>14</v>
      </c>
      <c r="C258" t="s">
        <v>70</v>
      </c>
      <c r="D258" t="s">
        <v>29</v>
      </c>
      <c r="E258">
        <v>7</v>
      </c>
      <c r="F258">
        <f>MAX(-1,3-Tableau1[[#This Row],[Nb possédé (digital)]])</f>
        <v>-1</v>
      </c>
      <c r="G258">
        <v>7</v>
      </c>
      <c r="H258">
        <f>MAX(-1,3-Tableau1[[#This Row],[Possédé (physique)]])</f>
        <v>-1</v>
      </c>
      <c r="I258" t="str">
        <f>IF(Tableau1[[#This Row],[Manque (physique)]]&gt;Tableau1[[#This Row],[Manque (digital)]],"POD",IF(Tableau1[[#This Row],[Manque (digital)]]&gt;Tableau1[[#This Row],[Manque (physique)]],"MarketPlace",""))</f>
        <v/>
      </c>
      <c r="J258" t="s">
        <v>17</v>
      </c>
      <c r="K258" t="s">
        <v>189</v>
      </c>
      <c r="L258" t="s">
        <v>19</v>
      </c>
      <c r="M258" t="s">
        <v>19</v>
      </c>
      <c r="Q258" t="s">
        <v>365</v>
      </c>
    </row>
    <row r="259" spans="1:17" hidden="1" x14ac:dyDescent="0.25">
      <c r="A259" t="s">
        <v>660</v>
      </c>
      <c r="B259" t="s">
        <v>14</v>
      </c>
      <c r="C259" t="s">
        <v>70</v>
      </c>
      <c r="D259" t="s">
        <v>29</v>
      </c>
      <c r="E259">
        <v>6</v>
      </c>
      <c r="F259">
        <f>MAX(-1,3-Tableau1[[#This Row],[Nb possédé (digital)]])</f>
        <v>-1</v>
      </c>
      <c r="G259">
        <v>6</v>
      </c>
      <c r="H259">
        <f>MAX(-1,3-Tableau1[[#This Row],[Possédé (physique)]])</f>
        <v>-1</v>
      </c>
      <c r="I259" t="str">
        <f>IF(Tableau1[[#This Row],[Manque (physique)]]&gt;Tableau1[[#This Row],[Manque (digital)]],"POD",IF(Tableau1[[#This Row],[Manque (digital)]]&gt;Tableau1[[#This Row],[Manque (physique)]],"MarketPlace",""))</f>
        <v/>
      </c>
      <c r="J259" t="s">
        <v>268</v>
      </c>
      <c r="K259" t="s">
        <v>438</v>
      </c>
      <c r="L259" t="s">
        <v>19</v>
      </c>
      <c r="M259" t="s">
        <v>19</v>
      </c>
      <c r="Q259" t="s">
        <v>661</v>
      </c>
    </row>
    <row r="260" spans="1:17" hidden="1" x14ac:dyDescent="0.25">
      <c r="A260" t="s">
        <v>883</v>
      </c>
      <c r="B260" t="s">
        <v>14</v>
      </c>
      <c r="C260" t="s">
        <v>70</v>
      </c>
      <c r="D260" t="s">
        <v>29</v>
      </c>
      <c r="E260">
        <v>6</v>
      </c>
      <c r="F260">
        <f>MAX(-1,3-Tableau1[[#This Row],[Nb possédé (digital)]])</f>
        <v>-1</v>
      </c>
      <c r="G260">
        <v>6</v>
      </c>
      <c r="H260">
        <f>MAX(-1,3-Tableau1[[#This Row],[Possédé (physique)]])</f>
        <v>-1</v>
      </c>
      <c r="I260" t="str">
        <f>IF(Tableau1[[#This Row],[Manque (physique)]]&gt;Tableau1[[#This Row],[Manque (digital)]],"POD",IF(Tableau1[[#This Row],[Manque (digital)]]&gt;Tableau1[[#This Row],[Manque (physique)]],"MarketPlace",""))</f>
        <v/>
      </c>
      <c r="J260" t="s">
        <v>17</v>
      </c>
      <c r="K260" t="s">
        <v>97</v>
      </c>
      <c r="L260" t="s">
        <v>19</v>
      </c>
      <c r="M260" t="s">
        <v>19</v>
      </c>
      <c r="Q260" t="s">
        <v>884</v>
      </c>
    </row>
    <row r="261" spans="1:17" hidden="1" x14ac:dyDescent="0.25">
      <c r="A261" t="s">
        <v>188</v>
      </c>
      <c r="B261" t="s">
        <v>14</v>
      </c>
      <c r="C261" t="s">
        <v>70</v>
      </c>
      <c r="D261" t="s">
        <v>29</v>
      </c>
      <c r="E261">
        <v>5</v>
      </c>
      <c r="F261">
        <f>MAX(-1,3-Tableau1[[#This Row],[Nb possédé (digital)]])</f>
        <v>-1</v>
      </c>
      <c r="G261">
        <v>5</v>
      </c>
      <c r="H261">
        <f>MAX(-1,3-Tableau1[[#This Row],[Possédé (physique)]])</f>
        <v>-1</v>
      </c>
      <c r="I261" t="str">
        <f>IF(Tableau1[[#This Row],[Manque (physique)]]&gt;Tableau1[[#This Row],[Manque (digital)]],"POD",IF(Tableau1[[#This Row],[Manque (digital)]]&gt;Tableau1[[#This Row],[Manque (physique)]],"MarketPlace",""))</f>
        <v/>
      </c>
      <c r="J261" t="s">
        <v>17</v>
      </c>
      <c r="K261" t="s">
        <v>189</v>
      </c>
      <c r="L261" t="s">
        <v>19</v>
      </c>
      <c r="M261" t="s">
        <v>23</v>
      </c>
      <c r="Q261" t="s">
        <v>190</v>
      </c>
    </row>
    <row r="262" spans="1:17" hidden="1" x14ac:dyDescent="0.25">
      <c r="A262" t="s">
        <v>260</v>
      </c>
      <c r="B262" t="s">
        <v>14</v>
      </c>
      <c r="C262" t="s">
        <v>70</v>
      </c>
      <c r="D262" t="s">
        <v>29</v>
      </c>
      <c r="E262">
        <v>7</v>
      </c>
      <c r="F262">
        <f>MAX(-1,3-Tableau1[[#This Row],[Nb possédé (digital)]])</f>
        <v>-1</v>
      </c>
      <c r="G262">
        <v>7</v>
      </c>
      <c r="H262">
        <f>MAX(-1,3-Tableau1[[#This Row],[Possédé (physique)]])</f>
        <v>-1</v>
      </c>
      <c r="I262" t="str">
        <f>IF(Tableau1[[#This Row],[Manque (physique)]]&gt;Tableau1[[#This Row],[Manque (digital)]],"POD",IF(Tableau1[[#This Row],[Manque (digital)]]&gt;Tableau1[[#This Row],[Manque (physique)]],"MarketPlace",""))</f>
        <v/>
      </c>
      <c r="J262" t="s">
        <v>30</v>
      </c>
      <c r="K262" t="s">
        <v>171</v>
      </c>
      <c r="L262" t="s">
        <v>19</v>
      </c>
      <c r="M262" t="s">
        <v>23</v>
      </c>
      <c r="N262" t="s">
        <v>19</v>
      </c>
      <c r="O262" t="s">
        <v>89</v>
      </c>
      <c r="P262" t="s">
        <v>19</v>
      </c>
      <c r="Q262" t="s">
        <v>261</v>
      </c>
    </row>
    <row r="263" spans="1:17" hidden="1" x14ac:dyDescent="0.25">
      <c r="A263" t="s">
        <v>375</v>
      </c>
      <c r="B263" t="s">
        <v>14</v>
      </c>
      <c r="C263" t="s">
        <v>70</v>
      </c>
      <c r="D263" t="s">
        <v>29</v>
      </c>
      <c r="E263">
        <v>7</v>
      </c>
      <c r="F263">
        <f>MAX(-1,3-Tableau1[[#This Row],[Nb possédé (digital)]])</f>
        <v>-1</v>
      </c>
      <c r="G263">
        <v>7</v>
      </c>
      <c r="H263">
        <f>MAX(-1,3-Tableau1[[#This Row],[Possédé (physique)]])</f>
        <v>-1</v>
      </c>
      <c r="I263" t="str">
        <f>IF(Tableau1[[#This Row],[Manque (physique)]]&gt;Tableau1[[#This Row],[Manque (digital)]],"POD",IF(Tableau1[[#This Row],[Manque (digital)]]&gt;Tableau1[[#This Row],[Manque (physique)]],"MarketPlace",""))</f>
        <v/>
      </c>
      <c r="J263" t="s">
        <v>30</v>
      </c>
      <c r="K263" t="s">
        <v>42</v>
      </c>
      <c r="L263" t="s">
        <v>23</v>
      </c>
      <c r="M263" t="s">
        <v>23</v>
      </c>
      <c r="N263" t="s">
        <v>89</v>
      </c>
      <c r="O263" t="s">
        <v>23</v>
      </c>
      <c r="P263" t="s">
        <v>23</v>
      </c>
      <c r="Q263" t="s">
        <v>376</v>
      </c>
    </row>
    <row r="264" spans="1:17" hidden="1" x14ac:dyDescent="0.25">
      <c r="A264" t="s">
        <v>670</v>
      </c>
      <c r="B264" t="s">
        <v>14</v>
      </c>
      <c r="C264" t="s">
        <v>70</v>
      </c>
      <c r="D264" t="s">
        <v>29</v>
      </c>
      <c r="E264">
        <v>7</v>
      </c>
      <c r="F264">
        <f>MAX(-1,3-Tableau1[[#This Row],[Nb possédé (digital)]])</f>
        <v>-1</v>
      </c>
      <c r="G264">
        <v>7</v>
      </c>
      <c r="H264">
        <f>MAX(-1,3-Tableau1[[#This Row],[Possédé (physique)]])</f>
        <v>-1</v>
      </c>
      <c r="I264" t="str">
        <f>IF(Tableau1[[#This Row],[Manque (physique)]]&gt;Tableau1[[#This Row],[Manque (digital)]],"POD",IF(Tableau1[[#This Row],[Manque (digital)]]&gt;Tableau1[[#This Row],[Manque (physique)]],"MarketPlace",""))</f>
        <v/>
      </c>
      <c r="J264" t="s">
        <v>30</v>
      </c>
      <c r="K264" t="s">
        <v>51</v>
      </c>
      <c r="L264" t="s">
        <v>23</v>
      </c>
      <c r="M264" t="s">
        <v>23</v>
      </c>
      <c r="N264" t="s">
        <v>19</v>
      </c>
      <c r="O264" t="s">
        <v>19</v>
      </c>
      <c r="P264" t="s">
        <v>19</v>
      </c>
      <c r="Q264" t="s">
        <v>671</v>
      </c>
    </row>
    <row r="265" spans="1:17" hidden="1" x14ac:dyDescent="0.25">
      <c r="A265" t="s">
        <v>733</v>
      </c>
      <c r="B265" t="s">
        <v>14</v>
      </c>
      <c r="C265" t="s">
        <v>70</v>
      </c>
      <c r="D265" t="s">
        <v>29</v>
      </c>
      <c r="E265">
        <v>7</v>
      </c>
      <c r="F265">
        <f>MAX(-1,3-Tableau1[[#This Row],[Nb possédé (digital)]])</f>
        <v>-1</v>
      </c>
      <c r="G265">
        <v>7</v>
      </c>
      <c r="H265">
        <f>MAX(-1,3-Tableau1[[#This Row],[Possédé (physique)]])</f>
        <v>-1</v>
      </c>
      <c r="I265" t="str">
        <f>IF(Tableau1[[#This Row],[Manque (physique)]]&gt;Tableau1[[#This Row],[Manque (digital)]],"POD",IF(Tableau1[[#This Row],[Manque (digital)]]&gt;Tableau1[[#This Row],[Manque (physique)]],"MarketPlace",""))</f>
        <v/>
      </c>
      <c r="J265" t="s">
        <v>268</v>
      </c>
      <c r="K265" t="s">
        <v>438</v>
      </c>
      <c r="L265" t="s">
        <v>23</v>
      </c>
      <c r="M265" t="s">
        <v>23</v>
      </c>
      <c r="Q265" t="s">
        <v>734</v>
      </c>
    </row>
    <row r="266" spans="1:17" hidden="1" x14ac:dyDescent="0.25">
      <c r="A266" t="s">
        <v>784</v>
      </c>
      <c r="B266" t="s">
        <v>14</v>
      </c>
      <c r="C266" t="s">
        <v>70</v>
      </c>
      <c r="D266" t="s">
        <v>29</v>
      </c>
      <c r="E266">
        <v>7</v>
      </c>
      <c r="F266">
        <f>MAX(-1,3-Tableau1[[#This Row],[Nb possédé (digital)]])</f>
        <v>-1</v>
      </c>
      <c r="G266">
        <v>7</v>
      </c>
      <c r="H266">
        <f>MAX(-1,3-Tableau1[[#This Row],[Possédé (physique)]])</f>
        <v>-1</v>
      </c>
      <c r="I266" t="str">
        <f>IF(Tableau1[[#This Row],[Manque (physique)]]&gt;Tableau1[[#This Row],[Manque (digital)]],"POD",IF(Tableau1[[#This Row],[Manque (digital)]]&gt;Tableau1[[#This Row],[Manque (physique)]],"MarketPlace",""))</f>
        <v/>
      </c>
      <c r="J266" t="s">
        <v>17</v>
      </c>
      <c r="K266" t="s">
        <v>153</v>
      </c>
      <c r="L266" t="s">
        <v>23</v>
      </c>
      <c r="M266" t="s">
        <v>23</v>
      </c>
      <c r="Q266" t="s">
        <v>785</v>
      </c>
    </row>
    <row r="267" spans="1:17" hidden="1" x14ac:dyDescent="0.25">
      <c r="A267" t="s">
        <v>174</v>
      </c>
      <c r="B267" t="s">
        <v>14</v>
      </c>
      <c r="C267" t="s">
        <v>70</v>
      </c>
      <c r="D267" t="s">
        <v>29</v>
      </c>
      <c r="E267">
        <v>7</v>
      </c>
      <c r="F267">
        <f>MAX(-1,3-Tableau1[[#This Row],[Nb possédé (digital)]])</f>
        <v>-1</v>
      </c>
      <c r="G267">
        <v>7</v>
      </c>
      <c r="H267">
        <f>MAX(-1,3-Tableau1[[#This Row],[Possédé (physique)]])</f>
        <v>-1</v>
      </c>
      <c r="I267" t="str">
        <f>IF(Tableau1[[#This Row],[Manque (physique)]]&gt;Tableau1[[#This Row],[Manque (digital)]],"POD",IF(Tableau1[[#This Row],[Manque (digital)]]&gt;Tableau1[[#This Row],[Manque (physique)]],"MarketPlace",""))</f>
        <v/>
      </c>
      <c r="J267" t="s">
        <v>30</v>
      </c>
      <c r="K267" t="s">
        <v>171</v>
      </c>
      <c r="L267" t="s">
        <v>52</v>
      </c>
      <c r="M267" t="s">
        <v>37</v>
      </c>
      <c r="N267" t="s">
        <v>52</v>
      </c>
      <c r="O267" t="s">
        <v>52</v>
      </c>
      <c r="P267" t="s">
        <v>89</v>
      </c>
      <c r="Q267" t="s">
        <v>175</v>
      </c>
    </row>
    <row r="268" spans="1:17" hidden="1" x14ac:dyDescent="0.25">
      <c r="A268" t="s">
        <v>385</v>
      </c>
      <c r="B268" t="s">
        <v>14</v>
      </c>
      <c r="C268" t="s">
        <v>70</v>
      </c>
      <c r="D268" t="s">
        <v>29</v>
      </c>
      <c r="E268">
        <v>6</v>
      </c>
      <c r="F268">
        <f>MAX(-1,3-Tableau1[[#This Row],[Nb possédé (digital)]])</f>
        <v>-1</v>
      </c>
      <c r="G268">
        <v>6</v>
      </c>
      <c r="H268">
        <f>MAX(-1,3-Tableau1[[#This Row],[Possédé (physique)]])</f>
        <v>-1</v>
      </c>
      <c r="I268" t="str">
        <f>IF(Tableau1[[#This Row],[Manque (physique)]]&gt;Tableau1[[#This Row],[Manque (digital)]],"POD",IF(Tableau1[[#This Row],[Manque (digital)]]&gt;Tableau1[[#This Row],[Manque (physique)]],"MarketPlace",""))</f>
        <v/>
      </c>
      <c r="J268" t="s">
        <v>30</v>
      </c>
      <c r="K268" t="s">
        <v>171</v>
      </c>
      <c r="L268" t="s">
        <v>37</v>
      </c>
      <c r="M268" t="s">
        <v>52</v>
      </c>
      <c r="N268" t="s">
        <v>52</v>
      </c>
      <c r="O268" t="s">
        <v>37</v>
      </c>
      <c r="P268" t="s">
        <v>52</v>
      </c>
      <c r="Q268" t="s">
        <v>386</v>
      </c>
    </row>
    <row r="269" spans="1:17" hidden="1" x14ac:dyDescent="0.25">
      <c r="A269" t="s">
        <v>624</v>
      </c>
      <c r="B269" t="s">
        <v>14</v>
      </c>
      <c r="C269" t="s">
        <v>70</v>
      </c>
      <c r="D269" t="s">
        <v>29</v>
      </c>
      <c r="E269">
        <v>6</v>
      </c>
      <c r="F269">
        <f>MAX(-1,3-Tableau1[[#This Row],[Nb possédé (digital)]])</f>
        <v>-1</v>
      </c>
      <c r="G269">
        <v>6</v>
      </c>
      <c r="H269">
        <f>MAX(-1,3-Tableau1[[#This Row],[Possédé (physique)]])</f>
        <v>-1</v>
      </c>
      <c r="I269" t="str">
        <f>IF(Tableau1[[#This Row],[Manque (physique)]]&gt;Tableau1[[#This Row],[Manque (digital)]],"POD",IF(Tableau1[[#This Row],[Manque (digital)]]&gt;Tableau1[[#This Row],[Manque (physique)]],"MarketPlace",""))</f>
        <v/>
      </c>
      <c r="J269" t="s">
        <v>30</v>
      </c>
      <c r="K269" t="s">
        <v>51</v>
      </c>
      <c r="L269" t="s">
        <v>380</v>
      </c>
      <c r="M269" t="s">
        <v>52</v>
      </c>
      <c r="N269" t="s">
        <v>89</v>
      </c>
      <c r="O269" t="s">
        <v>37</v>
      </c>
      <c r="P269" t="s">
        <v>37</v>
      </c>
      <c r="Q269" t="s">
        <v>625</v>
      </c>
    </row>
    <row r="270" spans="1:17" hidden="1" x14ac:dyDescent="0.25">
      <c r="A270" t="s">
        <v>1193</v>
      </c>
      <c r="B270" t="s">
        <v>14</v>
      </c>
      <c r="C270" t="s">
        <v>70</v>
      </c>
      <c r="D270" t="s">
        <v>1156</v>
      </c>
      <c r="E270">
        <v>7</v>
      </c>
      <c r="F270">
        <f>MAX(-1,3-Tableau1[[#This Row],[Nb possédé (digital)]])</f>
        <v>-1</v>
      </c>
      <c r="G270">
        <v>7</v>
      </c>
      <c r="H270">
        <f>MAX(-1,3-Tableau1[[#This Row],[Possédé (physique)]])</f>
        <v>-1</v>
      </c>
      <c r="I270" t="str">
        <f>IF(Tableau1[[#This Row],[Manque (physique)]]&gt;Tableau1[[#This Row],[Manque (digital)]],"POD",IF(Tableau1[[#This Row],[Manque (digital)]]&gt;Tableau1[[#This Row],[Manque (physique)]],"MarketPlace",""))</f>
        <v/>
      </c>
      <c r="J270" t="s">
        <v>30</v>
      </c>
      <c r="K270" t="s">
        <v>79</v>
      </c>
      <c r="L270" t="s">
        <v>20</v>
      </c>
      <c r="M270" t="s">
        <v>20</v>
      </c>
      <c r="N270" t="s">
        <v>89</v>
      </c>
      <c r="O270" t="s">
        <v>19</v>
      </c>
      <c r="P270" t="s">
        <v>89</v>
      </c>
    </row>
    <row r="271" spans="1:17" hidden="1" x14ac:dyDescent="0.25">
      <c r="A271" t="s">
        <v>1167</v>
      </c>
      <c r="B271" t="s">
        <v>14</v>
      </c>
      <c r="C271" t="s">
        <v>70</v>
      </c>
      <c r="D271" t="s">
        <v>1156</v>
      </c>
      <c r="E271">
        <v>7</v>
      </c>
      <c r="F271">
        <f>MAX(-1,3-Tableau1[[#This Row],[Nb possédé (digital)]])</f>
        <v>-1</v>
      </c>
      <c r="G271">
        <v>7</v>
      </c>
      <c r="H271">
        <f>MAX(-1,3-Tableau1[[#This Row],[Possédé (physique)]])</f>
        <v>-1</v>
      </c>
      <c r="I271" t="str">
        <f>IF(Tableau1[[#This Row],[Manque (physique)]]&gt;Tableau1[[#This Row],[Manque (digital)]],"POD",IF(Tableau1[[#This Row],[Manque (digital)]]&gt;Tableau1[[#This Row],[Manque (physique)]],"MarketPlace",""))</f>
        <v/>
      </c>
      <c r="J271" t="s">
        <v>30</v>
      </c>
      <c r="K271" t="s">
        <v>171</v>
      </c>
      <c r="L271" t="s">
        <v>19</v>
      </c>
      <c r="M271" t="s">
        <v>19</v>
      </c>
      <c r="N271" t="s">
        <v>19</v>
      </c>
      <c r="O271" t="s">
        <v>89</v>
      </c>
      <c r="P271" t="s">
        <v>19</v>
      </c>
      <c r="Q271" t="s">
        <v>1289</v>
      </c>
    </row>
    <row r="272" spans="1:17" hidden="1" x14ac:dyDescent="0.25">
      <c r="A272" t="s">
        <v>1169</v>
      </c>
      <c r="B272" t="s">
        <v>14</v>
      </c>
      <c r="C272" t="s">
        <v>70</v>
      </c>
      <c r="D272" t="s">
        <v>1156</v>
      </c>
      <c r="E272">
        <v>6</v>
      </c>
      <c r="F272">
        <f>MAX(-1,3-Tableau1[[#This Row],[Nb possédé (digital)]])</f>
        <v>-1</v>
      </c>
      <c r="G272">
        <v>6</v>
      </c>
      <c r="H272">
        <f>MAX(-1,3-Tableau1[[#This Row],[Possédé (physique)]])</f>
        <v>-1</v>
      </c>
      <c r="I272" t="str">
        <f>IF(Tableau1[[#This Row],[Manque (physique)]]&gt;Tableau1[[#This Row],[Manque (digital)]],"POD",IF(Tableau1[[#This Row],[Manque (digital)]]&gt;Tableau1[[#This Row],[Manque (physique)]],"MarketPlace",""))</f>
        <v/>
      </c>
      <c r="J272" t="s">
        <v>30</v>
      </c>
      <c r="K272" t="s">
        <v>72</v>
      </c>
      <c r="L272" t="s">
        <v>19</v>
      </c>
      <c r="M272" t="s">
        <v>19</v>
      </c>
      <c r="N272" t="s">
        <v>19</v>
      </c>
      <c r="O272" t="s">
        <v>89</v>
      </c>
      <c r="P272" t="s">
        <v>89</v>
      </c>
      <c r="Q272" t="s">
        <v>241</v>
      </c>
    </row>
    <row r="273" spans="1:17" hidden="1" x14ac:dyDescent="0.25">
      <c r="A273" t="s">
        <v>1202</v>
      </c>
      <c r="B273" t="s">
        <v>14</v>
      </c>
      <c r="C273" t="s">
        <v>70</v>
      </c>
      <c r="D273" t="s">
        <v>1156</v>
      </c>
      <c r="E273">
        <v>5</v>
      </c>
      <c r="F273">
        <f>MAX(-1,3-Tableau1[[#This Row],[Nb possédé (digital)]])</f>
        <v>-1</v>
      </c>
      <c r="G273">
        <v>5</v>
      </c>
      <c r="H273">
        <f>MAX(-1,3-Tableau1[[#This Row],[Possédé (physique)]])</f>
        <v>-1</v>
      </c>
      <c r="I273" t="str">
        <f>IF(Tableau1[[#This Row],[Manque (physique)]]&gt;Tableau1[[#This Row],[Manque (digital)]],"POD",IF(Tableau1[[#This Row],[Manque (digital)]]&gt;Tableau1[[#This Row],[Manque (physique)]],"MarketPlace",""))</f>
        <v/>
      </c>
      <c r="J273" t="s">
        <v>268</v>
      </c>
      <c r="K273" t="s">
        <v>269</v>
      </c>
      <c r="L273" t="s">
        <v>19</v>
      </c>
      <c r="M273" t="s">
        <v>19</v>
      </c>
      <c r="Q273" t="s">
        <v>1362</v>
      </c>
    </row>
    <row r="274" spans="1:17" hidden="1" x14ac:dyDescent="0.25">
      <c r="A274" t="s">
        <v>1204</v>
      </c>
      <c r="B274" t="s">
        <v>14</v>
      </c>
      <c r="C274" t="s">
        <v>70</v>
      </c>
      <c r="D274" t="s">
        <v>1156</v>
      </c>
      <c r="E274">
        <v>6</v>
      </c>
      <c r="F274">
        <f>MAX(-1,3-Tableau1[[#This Row],[Nb possédé (digital)]])</f>
        <v>-1</v>
      </c>
      <c r="G274">
        <v>6</v>
      </c>
      <c r="H274">
        <f>MAX(-1,3-Tableau1[[#This Row],[Possédé (physique)]])</f>
        <v>-1</v>
      </c>
      <c r="I274" t="str">
        <f>IF(Tableau1[[#This Row],[Manque (physique)]]&gt;Tableau1[[#This Row],[Manque (digital)]],"POD",IF(Tableau1[[#This Row],[Manque (digital)]]&gt;Tableau1[[#This Row],[Manque (physique)]],"MarketPlace",""))</f>
        <v/>
      </c>
      <c r="J274" t="s">
        <v>268</v>
      </c>
      <c r="K274" t="s">
        <v>438</v>
      </c>
      <c r="L274" t="s">
        <v>19</v>
      </c>
      <c r="M274" t="s">
        <v>19</v>
      </c>
      <c r="Q274" t="s">
        <v>1367</v>
      </c>
    </row>
    <row r="275" spans="1:17" hidden="1" x14ac:dyDescent="0.25">
      <c r="A275" t="s">
        <v>1224</v>
      </c>
      <c r="B275" t="s">
        <v>14</v>
      </c>
      <c r="C275" t="s">
        <v>70</v>
      </c>
      <c r="D275" t="s">
        <v>1156</v>
      </c>
      <c r="E275">
        <v>6</v>
      </c>
      <c r="F275">
        <f>MAX(-1,3-Tableau1[[#This Row],[Nb possédé (digital)]])</f>
        <v>-1</v>
      </c>
      <c r="G275">
        <v>6</v>
      </c>
      <c r="H275">
        <f>MAX(-1,3-Tableau1[[#This Row],[Possédé (physique)]])</f>
        <v>-1</v>
      </c>
      <c r="I275" t="str">
        <f>IF(Tableau1[[#This Row],[Manque (physique)]]&gt;Tableau1[[#This Row],[Manque (digital)]],"POD",IF(Tableau1[[#This Row],[Manque (digital)]]&gt;Tableau1[[#This Row],[Manque (physique)]],"MarketPlace",""))</f>
        <v/>
      </c>
      <c r="J275" t="s">
        <v>30</v>
      </c>
      <c r="K275" t="s">
        <v>481</v>
      </c>
      <c r="L275" t="s">
        <v>19</v>
      </c>
      <c r="M275" t="s">
        <v>19</v>
      </c>
      <c r="N275" t="s">
        <v>23</v>
      </c>
      <c r="O275" t="s">
        <v>89</v>
      </c>
      <c r="P275" t="s">
        <v>89</v>
      </c>
      <c r="Q275" t="s">
        <v>1409</v>
      </c>
    </row>
    <row r="276" spans="1:17" hidden="1" x14ac:dyDescent="0.25">
      <c r="A276" t="s">
        <v>1258</v>
      </c>
      <c r="B276" t="s">
        <v>14</v>
      </c>
      <c r="C276" t="s">
        <v>70</v>
      </c>
      <c r="D276" t="s">
        <v>1156</v>
      </c>
      <c r="E276">
        <v>6</v>
      </c>
      <c r="F276">
        <f>MAX(-1,3-Tableau1[[#This Row],[Nb possédé (digital)]])</f>
        <v>-1</v>
      </c>
      <c r="G276">
        <v>6</v>
      </c>
      <c r="H276">
        <f>MAX(-1,3-Tableau1[[#This Row],[Possédé (physique)]])</f>
        <v>-1</v>
      </c>
      <c r="I276" t="str">
        <f>IF(Tableau1[[#This Row],[Manque (physique)]]&gt;Tableau1[[#This Row],[Manque (digital)]],"POD",IF(Tableau1[[#This Row],[Manque (digital)]]&gt;Tableau1[[#This Row],[Manque (physique)]],"MarketPlace",""))</f>
        <v/>
      </c>
      <c r="J276" t="s">
        <v>17</v>
      </c>
      <c r="K276" t="s">
        <v>201</v>
      </c>
      <c r="L276" t="s">
        <v>19</v>
      </c>
      <c r="M276" t="s">
        <v>19</v>
      </c>
      <c r="Q276" t="s">
        <v>1481</v>
      </c>
    </row>
    <row r="277" spans="1:17" hidden="1" x14ac:dyDescent="0.25">
      <c r="A277" t="s">
        <v>1245</v>
      </c>
      <c r="B277" t="s">
        <v>14</v>
      </c>
      <c r="C277" t="s">
        <v>70</v>
      </c>
      <c r="D277" t="s">
        <v>1156</v>
      </c>
      <c r="E277">
        <v>6</v>
      </c>
      <c r="F277">
        <f>MAX(-1,3-Tableau1[[#This Row],[Nb possédé (digital)]])</f>
        <v>-1</v>
      </c>
      <c r="G277">
        <v>6</v>
      </c>
      <c r="H277">
        <f>MAX(-1,3-Tableau1[[#This Row],[Possédé (physique)]])</f>
        <v>-1</v>
      </c>
      <c r="I277" t="str">
        <f>IF(Tableau1[[#This Row],[Manque (physique)]]&gt;Tableau1[[#This Row],[Manque (digital)]],"POD",IF(Tableau1[[#This Row],[Manque (digital)]]&gt;Tableau1[[#This Row],[Manque (physique)]],"MarketPlace",""))</f>
        <v/>
      </c>
      <c r="J277" t="s">
        <v>17</v>
      </c>
      <c r="K277" t="s">
        <v>97</v>
      </c>
      <c r="L277" t="s">
        <v>19</v>
      </c>
      <c r="M277" t="s">
        <v>52</v>
      </c>
      <c r="Q277" t="s">
        <v>1457</v>
      </c>
    </row>
    <row r="278" spans="1:17" hidden="1" x14ac:dyDescent="0.25">
      <c r="A278" t="s">
        <v>1225</v>
      </c>
      <c r="B278" t="s">
        <v>14</v>
      </c>
      <c r="C278" t="s">
        <v>70</v>
      </c>
      <c r="D278" t="s">
        <v>1156</v>
      </c>
      <c r="E278">
        <v>7</v>
      </c>
      <c r="F278">
        <f>MAX(-1,3-Tableau1[[#This Row],[Nb possédé (digital)]])</f>
        <v>-1</v>
      </c>
      <c r="G278">
        <v>7</v>
      </c>
      <c r="H278">
        <f>MAX(-1,3-Tableau1[[#This Row],[Possédé (physique)]])</f>
        <v>-1</v>
      </c>
      <c r="I278" t="str">
        <f>IF(Tableau1[[#This Row],[Manque (physique)]]&gt;Tableau1[[#This Row],[Manque (digital)]],"POD",IF(Tableau1[[#This Row],[Manque (digital)]]&gt;Tableau1[[#This Row],[Manque (physique)]],"MarketPlace",""))</f>
        <v/>
      </c>
      <c r="J278" t="s">
        <v>30</v>
      </c>
      <c r="K278" t="s">
        <v>481</v>
      </c>
      <c r="L278" t="s">
        <v>23</v>
      </c>
      <c r="M278" t="s">
        <v>19</v>
      </c>
      <c r="N278" t="s">
        <v>89</v>
      </c>
      <c r="O278" t="s">
        <v>89</v>
      </c>
      <c r="P278" t="s">
        <v>52</v>
      </c>
      <c r="Q278" t="s">
        <v>1412</v>
      </c>
    </row>
    <row r="279" spans="1:17" hidden="1" x14ac:dyDescent="0.25">
      <c r="A279" t="s">
        <v>1226</v>
      </c>
      <c r="B279" t="s">
        <v>14</v>
      </c>
      <c r="C279" t="s">
        <v>70</v>
      </c>
      <c r="D279" t="s">
        <v>1156</v>
      </c>
      <c r="E279">
        <v>6</v>
      </c>
      <c r="F279">
        <f>MAX(-1,3-Tableau1[[#This Row],[Nb possédé (digital)]])</f>
        <v>-1</v>
      </c>
      <c r="G279">
        <v>6</v>
      </c>
      <c r="H279">
        <f>MAX(-1,3-Tableau1[[#This Row],[Possédé (physique)]])</f>
        <v>-1</v>
      </c>
      <c r="I279" t="str">
        <f>IF(Tableau1[[#This Row],[Manque (physique)]]&gt;Tableau1[[#This Row],[Manque (digital)]],"POD",IF(Tableau1[[#This Row],[Manque (digital)]]&gt;Tableau1[[#This Row],[Manque (physique)]],"MarketPlace",""))</f>
        <v/>
      </c>
      <c r="J279" t="s">
        <v>30</v>
      </c>
      <c r="K279" t="s">
        <v>481</v>
      </c>
      <c r="L279" t="s">
        <v>23</v>
      </c>
      <c r="M279" t="s">
        <v>19</v>
      </c>
      <c r="N279" t="s">
        <v>89</v>
      </c>
      <c r="O279" t="s">
        <v>52</v>
      </c>
      <c r="P279" t="s">
        <v>89</v>
      </c>
      <c r="Q279" t="s">
        <v>1415</v>
      </c>
    </row>
    <row r="280" spans="1:17" hidden="1" x14ac:dyDescent="0.25">
      <c r="A280" t="s">
        <v>1157</v>
      </c>
      <c r="B280" t="s">
        <v>14</v>
      </c>
      <c r="C280" t="s">
        <v>70</v>
      </c>
      <c r="D280" t="s">
        <v>1156</v>
      </c>
      <c r="E280">
        <v>7</v>
      </c>
      <c r="F280">
        <f>MAX(-1,3-Tableau1[[#This Row],[Nb possédé (digital)]])</f>
        <v>-1</v>
      </c>
      <c r="G280">
        <v>7</v>
      </c>
      <c r="H280">
        <f>MAX(-1,3-Tableau1[[#This Row],[Possédé (physique)]])</f>
        <v>-1</v>
      </c>
      <c r="I280" t="str">
        <f>IF(Tableau1[[#This Row],[Manque (physique)]]&gt;Tableau1[[#This Row],[Manque (digital)]],"POD",IF(Tableau1[[#This Row],[Manque (digital)]]&gt;Tableau1[[#This Row],[Manque (physique)]],"MarketPlace",""))</f>
        <v/>
      </c>
      <c r="J280" t="s">
        <v>30</v>
      </c>
      <c r="K280" t="s">
        <v>171</v>
      </c>
      <c r="L280" t="s">
        <v>23</v>
      </c>
      <c r="M280" t="s">
        <v>23</v>
      </c>
      <c r="N280" t="s">
        <v>89</v>
      </c>
      <c r="O280" t="s">
        <v>37</v>
      </c>
      <c r="P280" t="s">
        <v>23</v>
      </c>
    </row>
    <row r="281" spans="1:17" hidden="1" x14ac:dyDescent="0.25">
      <c r="A281" t="s">
        <v>1164</v>
      </c>
      <c r="B281" t="s">
        <v>14</v>
      </c>
      <c r="C281" t="s">
        <v>70</v>
      </c>
      <c r="D281" t="s">
        <v>1156</v>
      </c>
      <c r="E281">
        <v>8</v>
      </c>
      <c r="F281">
        <f>MAX(-1,3-Tableau1[[#This Row],[Nb possédé (digital)]])</f>
        <v>-1</v>
      </c>
      <c r="G281">
        <v>8</v>
      </c>
      <c r="H281">
        <f>MAX(-1,3-Tableau1[[#This Row],[Possédé (physique)]])</f>
        <v>-1</v>
      </c>
      <c r="I281" t="str">
        <f>IF(Tableau1[[#This Row],[Manque (physique)]]&gt;Tableau1[[#This Row],[Manque (digital)]],"POD",IF(Tableau1[[#This Row],[Manque (digital)]]&gt;Tableau1[[#This Row],[Manque (physique)]],"MarketPlace",""))</f>
        <v/>
      </c>
      <c r="J281" t="s">
        <v>17</v>
      </c>
      <c r="K281" t="s">
        <v>18</v>
      </c>
      <c r="L281" t="s">
        <v>23</v>
      </c>
      <c r="M281" t="s">
        <v>23</v>
      </c>
      <c r="Q281" t="s">
        <v>1284</v>
      </c>
    </row>
    <row r="282" spans="1:17" hidden="1" x14ac:dyDescent="0.25">
      <c r="A282" t="s">
        <v>1175</v>
      </c>
      <c r="B282" t="s">
        <v>14</v>
      </c>
      <c r="C282" t="s">
        <v>70</v>
      </c>
      <c r="D282" t="s">
        <v>1156</v>
      </c>
      <c r="E282">
        <v>7</v>
      </c>
      <c r="F282">
        <f>MAX(-1,3-Tableau1[[#This Row],[Nb possédé (digital)]])</f>
        <v>-1</v>
      </c>
      <c r="G282">
        <v>7</v>
      </c>
      <c r="H282">
        <f>MAX(-1,3-Tableau1[[#This Row],[Possédé (physique)]])</f>
        <v>-1</v>
      </c>
      <c r="I282" t="str">
        <f>IF(Tableau1[[#This Row],[Manque (physique)]]&gt;Tableau1[[#This Row],[Manque (digital)]],"POD",IF(Tableau1[[#This Row],[Manque (digital)]]&gt;Tableau1[[#This Row],[Manque (physique)]],"MarketPlace",""))</f>
        <v/>
      </c>
      <c r="J282" t="s">
        <v>30</v>
      </c>
      <c r="K282" t="s">
        <v>51</v>
      </c>
      <c r="L282" t="s">
        <v>23</v>
      </c>
      <c r="M282" t="s">
        <v>23</v>
      </c>
      <c r="N282" t="s">
        <v>37</v>
      </c>
      <c r="O282" t="s">
        <v>37</v>
      </c>
      <c r="P282" t="s">
        <v>23</v>
      </c>
      <c r="Q282" t="s">
        <v>1308</v>
      </c>
    </row>
    <row r="283" spans="1:17" hidden="1" x14ac:dyDescent="0.25">
      <c r="A283" t="s">
        <v>1223</v>
      </c>
      <c r="B283" t="s">
        <v>14</v>
      </c>
      <c r="C283" t="s">
        <v>70</v>
      </c>
      <c r="D283" t="s">
        <v>1156</v>
      </c>
      <c r="E283">
        <v>6</v>
      </c>
      <c r="F283">
        <f>MAX(-1,3-Tableau1[[#This Row],[Nb possédé (digital)]])</f>
        <v>-1</v>
      </c>
      <c r="G283">
        <v>6</v>
      </c>
      <c r="H283">
        <f>MAX(-1,3-Tableau1[[#This Row],[Possédé (physique)]])</f>
        <v>-1</v>
      </c>
      <c r="I283" t="str">
        <f>IF(Tableau1[[#This Row],[Manque (physique)]]&gt;Tableau1[[#This Row],[Manque (digital)]],"POD",IF(Tableau1[[#This Row],[Manque (digital)]]&gt;Tableau1[[#This Row],[Manque (physique)]],"MarketPlace",""))</f>
        <v/>
      </c>
      <c r="J283" t="s">
        <v>30</v>
      </c>
      <c r="K283" t="s">
        <v>51</v>
      </c>
      <c r="L283" t="s">
        <v>52</v>
      </c>
      <c r="M283" t="s">
        <v>19</v>
      </c>
      <c r="N283" t="s">
        <v>89</v>
      </c>
      <c r="O283" t="s">
        <v>89</v>
      </c>
      <c r="P283" t="s">
        <v>52</v>
      </c>
      <c r="Q283" t="s">
        <v>1407</v>
      </c>
    </row>
    <row r="284" spans="1:17" hidden="1" x14ac:dyDescent="0.25">
      <c r="A284" t="s">
        <v>1201</v>
      </c>
      <c r="B284" t="s">
        <v>14</v>
      </c>
      <c r="C284" t="s">
        <v>70</v>
      </c>
      <c r="D284" t="s">
        <v>1156</v>
      </c>
      <c r="E284">
        <v>9</v>
      </c>
      <c r="F284">
        <f>MAX(-1,3-Tableau1[[#This Row],[Nb possédé (digital)]])</f>
        <v>-1</v>
      </c>
      <c r="G284">
        <v>9</v>
      </c>
      <c r="H284">
        <f>MAX(-1,3-Tableau1[[#This Row],[Possédé (physique)]])</f>
        <v>-1</v>
      </c>
      <c r="I284" t="str">
        <f>IF(Tableau1[[#This Row],[Manque (physique)]]&gt;Tableau1[[#This Row],[Manque (digital)]],"POD",IF(Tableau1[[#This Row],[Manque (digital)]]&gt;Tableau1[[#This Row],[Manque (physique)]],"MarketPlace",""))</f>
        <v/>
      </c>
      <c r="J284" t="s">
        <v>30</v>
      </c>
      <c r="K284" t="s">
        <v>601</v>
      </c>
      <c r="L284" t="s">
        <v>52</v>
      </c>
      <c r="M284" t="s">
        <v>52</v>
      </c>
      <c r="N284" t="s">
        <v>23</v>
      </c>
      <c r="O284" t="s">
        <v>89</v>
      </c>
      <c r="P284" t="s">
        <v>23</v>
      </c>
      <c r="Q284" t="s">
        <v>1360</v>
      </c>
    </row>
    <row r="285" spans="1:17" hidden="1" x14ac:dyDescent="0.25">
      <c r="A285" t="s">
        <v>1235</v>
      </c>
      <c r="B285" t="s">
        <v>14</v>
      </c>
      <c r="C285" t="s">
        <v>70</v>
      </c>
      <c r="D285" t="s">
        <v>1156</v>
      </c>
      <c r="E285">
        <v>8</v>
      </c>
      <c r="F285">
        <f>MAX(-1,3-Tableau1[[#This Row],[Nb possédé (digital)]])</f>
        <v>-1</v>
      </c>
      <c r="G285">
        <v>8</v>
      </c>
      <c r="H285">
        <f>MAX(-1,3-Tableau1[[#This Row],[Possédé (physique)]])</f>
        <v>-1</v>
      </c>
      <c r="I285" t="str">
        <f>IF(Tableau1[[#This Row],[Manque (physique)]]&gt;Tableau1[[#This Row],[Manque (digital)]],"POD",IF(Tableau1[[#This Row],[Manque (digital)]]&gt;Tableau1[[#This Row],[Manque (physique)]],"MarketPlace",""))</f>
        <v/>
      </c>
      <c r="J285" t="s">
        <v>17</v>
      </c>
      <c r="K285" t="s">
        <v>153</v>
      </c>
      <c r="L285" t="s">
        <v>52</v>
      </c>
      <c r="M285" t="s">
        <v>52</v>
      </c>
      <c r="Q285" t="s">
        <v>1433</v>
      </c>
    </row>
    <row r="286" spans="1:17" hidden="1" x14ac:dyDescent="0.25">
      <c r="A286" t="s">
        <v>1265</v>
      </c>
      <c r="B286" t="s">
        <v>14</v>
      </c>
      <c r="C286" t="s">
        <v>70</v>
      </c>
      <c r="D286" t="s">
        <v>1156</v>
      </c>
      <c r="E286">
        <v>8</v>
      </c>
      <c r="F286">
        <f>MAX(-1,3-Tableau1[[#This Row],[Nb possédé (digital)]])</f>
        <v>-1</v>
      </c>
      <c r="G286">
        <v>8</v>
      </c>
      <c r="H286">
        <f>MAX(-1,3-Tableau1[[#This Row],[Possédé (physique)]])</f>
        <v>-1</v>
      </c>
      <c r="I286" t="str">
        <f>IF(Tableau1[[#This Row],[Manque (physique)]]&gt;Tableau1[[#This Row],[Manque (digital)]],"POD",IF(Tableau1[[#This Row],[Manque (digital)]]&gt;Tableau1[[#This Row],[Manque (physique)]],"MarketPlace",""))</f>
        <v/>
      </c>
      <c r="J286" t="s">
        <v>30</v>
      </c>
      <c r="K286" t="s">
        <v>51</v>
      </c>
      <c r="L286" t="s">
        <v>39</v>
      </c>
      <c r="M286" t="s">
        <v>39</v>
      </c>
      <c r="N286" t="s">
        <v>37</v>
      </c>
      <c r="O286" t="s">
        <v>37</v>
      </c>
      <c r="P286" t="s">
        <v>37</v>
      </c>
      <c r="Q286" t="s">
        <v>1493</v>
      </c>
    </row>
    <row r="287" spans="1:17" hidden="1" x14ac:dyDescent="0.25">
      <c r="A287" t="s">
        <v>150</v>
      </c>
      <c r="B287" t="s">
        <v>14</v>
      </c>
      <c r="C287" t="s">
        <v>70</v>
      </c>
      <c r="E287">
        <v>15</v>
      </c>
      <c r="F287">
        <f>MAX(-1,3-Tableau1[[#This Row],[Nb possédé (digital)]])</f>
        <v>-1</v>
      </c>
      <c r="G287">
        <v>15</v>
      </c>
      <c r="H287">
        <f>MAX(-1,3-Tableau1[[#This Row],[Possédé (physique)]])</f>
        <v>-1</v>
      </c>
      <c r="I287" t="str">
        <f>IF(Tableau1[[#This Row],[Manque (physique)]]&gt;Tableau1[[#This Row],[Manque (digital)]],"POD",IF(Tableau1[[#This Row],[Manque (digital)]]&gt;Tableau1[[#This Row],[Manque (physique)]],"MarketPlace",""))</f>
        <v/>
      </c>
      <c r="J287" t="s">
        <v>48</v>
      </c>
      <c r="Q287" t="s">
        <v>151</v>
      </c>
    </row>
    <row r="288" spans="1:17" hidden="1" x14ac:dyDescent="0.25">
      <c r="A288" t="s">
        <v>444</v>
      </c>
      <c r="B288" t="s">
        <v>14</v>
      </c>
      <c r="C288" t="s">
        <v>70</v>
      </c>
      <c r="E288">
        <v>20</v>
      </c>
      <c r="F288">
        <f>MAX(-1,3-Tableau1[[#This Row],[Nb possédé (digital)]])</f>
        <v>-1</v>
      </c>
      <c r="G288">
        <v>20</v>
      </c>
      <c r="H288">
        <f>MAX(-1,3-Tableau1[[#This Row],[Possédé (physique)]])</f>
        <v>-1</v>
      </c>
      <c r="I288" t="str">
        <f>IF(Tableau1[[#This Row],[Manque (physique)]]&gt;Tableau1[[#This Row],[Manque (digital)]],"POD",IF(Tableau1[[#This Row],[Manque (digital)]]&gt;Tableau1[[#This Row],[Manque (physique)]],"MarketPlace",""))</f>
        <v/>
      </c>
      <c r="J288" t="s">
        <v>48</v>
      </c>
      <c r="Q288" t="s">
        <v>445</v>
      </c>
    </row>
    <row r="289" spans="1:17" hidden="1" x14ac:dyDescent="0.25">
      <c r="A289" t="s">
        <v>1220</v>
      </c>
      <c r="B289" t="s">
        <v>14</v>
      </c>
      <c r="C289" t="s">
        <v>70</v>
      </c>
      <c r="E289">
        <v>5</v>
      </c>
      <c r="F289">
        <f>MAX(-1,3-Tableau1[[#This Row],[Nb possédé (digital)]])</f>
        <v>-1</v>
      </c>
      <c r="G289">
        <v>5</v>
      </c>
      <c r="H289">
        <f>MAX(-1,3-Tableau1[[#This Row],[Possédé (physique)]])</f>
        <v>-1</v>
      </c>
      <c r="I289" t="str">
        <f>IF(Tableau1[[#This Row],[Manque (physique)]]&gt;Tableau1[[#This Row],[Manque (digital)]],"POD",IF(Tableau1[[#This Row],[Manque (digital)]]&gt;Tableau1[[#This Row],[Manque (physique)]],"MarketPlace",""))</f>
        <v/>
      </c>
      <c r="J289" t="s">
        <v>48</v>
      </c>
      <c r="Q289" t="s">
        <v>1402</v>
      </c>
    </row>
    <row r="290" spans="1:17" hidden="1" x14ac:dyDescent="0.25">
      <c r="A290" t="s">
        <v>1220</v>
      </c>
      <c r="B290" t="s">
        <v>14</v>
      </c>
      <c r="C290" t="s">
        <v>70</v>
      </c>
      <c r="E290">
        <v>10</v>
      </c>
      <c r="F290">
        <f>MAX(-1,3-Tableau1[[#This Row],[Nb possédé (digital)]])</f>
        <v>-1</v>
      </c>
      <c r="G290">
        <v>10</v>
      </c>
      <c r="H290">
        <f>MAX(-1,3-Tableau1[[#This Row],[Possédé (physique)]])</f>
        <v>-1</v>
      </c>
      <c r="I290" t="str">
        <f>IF(Tableau1[[#This Row],[Manque (physique)]]&gt;Tableau1[[#This Row],[Manque (digital)]],"POD",IF(Tableau1[[#This Row],[Manque (digital)]]&gt;Tableau1[[#This Row],[Manque (physique)]],"MarketPlace",""))</f>
        <v/>
      </c>
      <c r="J290" t="s">
        <v>48</v>
      </c>
      <c r="Q290" t="s">
        <v>1402</v>
      </c>
    </row>
    <row r="291" spans="1:17" hidden="1" x14ac:dyDescent="0.25">
      <c r="A291" t="s">
        <v>815</v>
      </c>
      <c r="B291" t="s">
        <v>14</v>
      </c>
      <c r="C291" t="s">
        <v>70</v>
      </c>
      <c r="E291">
        <v>15</v>
      </c>
      <c r="F291">
        <f>MAX(-1,3-Tableau1[[#This Row],[Nb possédé (digital)]])</f>
        <v>-1</v>
      </c>
      <c r="G291">
        <v>15</v>
      </c>
      <c r="H291">
        <f>MAX(-1,3-Tableau1[[#This Row],[Possédé (physique)]])</f>
        <v>-1</v>
      </c>
      <c r="I291" t="str">
        <f>IF(Tableau1[[#This Row],[Manque (physique)]]&gt;Tableau1[[#This Row],[Manque (digital)]],"POD",IF(Tableau1[[#This Row],[Manque (digital)]]&gt;Tableau1[[#This Row],[Manque (physique)]],"MarketPlace",""))</f>
        <v/>
      </c>
      <c r="J291" t="s">
        <v>48</v>
      </c>
      <c r="Q291" t="s">
        <v>816</v>
      </c>
    </row>
    <row r="292" spans="1:17" hidden="1" x14ac:dyDescent="0.25">
      <c r="A292" t="s">
        <v>1013</v>
      </c>
      <c r="B292" t="s">
        <v>14</v>
      </c>
      <c r="C292" t="s">
        <v>15</v>
      </c>
      <c r="D292" t="s">
        <v>16</v>
      </c>
      <c r="E292">
        <v>7</v>
      </c>
      <c r="F292">
        <f>MAX(-1,3-Tableau1[[#This Row],[Nb possédé (digital)]])</f>
        <v>-1</v>
      </c>
      <c r="G292">
        <v>7</v>
      </c>
      <c r="H292">
        <f>MAX(-1,3-Tableau1[[#This Row],[Possédé (physique)]])</f>
        <v>-1</v>
      </c>
      <c r="I292" t="str">
        <f>IF(Tableau1[[#This Row],[Manque (physique)]]&gt;Tableau1[[#This Row],[Manque (digital)]],"POD",IF(Tableau1[[#This Row],[Manque (digital)]]&gt;Tableau1[[#This Row],[Manque (physique)]],"MarketPlace",""))</f>
        <v/>
      </c>
      <c r="J292" t="s">
        <v>30</v>
      </c>
      <c r="K292" t="s">
        <v>358</v>
      </c>
      <c r="L292" t="s">
        <v>20</v>
      </c>
      <c r="M292" t="s">
        <v>20</v>
      </c>
      <c r="N292" t="s">
        <v>89</v>
      </c>
      <c r="O292" t="s">
        <v>20</v>
      </c>
      <c r="P292" t="s">
        <v>89</v>
      </c>
      <c r="Q292" t="s">
        <v>359</v>
      </c>
    </row>
    <row r="293" spans="1:17" hidden="1" x14ac:dyDescent="0.25">
      <c r="A293" t="s">
        <v>1109</v>
      </c>
      <c r="B293" t="s">
        <v>14</v>
      </c>
      <c r="C293" t="s">
        <v>15</v>
      </c>
      <c r="D293" t="s">
        <v>16</v>
      </c>
      <c r="E293">
        <v>9</v>
      </c>
      <c r="F293">
        <f>MAX(-1,3-Tableau1[[#This Row],[Nb possédé (digital)]])</f>
        <v>-1</v>
      </c>
      <c r="G293">
        <v>9</v>
      </c>
      <c r="H293">
        <f>MAX(-1,3-Tableau1[[#This Row],[Possédé (physique)]])</f>
        <v>-1</v>
      </c>
      <c r="I293" t="str">
        <f>IF(Tableau1[[#This Row],[Manque (physique)]]&gt;Tableau1[[#This Row],[Manque (digital)]],"POD",IF(Tableau1[[#This Row],[Manque (digital)]]&gt;Tableau1[[#This Row],[Manque (physique)]],"MarketPlace",""))</f>
        <v/>
      </c>
      <c r="J293" t="s">
        <v>30</v>
      </c>
      <c r="K293" t="s">
        <v>179</v>
      </c>
      <c r="L293" t="s">
        <v>20</v>
      </c>
      <c r="M293" t="s">
        <v>20</v>
      </c>
      <c r="N293" t="s">
        <v>20</v>
      </c>
      <c r="O293" t="s">
        <v>89</v>
      </c>
      <c r="P293" t="s">
        <v>89</v>
      </c>
      <c r="Q293" t="s">
        <v>241</v>
      </c>
    </row>
    <row r="294" spans="1:17" hidden="1" x14ac:dyDescent="0.25">
      <c r="A294" t="s">
        <v>964</v>
      </c>
      <c r="B294" t="s">
        <v>14</v>
      </c>
      <c r="C294" t="s">
        <v>15</v>
      </c>
      <c r="D294" t="s">
        <v>16</v>
      </c>
      <c r="E294">
        <v>6</v>
      </c>
      <c r="F294">
        <f>MAX(-1,3-Tableau1[[#This Row],[Nb possédé (digital)]])</f>
        <v>-1</v>
      </c>
      <c r="G294">
        <v>6</v>
      </c>
      <c r="H294">
        <f>MAX(-1,3-Tableau1[[#This Row],[Possédé (physique)]])</f>
        <v>-1</v>
      </c>
      <c r="I294" t="str">
        <f>IF(Tableau1[[#This Row],[Manque (physique)]]&gt;Tableau1[[#This Row],[Manque (digital)]],"POD",IF(Tableau1[[#This Row],[Manque (digital)]]&gt;Tableau1[[#This Row],[Manque (physique)]],"MarketPlace",""))</f>
        <v/>
      </c>
      <c r="J294" t="s">
        <v>17</v>
      </c>
      <c r="K294" t="s">
        <v>97</v>
      </c>
      <c r="L294" t="s">
        <v>20</v>
      </c>
      <c r="M294" t="s">
        <v>19</v>
      </c>
      <c r="Q294" t="s">
        <v>965</v>
      </c>
    </row>
    <row r="295" spans="1:17" hidden="1" x14ac:dyDescent="0.25">
      <c r="A295" t="s">
        <v>1014</v>
      </c>
      <c r="B295" t="s">
        <v>14</v>
      </c>
      <c r="C295" t="s">
        <v>15</v>
      </c>
      <c r="D295" t="s">
        <v>16</v>
      </c>
      <c r="E295">
        <v>9</v>
      </c>
      <c r="F295">
        <f>MAX(-1,3-Tableau1[[#This Row],[Nb possédé (digital)]])</f>
        <v>-1</v>
      </c>
      <c r="G295">
        <v>9</v>
      </c>
      <c r="H295">
        <f>MAX(-1,3-Tableau1[[#This Row],[Possédé (physique)]])</f>
        <v>-1</v>
      </c>
      <c r="I295" t="str">
        <f>IF(Tableau1[[#This Row],[Manque (physique)]]&gt;Tableau1[[#This Row],[Manque (digital)]],"POD",IF(Tableau1[[#This Row],[Manque (digital)]]&gt;Tableau1[[#This Row],[Manque (physique)]],"MarketPlace",""))</f>
        <v/>
      </c>
      <c r="J295" t="s">
        <v>17</v>
      </c>
      <c r="K295" t="s">
        <v>153</v>
      </c>
      <c r="L295" t="s">
        <v>20</v>
      </c>
      <c r="M295" t="s">
        <v>23</v>
      </c>
      <c r="Q295" t="s">
        <v>1015</v>
      </c>
    </row>
    <row r="296" spans="1:17" hidden="1" x14ac:dyDescent="0.25">
      <c r="A296" t="s">
        <v>13</v>
      </c>
      <c r="B296" t="s">
        <v>14</v>
      </c>
      <c r="C296" t="s">
        <v>15</v>
      </c>
      <c r="D296" t="s">
        <v>16</v>
      </c>
      <c r="E296">
        <v>9</v>
      </c>
      <c r="F296">
        <f>MAX(-1,3-Tableau1[[#This Row],[Nb possédé (digital)]])</f>
        <v>-1</v>
      </c>
      <c r="G296">
        <v>9</v>
      </c>
      <c r="H296">
        <f>MAX(-1,3-Tableau1[[#This Row],[Possédé (physique)]])</f>
        <v>-1</v>
      </c>
      <c r="I296" t="str">
        <f>IF(Tableau1[[#This Row],[Manque (physique)]]&gt;Tableau1[[#This Row],[Manque (digital)]],"POD",IF(Tableau1[[#This Row],[Manque (digital)]]&gt;Tableau1[[#This Row],[Manque (physique)]],"MarketPlace",""))</f>
        <v/>
      </c>
      <c r="J296" t="s">
        <v>17</v>
      </c>
      <c r="K296" t="s">
        <v>18</v>
      </c>
      <c r="L296" t="s">
        <v>19</v>
      </c>
      <c r="M296" t="s">
        <v>20</v>
      </c>
      <c r="Q296" t="s">
        <v>21</v>
      </c>
    </row>
    <row r="297" spans="1:17" hidden="1" x14ac:dyDescent="0.25">
      <c r="A297" t="s">
        <v>805</v>
      </c>
      <c r="B297" t="s">
        <v>14</v>
      </c>
      <c r="C297" t="s">
        <v>15</v>
      </c>
      <c r="D297" t="s">
        <v>16</v>
      </c>
      <c r="E297">
        <v>7</v>
      </c>
      <c r="F297">
        <f>MAX(-1,3-Tableau1[[#This Row],[Nb possédé (digital)]])</f>
        <v>-1</v>
      </c>
      <c r="G297">
        <v>7</v>
      </c>
      <c r="H297">
        <f>MAX(-1,3-Tableau1[[#This Row],[Possédé (physique)]])</f>
        <v>-1</v>
      </c>
      <c r="I297" t="str">
        <f>IF(Tableau1[[#This Row],[Manque (physique)]]&gt;Tableau1[[#This Row],[Manque (digital)]],"POD",IF(Tableau1[[#This Row],[Manque (digital)]]&gt;Tableau1[[#This Row],[Manque (physique)]],"MarketPlace",""))</f>
        <v/>
      </c>
      <c r="J297" t="s">
        <v>30</v>
      </c>
      <c r="K297" t="s">
        <v>358</v>
      </c>
      <c r="L297" t="s">
        <v>19</v>
      </c>
      <c r="M297" t="s">
        <v>20</v>
      </c>
      <c r="N297" t="s">
        <v>23</v>
      </c>
      <c r="O297" t="s">
        <v>89</v>
      </c>
      <c r="P297" t="s">
        <v>89</v>
      </c>
    </row>
    <row r="298" spans="1:17" hidden="1" x14ac:dyDescent="0.25">
      <c r="A298" t="s">
        <v>240</v>
      </c>
      <c r="B298" t="s">
        <v>14</v>
      </c>
      <c r="C298" t="s">
        <v>15</v>
      </c>
      <c r="D298" t="s">
        <v>16</v>
      </c>
      <c r="E298">
        <v>9</v>
      </c>
      <c r="F298">
        <f>MAX(-1,3-Tableau1[[#This Row],[Nb possédé (digital)]])</f>
        <v>-1</v>
      </c>
      <c r="G298">
        <v>9</v>
      </c>
      <c r="H298">
        <f>MAX(-1,3-Tableau1[[#This Row],[Possédé (physique)]])</f>
        <v>-1</v>
      </c>
      <c r="I298" t="str">
        <f>IF(Tableau1[[#This Row],[Manque (physique)]]&gt;Tableau1[[#This Row],[Manque (digital)]],"POD",IF(Tableau1[[#This Row],[Manque (digital)]]&gt;Tableau1[[#This Row],[Manque (physique)]],"MarketPlace",""))</f>
        <v/>
      </c>
      <c r="J298" t="s">
        <v>30</v>
      </c>
      <c r="K298" t="s">
        <v>72</v>
      </c>
      <c r="L298" t="s">
        <v>19</v>
      </c>
      <c r="M298" t="s">
        <v>19</v>
      </c>
      <c r="N298" t="s">
        <v>20</v>
      </c>
      <c r="O298" t="s">
        <v>20</v>
      </c>
      <c r="P298" t="s">
        <v>20</v>
      </c>
      <c r="Q298" t="s">
        <v>241</v>
      </c>
    </row>
    <row r="299" spans="1:17" hidden="1" x14ac:dyDescent="0.25">
      <c r="A299" t="s">
        <v>610</v>
      </c>
      <c r="B299" t="s">
        <v>14</v>
      </c>
      <c r="C299" t="s">
        <v>15</v>
      </c>
      <c r="D299" t="s">
        <v>16</v>
      </c>
      <c r="E299">
        <v>10</v>
      </c>
      <c r="F299">
        <f>MAX(-1,3-Tableau1[[#This Row],[Nb possédé (digital)]])</f>
        <v>-1</v>
      </c>
      <c r="G299">
        <v>10</v>
      </c>
      <c r="H299">
        <f>MAX(-1,3-Tableau1[[#This Row],[Possédé (physique)]])</f>
        <v>-1</v>
      </c>
      <c r="I299" t="str">
        <f>IF(Tableau1[[#This Row],[Manque (physique)]]&gt;Tableau1[[#This Row],[Manque (digital)]],"POD",IF(Tableau1[[#This Row],[Manque (digital)]]&gt;Tableau1[[#This Row],[Manque (physique)]],"MarketPlace",""))</f>
        <v/>
      </c>
      <c r="J299" t="s">
        <v>30</v>
      </c>
      <c r="K299" t="s">
        <v>103</v>
      </c>
      <c r="L299" t="s">
        <v>19</v>
      </c>
      <c r="M299" t="s">
        <v>19</v>
      </c>
      <c r="N299" t="s">
        <v>89</v>
      </c>
      <c r="O299" t="s">
        <v>23</v>
      </c>
      <c r="P299" t="s">
        <v>19</v>
      </c>
      <c r="Q299" t="s">
        <v>459</v>
      </c>
    </row>
    <row r="300" spans="1:17" hidden="1" x14ac:dyDescent="0.25">
      <c r="A300" t="s">
        <v>612</v>
      </c>
      <c r="B300" t="s">
        <v>14</v>
      </c>
      <c r="C300" t="s">
        <v>15</v>
      </c>
      <c r="D300" t="s">
        <v>16</v>
      </c>
      <c r="E300">
        <v>4</v>
      </c>
      <c r="F300">
        <f>MAX(-1,3-Tableau1[[#This Row],[Nb possédé (digital)]])</f>
        <v>-1</v>
      </c>
      <c r="G300">
        <v>4</v>
      </c>
      <c r="H300">
        <f>MAX(-1,3-Tableau1[[#This Row],[Possédé (physique)]])</f>
        <v>-1</v>
      </c>
      <c r="I300" t="str">
        <f>IF(Tableau1[[#This Row],[Manque (physique)]]&gt;Tableau1[[#This Row],[Manque (digital)]],"POD",IF(Tableau1[[#This Row],[Manque (digital)]]&gt;Tableau1[[#This Row],[Manque (physique)]],"MarketPlace",""))</f>
        <v/>
      </c>
      <c r="J300" t="s">
        <v>30</v>
      </c>
      <c r="K300" t="s">
        <v>613</v>
      </c>
      <c r="L300" t="s">
        <v>19</v>
      </c>
      <c r="M300" t="s">
        <v>19</v>
      </c>
      <c r="N300" t="s">
        <v>23</v>
      </c>
      <c r="O300" t="s">
        <v>23</v>
      </c>
      <c r="P300" t="s">
        <v>23</v>
      </c>
      <c r="Q300" t="s">
        <v>614</v>
      </c>
    </row>
    <row r="301" spans="1:17" hidden="1" x14ac:dyDescent="0.25">
      <c r="A301" t="s">
        <v>896</v>
      </c>
      <c r="B301" t="s">
        <v>14</v>
      </c>
      <c r="C301" t="s">
        <v>15</v>
      </c>
      <c r="D301" t="s">
        <v>16</v>
      </c>
      <c r="E301">
        <v>5</v>
      </c>
      <c r="F301">
        <f>MAX(-1,3-Tableau1[[#This Row],[Nb possédé (digital)]])</f>
        <v>-1</v>
      </c>
      <c r="G301">
        <v>5</v>
      </c>
      <c r="H301">
        <f>MAX(-1,3-Tableau1[[#This Row],[Possédé (physique)]])</f>
        <v>-1</v>
      </c>
      <c r="I301" t="str">
        <f>IF(Tableau1[[#This Row],[Manque (physique)]]&gt;Tableau1[[#This Row],[Manque (digital)]],"POD",IF(Tableau1[[#This Row],[Manque (digital)]]&gt;Tableau1[[#This Row],[Manque (physique)]],"MarketPlace",""))</f>
        <v/>
      </c>
      <c r="J301" t="s">
        <v>217</v>
      </c>
      <c r="K301" t="s">
        <v>218</v>
      </c>
      <c r="L301" t="s">
        <v>19</v>
      </c>
      <c r="M301" t="s">
        <v>19</v>
      </c>
      <c r="Q301" t="s">
        <v>897</v>
      </c>
    </row>
    <row r="302" spans="1:17" hidden="1" x14ac:dyDescent="0.25">
      <c r="A302" t="s">
        <v>415</v>
      </c>
      <c r="B302" t="s">
        <v>14</v>
      </c>
      <c r="C302" t="s">
        <v>15</v>
      </c>
      <c r="D302" t="s">
        <v>16</v>
      </c>
      <c r="E302">
        <v>8</v>
      </c>
      <c r="F302">
        <f>MAX(-1,3-Tableau1[[#This Row],[Nb possédé (digital)]])</f>
        <v>-1</v>
      </c>
      <c r="G302">
        <v>8</v>
      </c>
      <c r="H302">
        <f>MAX(-1,3-Tableau1[[#This Row],[Possédé (physique)]])</f>
        <v>-1</v>
      </c>
      <c r="I302" t="str">
        <f>IF(Tableau1[[#This Row],[Manque (physique)]]&gt;Tableau1[[#This Row],[Manque (digital)]],"POD",IF(Tableau1[[#This Row],[Manque (digital)]]&gt;Tableau1[[#This Row],[Manque (physique)]],"MarketPlace",""))</f>
        <v/>
      </c>
      <c r="J302" t="s">
        <v>17</v>
      </c>
      <c r="K302" t="s">
        <v>18</v>
      </c>
      <c r="L302" t="s">
        <v>19</v>
      </c>
      <c r="M302" t="s">
        <v>23</v>
      </c>
      <c r="Q302" t="s">
        <v>416</v>
      </c>
    </row>
    <row r="303" spans="1:17" hidden="1" x14ac:dyDescent="0.25">
      <c r="A303" t="s">
        <v>782</v>
      </c>
      <c r="B303" t="s">
        <v>14</v>
      </c>
      <c r="C303" t="s">
        <v>15</v>
      </c>
      <c r="D303" t="s">
        <v>16</v>
      </c>
      <c r="E303">
        <v>6</v>
      </c>
      <c r="F303">
        <f>MAX(-1,3-Tableau1[[#This Row],[Nb possédé (digital)]])</f>
        <v>-1</v>
      </c>
      <c r="G303">
        <v>6</v>
      </c>
      <c r="H303">
        <f>MAX(-1,3-Tableau1[[#This Row],[Possédé (physique)]])</f>
        <v>-1</v>
      </c>
      <c r="I303" t="str">
        <f>IF(Tableau1[[#This Row],[Manque (physique)]]&gt;Tableau1[[#This Row],[Manque (digital)]],"POD",IF(Tableau1[[#This Row],[Manque (digital)]]&gt;Tableau1[[#This Row],[Manque (physique)]],"MarketPlace",""))</f>
        <v/>
      </c>
      <c r="J303" t="s">
        <v>30</v>
      </c>
      <c r="K303" t="s">
        <v>68</v>
      </c>
      <c r="L303" t="s">
        <v>19</v>
      </c>
      <c r="M303" t="s">
        <v>23</v>
      </c>
      <c r="N303" t="s">
        <v>23</v>
      </c>
      <c r="O303" t="s">
        <v>19</v>
      </c>
      <c r="P303" t="s">
        <v>89</v>
      </c>
      <c r="Q303" t="s">
        <v>783</v>
      </c>
    </row>
    <row r="304" spans="1:17" hidden="1" x14ac:dyDescent="0.25">
      <c r="A304" t="s">
        <v>357</v>
      </c>
      <c r="B304" t="s">
        <v>14</v>
      </c>
      <c r="C304" t="s">
        <v>15</v>
      </c>
      <c r="D304" t="s">
        <v>16</v>
      </c>
      <c r="E304">
        <v>10</v>
      </c>
      <c r="F304">
        <f>MAX(-1,3-Tableau1[[#This Row],[Nb possédé (digital)]])</f>
        <v>-1</v>
      </c>
      <c r="G304">
        <v>10</v>
      </c>
      <c r="H304">
        <f>MAX(-1,3-Tableau1[[#This Row],[Possédé (physique)]])</f>
        <v>-1</v>
      </c>
      <c r="I304" t="str">
        <f>IF(Tableau1[[#This Row],[Manque (physique)]]&gt;Tableau1[[#This Row],[Manque (digital)]],"POD",IF(Tableau1[[#This Row],[Manque (digital)]]&gt;Tableau1[[#This Row],[Manque (physique)]],"MarketPlace",""))</f>
        <v/>
      </c>
      <c r="J304" t="s">
        <v>30</v>
      </c>
      <c r="K304" t="s">
        <v>358</v>
      </c>
      <c r="L304" t="s">
        <v>23</v>
      </c>
      <c r="M304" t="s">
        <v>19</v>
      </c>
      <c r="N304" t="s">
        <v>23</v>
      </c>
      <c r="O304" t="s">
        <v>19</v>
      </c>
      <c r="P304" t="s">
        <v>19</v>
      </c>
      <c r="Q304" t="s">
        <v>359</v>
      </c>
    </row>
    <row r="305" spans="1:17" hidden="1" x14ac:dyDescent="0.25">
      <c r="A305" t="s">
        <v>562</v>
      </c>
      <c r="B305" t="s">
        <v>14</v>
      </c>
      <c r="C305" t="s">
        <v>15</v>
      </c>
      <c r="D305" t="s">
        <v>16</v>
      </c>
      <c r="E305">
        <v>8</v>
      </c>
      <c r="F305">
        <f>MAX(-1,3-Tableau1[[#This Row],[Nb possédé (digital)]])</f>
        <v>-1</v>
      </c>
      <c r="G305">
        <v>8</v>
      </c>
      <c r="H305">
        <f>MAX(-1,3-Tableau1[[#This Row],[Possédé (physique)]])</f>
        <v>-1</v>
      </c>
      <c r="I305" t="str">
        <f>IF(Tableau1[[#This Row],[Manque (physique)]]&gt;Tableau1[[#This Row],[Manque (digital)]],"POD",IF(Tableau1[[#This Row],[Manque (digital)]]&gt;Tableau1[[#This Row],[Manque (physique)]],"MarketPlace",""))</f>
        <v/>
      </c>
      <c r="J305" t="s">
        <v>30</v>
      </c>
      <c r="K305" t="s">
        <v>51</v>
      </c>
      <c r="L305" t="s">
        <v>23</v>
      </c>
      <c r="M305" t="s">
        <v>19</v>
      </c>
      <c r="N305" t="s">
        <v>23</v>
      </c>
      <c r="O305" t="s">
        <v>20</v>
      </c>
      <c r="P305" t="s">
        <v>23</v>
      </c>
    </row>
    <row r="306" spans="1:17" hidden="1" x14ac:dyDescent="0.25">
      <c r="A306" t="s">
        <v>71</v>
      </c>
      <c r="B306" t="s">
        <v>14</v>
      </c>
      <c r="C306" t="s">
        <v>15</v>
      </c>
      <c r="D306" t="s">
        <v>16</v>
      </c>
      <c r="E306">
        <v>8</v>
      </c>
      <c r="F306">
        <f>MAX(-1,3-Tableau1[[#This Row],[Nb possédé (digital)]])</f>
        <v>-1</v>
      </c>
      <c r="G306">
        <v>8</v>
      </c>
      <c r="H306">
        <f>MAX(-1,3-Tableau1[[#This Row],[Possédé (physique)]])</f>
        <v>-1</v>
      </c>
      <c r="I306" t="str">
        <f>IF(Tableau1[[#This Row],[Manque (physique)]]&gt;Tableau1[[#This Row],[Manque (digital)]],"POD",IF(Tableau1[[#This Row],[Manque (digital)]]&gt;Tableau1[[#This Row],[Manque (physique)]],"MarketPlace",""))</f>
        <v/>
      </c>
      <c r="J306" t="s">
        <v>30</v>
      </c>
      <c r="K306" t="s">
        <v>72</v>
      </c>
      <c r="L306" t="s">
        <v>23</v>
      </c>
      <c r="M306" t="s">
        <v>23</v>
      </c>
      <c r="N306" t="s">
        <v>19</v>
      </c>
      <c r="O306" t="s">
        <v>19</v>
      </c>
      <c r="P306" t="s">
        <v>52</v>
      </c>
      <c r="Q306" t="s">
        <v>73</v>
      </c>
    </row>
    <row r="307" spans="1:17" hidden="1" x14ac:dyDescent="0.25">
      <c r="A307" t="s">
        <v>346</v>
      </c>
      <c r="B307" t="s">
        <v>14</v>
      </c>
      <c r="C307" t="s">
        <v>15</v>
      </c>
      <c r="D307" t="s">
        <v>16</v>
      </c>
      <c r="E307">
        <v>5</v>
      </c>
      <c r="F307">
        <f>MAX(-1,3-Tableau1[[#This Row],[Nb possédé (digital)]])</f>
        <v>-1</v>
      </c>
      <c r="G307">
        <v>5</v>
      </c>
      <c r="H307">
        <f>MAX(-1,3-Tableau1[[#This Row],[Possédé (physique)]])</f>
        <v>-1</v>
      </c>
      <c r="I307" t="str">
        <f>IF(Tableau1[[#This Row],[Manque (physique)]]&gt;Tableau1[[#This Row],[Manque (digital)]],"POD",IF(Tableau1[[#This Row],[Manque (digital)]]&gt;Tableau1[[#This Row],[Manque (physique)]],"MarketPlace",""))</f>
        <v/>
      </c>
      <c r="J307" t="s">
        <v>30</v>
      </c>
      <c r="K307" t="s">
        <v>347</v>
      </c>
      <c r="L307" t="s">
        <v>23</v>
      </c>
      <c r="M307" t="s">
        <v>23</v>
      </c>
      <c r="N307" t="s">
        <v>89</v>
      </c>
      <c r="O307" t="s">
        <v>19</v>
      </c>
      <c r="P307" t="s">
        <v>19</v>
      </c>
      <c r="Q307" t="s">
        <v>243</v>
      </c>
    </row>
    <row r="308" spans="1:17" hidden="1" x14ac:dyDescent="0.25">
      <c r="A308" t="s">
        <v>457</v>
      </c>
      <c r="B308" t="s">
        <v>14</v>
      </c>
      <c r="C308" t="s">
        <v>15</v>
      </c>
      <c r="D308" t="s">
        <v>16</v>
      </c>
      <c r="E308">
        <v>9</v>
      </c>
      <c r="F308">
        <f>MAX(-1,3-Tableau1[[#This Row],[Nb possédé (digital)]])</f>
        <v>-1</v>
      </c>
      <c r="G308">
        <v>9</v>
      </c>
      <c r="H308">
        <f>MAX(-1,3-Tableau1[[#This Row],[Possédé (physique)]])</f>
        <v>-1</v>
      </c>
      <c r="I308" t="str">
        <f>IF(Tableau1[[#This Row],[Manque (physique)]]&gt;Tableau1[[#This Row],[Manque (digital)]],"POD",IF(Tableau1[[#This Row],[Manque (digital)]]&gt;Tableau1[[#This Row],[Manque (physique)]],"MarketPlace",""))</f>
        <v/>
      </c>
      <c r="J308" t="s">
        <v>30</v>
      </c>
      <c r="K308" t="s">
        <v>72</v>
      </c>
      <c r="L308" t="s">
        <v>23</v>
      </c>
      <c r="M308" t="s">
        <v>23</v>
      </c>
      <c r="N308" t="s">
        <v>37</v>
      </c>
      <c r="O308" t="s">
        <v>37</v>
      </c>
      <c r="P308" t="s">
        <v>23</v>
      </c>
      <c r="Q308" t="s">
        <v>458</v>
      </c>
    </row>
    <row r="309" spans="1:17" hidden="1" x14ac:dyDescent="0.25">
      <c r="A309" t="s">
        <v>688</v>
      </c>
      <c r="B309" t="s">
        <v>14</v>
      </c>
      <c r="C309" t="s">
        <v>15</v>
      </c>
      <c r="D309" t="s">
        <v>16</v>
      </c>
      <c r="E309">
        <v>6</v>
      </c>
      <c r="F309">
        <f>MAX(-1,3-Tableau1[[#This Row],[Nb possédé (digital)]])</f>
        <v>-1</v>
      </c>
      <c r="G309">
        <v>6</v>
      </c>
      <c r="H309">
        <f>MAX(-1,3-Tableau1[[#This Row],[Possédé (physique)]])</f>
        <v>-1</v>
      </c>
      <c r="I309" t="str">
        <f>IF(Tableau1[[#This Row],[Manque (physique)]]&gt;Tableau1[[#This Row],[Manque (digital)]],"POD",IF(Tableau1[[#This Row],[Manque (digital)]]&gt;Tableau1[[#This Row],[Manque (physique)]],"MarketPlace",""))</f>
        <v/>
      </c>
      <c r="J309" t="s">
        <v>217</v>
      </c>
      <c r="K309" t="s">
        <v>218</v>
      </c>
      <c r="L309" t="s">
        <v>23</v>
      </c>
      <c r="M309" t="s">
        <v>23</v>
      </c>
      <c r="Q309" t="s">
        <v>689</v>
      </c>
    </row>
    <row r="310" spans="1:17" hidden="1" x14ac:dyDescent="0.25">
      <c r="A310" t="s">
        <v>802</v>
      </c>
      <c r="B310" t="s">
        <v>14</v>
      </c>
      <c r="C310" t="s">
        <v>15</v>
      </c>
      <c r="D310" t="s">
        <v>16</v>
      </c>
      <c r="E310">
        <v>7</v>
      </c>
      <c r="F310">
        <f>MAX(-1,3-Tableau1[[#This Row],[Nb possédé (digital)]])</f>
        <v>-1</v>
      </c>
      <c r="G310">
        <v>7</v>
      </c>
      <c r="H310">
        <f>MAX(-1,3-Tableau1[[#This Row],[Possédé (physique)]])</f>
        <v>-1</v>
      </c>
      <c r="I310" t="str">
        <f>IF(Tableau1[[#This Row],[Manque (physique)]]&gt;Tableau1[[#This Row],[Manque (digital)]],"POD",IF(Tableau1[[#This Row],[Manque (digital)]]&gt;Tableau1[[#This Row],[Manque (physique)]],"MarketPlace",""))</f>
        <v/>
      </c>
      <c r="J310" t="s">
        <v>17</v>
      </c>
      <c r="K310" t="s">
        <v>153</v>
      </c>
      <c r="L310" t="s">
        <v>23</v>
      </c>
      <c r="M310" t="s">
        <v>23</v>
      </c>
      <c r="Q310" t="s">
        <v>803</v>
      </c>
    </row>
    <row r="311" spans="1:17" hidden="1" x14ac:dyDescent="0.25">
      <c r="A311" t="s">
        <v>1126</v>
      </c>
      <c r="B311" t="s">
        <v>14</v>
      </c>
      <c r="C311" t="s">
        <v>15</v>
      </c>
      <c r="D311" t="s">
        <v>16</v>
      </c>
      <c r="E311">
        <v>10</v>
      </c>
      <c r="F311">
        <f>MAX(-1,3-Tableau1[[#This Row],[Nb possédé (digital)]])</f>
        <v>-1</v>
      </c>
      <c r="G311">
        <v>10</v>
      </c>
      <c r="H311">
        <f>MAX(-1,3-Tableau1[[#This Row],[Possédé (physique)]])</f>
        <v>-1</v>
      </c>
      <c r="I311" t="str">
        <f>IF(Tableau1[[#This Row],[Manque (physique)]]&gt;Tableau1[[#This Row],[Manque (digital)]],"POD",IF(Tableau1[[#This Row],[Manque (digital)]]&gt;Tableau1[[#This Row],[Manque (physique)]],"MarketPlace",""))</f>
        <v/>
      </c>
      <c r="J311" t="s">
        <v>30</v>
      </c>
      <c r="K311" t="s">
        <v>358</v>
      </c>
      <c r="L311" t="s">
        <v>23</v>
      </c>
      <c r="M311" t="s">
        <v>23</v>
      </c>
      <c r="N311" t="s">
        <v>23</v>
      </c>
      <c r="O311" t="s">
        <v>23</v>
      </c>
      <c r="P311" t="s">
        <v>23</v>
      </c>
      <c r="Q311" t="s">
        <v>1127</v>
      </c>
    </row>
    <row r="312" spans="1:17" hidden="1" x14ac:dyDescent="0.25">
      <c r="A312" t="s">
        <v>851</v>
      </c>
      <c r="B312" t="s">
        <v>14</v>
      </c>
      <c r="C312" t="s">
        <v>15</v>
      </c>
      <c r="D312" t="s">
        <v>16</v>
      </c>
      <c r="E312">
        <v>6</v>
      </c>
      <c r="F312">
        <f>MAX(-1,3-Tableau1[[#This Row],[Nb possédé (digital)]])</f>
        <v>-1</v>
      </c>
      <c r="G312">
        <v>6</v>
      </c>
      <c r="H312">
        <f>MAX(-1,3-Tableau1[[#This Row],[Possédé (physique)]])</f>
        <v>-1</v>
      </c>
      <c r="I312" t="str">
        <f>IF(Tableau1[[#This Row],[Manque (physique)]]&gt;Tableau1[[#This Row],[Manque (digital)]],"POD",IF(Tableau1[[#This Row],[Manque (digital)]]&gt;Tableau1[[#This Row],[Manque (physique)]],"MarketPlace",""))</f>
        <v/>
      </c>
      <c r="J312" t="s">
        <v>30</v>
      </c>
      <c r="K312" t="s">
        <v>51</v>
      </c>
      <c r="L312" t="s">
        <v>52</v>
      </c>
      <c r="M312" t="s">
        <v>19</v>
      </c>
      <c r="N312" t="s">
        <v>23</v>
      </c>
      <c r="O312" t="s">
        <v>89</v>
      </c>
      <c r="P312" t="s">
        <v>23</v>
      </c>
      <c r="Q312" t="s">
        <v>852</v>
      </c>
    </row>
    <row r="313" spans="1:17" hidden="1" x14ac:dyDescent="0.25">
      <c r="A313" t="s">
        <v>235</v>
      </c>
      <c r="B313" t="s">
        <v>14</v>
      </c>
      <c r="C313" t="s">
        <v>15</v>
      </c>
      <c r="D313" t="s">
        <v>16</v>
      </c>
      <c r="E313">
        <v>8</v>
      </c>
      <c r="F313">
        <f>MAX(-1,3-Tableau1[[#This Row],[Nb possédé (digital)]])</f>
        <v>-1</v>
      </c>
      <c r="G313">
        <v>8</v>
      </c>
      <c r="H313">
        <f>MAX(-1,3-Tableau1[[#This Row],[Possédé (physique)]])</f>
        <v>-1</v>
      </c>
      <c r="I313" t="str">
        <f>IF(Tableau1[[#This Row],[Manque (physique)]]&gt;Tableau1[[#This Row],[Manque (digital)]],"POD",IF(Tableau1[[#This Row],[Manque (digital)]]&gt;Tableau1[[#This Row],[Manque (physique)]],"MarketPlace",""))</f>
        <v/>
      </c>
      <c r="J313" t="s">
        <v>30</v>
      </c>
      <c r="K313" t="s">
        <v>236</v>
      </c>
      <c r="L313" t="s">
        <v>52</v>
      </c>
      <c r="M313" t="s">
        <v>23</v>
      </c>
      <c r="N313" t="s">
        <v>52</v>
      </c>
      <c r="O313" t="s">
        <v>52</v>
      </c>
      <c r="P313" t="s">
        <v>52</v>
      </c>
    </row>
    <row r="314" spans="1:17" hidden="1" x14ac:dyDescent="0.25">
      <c r="A314" t="s">
        <v>50</v>
      </c>
      <c r="B314" t="s">
        <v>14</v>
      </c>
      <c r="C314" t="s">
        <v>15</v>
      </c>
      <c r="D314" t="s">
        <v>16</v>
      </c>
      <c r="E314">
        <v>5</v>
      </c>
      <c r="F314">
        <f>MAX(-1,3-Tableau1[[#This Row],[Nb possédé (digital)]])</f>
        <v>-1</v>
      </c>
      <c r="G314">
        <v>5</v>
      </c>
      <c r="H314">
        <f>MAX(-1,3-Tableau1[[#This Row],[Possédé (physique)]])</f>
        <v>-1</v>
      </c>
      <c r="I314" t="str">
        <f>IF(Tableau1[[#This Row],[Manque (physique)]]&gt;Tableau1[[#This Row],[Manque (digital)]],"POD",IF(Tableau1[[#This Row],[Manque (digital)]]&gt;Tableau1[[#This Row],[Manque (physique)]],"MarketPlace",""))</f>
        <v/>
      </c>
      <c r="J314" t="s">
        <v>30</v>
      </c>
      <c r="K314" t="s">
        <v>51</v>
      </c>
      <c r="L314" t="s">
        <v>52</v>
      </c>
      <c r="M314" t="s">
        <v>52</v>
      </c>
      <c r="N314" t="s">
        <v>52</v>
      </c>
      <c r="O314" t="s">
        <v>37</v>
      </c>
      <c r="P314" t="s">
        <v>52</v>
      </c>
      <c r="Q314" t="s">
        <v>53</v>
      </c>
    </row>
    <row r="315" spans="1:17" hidden="1" x14ac:dyDescent="0.25">
      <c r="A315" t="s">
        <v>1111</v>
      </c>
      <c r="B315" t="s">
        <v>14</v>
      </c>
      <c r="C315" t="s">
        <v>15</v>
      </c>
      <c r="D315" t="s">
        <v>16</v>
      </c>
      <c r="E315">
        <v>8</v>
      </c>
      <c r="F315">
        <f>MAX(-1,3-Tableau1[[#This Row],[Nb possédé (digital)]])</f>
        <v>-1</v>
      </c>
      <c r="G315">
        <v>8</v>
      </c>
      <c r="H315">
        <f>MAX(-1,3-Tableau1[[#This Row],[Possédé (physique)]])</f>
        <v>-1</v>
      </c>
      <c r="I315" t="str">
        <f>IF(Tableau1[[#This Row],[Manque (physique)]]&gt;Tableau1[[#This Row],[Manque (digital)]],"POD",IF(Tableau1[[#This Row],[Manque (digital)]]&gt;Tableau1[[#This Row],[Manque (physique)]],"MarketPlace",""))</f>
        <v/>
      </c>
      <c r="J315" t="s">
        <v>30</v>
      </c>
      <c r="K315" t="s">
        <v>179</v>
      </c>
      <c r="L315" t="s">
        <v>52</v>
      </c>
      <c r="M315" t="s">
        <v>52</v>
      </c>
      <c r="N315" t="s">
        <v>37</v>
      </c>
      <c r="O315" t="s">
        <v>37</v>
      </c>
      <c r="P315" t="s">
        <v>39</v>
      </c>
      <c r="Q315" t="s">
        <v>1112</v>
      </c>
    </row>
    <row r="316" spans="1:17" hidden="1" x14ac:dyDescent="0.25">
      <c r="A316" t="s">
        <v>880</v>
      </c>
      <c r="B316" t="s">
        <v>14</v>
      </c>
      <c r="C316" t="s">
        <v>15</v>
      </c>
      <c r="D316" t="s">
        <v>16</v>
      </c>
      <c r="E316">
        <v>8</v>
      </c>
      <c r="F316">
        <f>MAX(-1,3-Tableau1[[#This Row],[Nb possédé (digital)]])</f>
        <v>-1</v>
      </c>
      <c r="G316">
        <v>8</v>
      </c>
      <c r="H316">
        <f>MAX(-1,3-Tableau1[[#This Row],[Possédé (physique)]])</f>
        <v>-1</v>
      </c>
      <c r="I316" t="str">
        <f>IF(Tableau1[[#This Row],[Manque (physique)]]&gt;Tableau1[[#This Row],[Manque (digital)]],"POD",IF(Tableau1[[#This Row],[Manque (digital)]]&gt;Tableau1[[#This Row],[Manque (physique)]],"MarketPlace",""))</f>
        <v/>
      </c>
      <c r="J316" t="s">
        <v>30</v>
      </c>
      <c r="K316" t="s">
        <v>72</v>
      </c>
      <c r="L316" t="s">
        <v>37</v>
      </c>
      <c r="M316" t="s">
        <v>37</v>
      </c>
      <c r="N316" t="s">
        <v>23</v>
      </c>
      <c r="O316" t="s">
        <v>23</v>
      </c>
      <c r="P316" t="s">
        <v>23</v>
      </c>
      <c r="Q316" t="s">
        <v>241</v>
      </c>
    </row>
    <row r="317" spans="1:17" hidden="1" x14ac:dyDescent="0.25">
      <c r="A317" t="s">
        <v>460</v>
      </c>
      <c r="B317" t="s">
        <v>14</v>
      </c>
      <c r="C317" t="s">
        <v>15</v>
      </c>
      <c r="D317" t="s">
        <v>16</v>
      </c>
      <c r="E317">
        <v>6</v>
      </c>
      <c r="F317">
        <f>MAX(-1,3-Tableau1[[#This Row],[Nb possédé (digital)]])</f>
        <v>-1</v>
      </c>
      <c r="G317">
        <v>6</v>
      </c>
      <c r="H317">
        <f>MAX(-1,3-Tableau1[[#This Row],[Possédé (physique)]])</f>
        <v>-1</v>
      </c>
      <c r="I317" t="str">
        <f>IF(Tableau1[[#This Row],[Manque (physique)]]&gt;Tableau1[[#This Row],[Manque (digital)]],"POD",IF(Tableau1[[#This Row],[Manque (digital)]]&gt;Tableau1[[#This Row],[Manque (physique)]],"MarketPlace",""))</f>
        <v/>
      </c>
      <c r="J317" t="s">
        <v>30</v>
      </c>
      <c r="K317" t="s">
        <v>72</v>
      </c>
      <c r="L317" t="s">
        <v>39</v>
      </c>
      <c r="M317" t="s">
        <v>39</v>
      </c>
      <c r="N317" t="s">
        <v>39</v>
      </c>
      <c r="O317" t="s">
        <v>23</v>
      </c>
      <c r="P317" t="s">
        <v>23</v>
      </c>
      <c r="Q317" t="s">
        <v>142</v>
      </c>
    </row>
    <row r="318" spans="1:17" hidden="1" x14ac:dyDescent="0.25">
      <c r="A318" t="s">
        <v>548</v>
      </c>
      <c r="B318" t="s">
        <v>14</v>
      </c>
      <c r="C318" t="s">
        <v>15</v>
      </c>
      <c r="D318" t="s">
        <v>16</v>
      </c>
      <c r="E318">
        <v>7</v>
      </c>
      <c r="F318">
        <f>MAX(-1,3-Tableau1[[#This Row],[Nb possédé (digital)]])</f>
        <v>-1</v>
      </c>
      <c r="G318">
        <v>7</v>
      </c>
      <c r="H318">
        <f>MAX(-1,3-Tableau1[[#This Row],[Possédé (physique)]])</f>
        <v>-1</v>
      </c>
      <c r="I318" t="str">
        <f>IF(Tableau1[[#This Row],[Manque (physique)]]&gt;Tableau1[[#This Row],[Manque (digital)]],"POD",IF(Tableau1[[#This Row],[Manque (digital)]]&gt;Tableau1[[#This Row],[Manque (physique)]],"MarketPlace",""))</f>
        <v/>
      </c>
      <c r="J318" t="s">
        <v>30</v>
      </c>
      <c r="K318" t="s">
        <v>347</v>
      </c>
      <c r="L318" t="s">
        <v>380</v>
      </c>
      <c r="M318" t="s">
        <v>380</v>
      </c>
      <c r="N318" t="s">
        <v>89</v>
      </c>
      <c r="O318" t="s">
        <v>89</v>
      </c>
      <c r="P318" t="s">
        <v>89</v>
      </c>
      <c r="Q318" t="s">
        <v>549</v>
      </c>
    </row>
    <row r="319" spans="1:17" hidden="1" x14ac:dyDescent="0.25">
      <c r="A319" t="s">
        <v>529</v>
      </c>
      <c r="B319" t="s">
        <v>14</v>
      </c>
      <c r="C319" t="s">
        <v>15</v>
      </c>
      <c r="D319" t="s">
        <v>58</v>
      </c>
      <c r="E319">
        <v>3</v>
      </c>
      <c r="F319">
        <f>MAX(-1,3-Tableau1[[#This Row],[Nb possédé (digital)]])</f>
        <v>0</v>
      </c>
      <c r="G319">
        <v>3</v>
      </c>
      <c r="H319">
        <f>MAX(-1,3-Tableau1[[#This Row],[Possédé (physique)]])</f>
        <v>0</v>
      </c>
      <c r="I319" t="str">
        <f>IF(Tableau1[[#This Row],[Manque (physique)]]&gt;Tableau1[[#This Row],[Manque (digital)]],"POD",IF(Tableau1[[#This Row],[Manque (digital)]]&gt;Tableau1[[#This Row],[Manque (physique)]],"MarketPlace",""))</f>
        <v/>
      </c>
      <c r="J319" t="s">
        <v>116</v>
      </c>
      <c r="K319" t="s">
        <v>117</v>
      </c>
      <c r="L319" t="s">
        <v>20</v>
      </c>
      <c r="M319" t="s">
        <v>20</v>
      </c>
      <c r="Q319" t="s">
        <v>530</v>
      </c>
    </row>
    <row r="320" spans="1:17" hidden="1" x14ac:dyDescent="0.25">
      <c r="A320" t="s">
        <v>993</v>
      </c>
      <c r="B320" t="s">
        <v>14</v>
      </c>
      <c r="C320" t="s">
        <v>15</v>
      </c>
      <c r="D320" t="s">
        <v>58</v>
      </c>
      <c r="E320">
        <v>3</v>
      </c>
      <c r="F320">
        <f>MAX(-1,3-Tableau1[[#This Row],[Nb possédé (digital)]])</f>
        <v>0</v>
      </c>
      <c r="G320">
        <v>3</v>
      </c>
      <c r="H320">
        <f>MAX(-1,3-Tableau1[[#This Row],[Possédé (physique)]])</f>
        <v>0</v>
      </c>
      <c r="I320" t="str">
        <f>IF(Tableau1[[#This Row],[Manque (physique)]]&gt;Tableau1[[#This Row],[Manque (digital)]],"POD",IF(Tableau1[[#This Row],[Manque (digital)]]&gt;Tableau1[[#This Row],[Manque (physique)]],"MarketPlace",""))</f>
        <v/>
      </c>
      <c r="J320" t="s">
        <v>17</v>
      </c>
      <c r="K320" t="s">
        <v>18</v>
      </c>
      <c r="L320" t="s">
        <v>20</v>
      </c>
      <c r="M320" t="s">
        <v>20</v>
      </c>
      <c r="Q320" t="s">
        <v>994</v>
      </c>
    </row>
    <row r="321" spans="1:17" hidden="1" x14ac:dyDescent="0.25">
      <c r="A321" t="s">
        <v>1059</v>
      </c>
      <c r="B321" t="s">
        <v>14</v>
      </c>
      <c r="C321" t="s">
        <v>15</v>
      </c>
      <c r="D321" t="s">
        <v>58</v>
      </c>
      <c r="E321">
        <v>3</v>
      </c>
      <c r="F321">
        <f>MAX(-1,3-Tableau1[[#This Row],[Nb possédé (digital)]])</f>
        <v>0</v>
      </c>
      <c r="G321">
        <v>3</v>
      </c>
      <c r="H321">
        <f>MAX(-1,3-Tableau1[[#This Row],[Possédé (physique)]])</f>
        <v>0</v>
      </c>
      <c r="I321" t="str">
        <f>IF(Tableau1[[#This Row],[Manque (physique)]]&gt;Tableau1[[#This Row],[Manque (digital)]],"POD",IF(Tableau1[[#This Row],[Manque (digital)]]&gt;Tableau1[[#This Row],[Manque (physique)]],"MarketPlace",""))</f>
        <v/>
      </c>
      <c r="J321" t="s">
        <v>116</v>
      </c>
      <c r="K321" t="s">
        <v>117</v>
      </c>
      <c r="L321" t="s">
        <v>20</v>
      </c>
      <c r="M321" t="s">
        <v>20</v>
      </c>
      <c r="Q321" t="s">
        <v>1060</v>
      </c>
    </row>
    <row r="322" spans="1:17" hidden="1" x14ac:dyDescent="0.25">
      <c r="A322" t="s">
        <v>237</v>
      </c>
      <c r="B322" t="s">
        <v>14</v>
      </c>
      <c r="C322" t="s">
        <v>15</v>
      </c>
      <c r="D322" t="s">
        <v>58</v>
      </c>
      <c r="E322">
        <v>4</v>
      </c>
      <c r="F322">
        <f>MAX(-1,3-Tableau1[[#This Row],[Nb possédé (digital)]])</f>
        <v>-1</v>
      </c>
      <c r="G322">
        <v>4</v>
      </c>
      <c r="H322">
        <f>MAX(-1,3-Tableau1[[#This Row],[Possédé (physique)]])</f>
        <v>-1</v>
      </c>
      <c r="I322" t="str">
        <f>IF(Tableau1[[#This Row],[Manque (physique)]]&gt;Tableau1[[#This Row],[Manque (digital)]],"POD",IF(Tableau1[[#This Row],[Manque (digital)]]&gt;Tableau1[[#This Row],[Manque (physique)]],"MarketPlace",""))</f>
        <v/>
      </c>
      <c r="J322" t="s">
        <v>30</v>
      </c>
      <c r="K322" t="s">
        <v>72</v>
      </c>
      <c r="L322" t="s">
        <v>19</v>
      </c>
      <c r="M322" t="s">
        <v>19</v>
      </c>
      <c r="N322" t="s">
        <v>23</v>
      </c>
      <c r="O322" t="s">
        <v>89</v>
      </c>
      <c r="P322" t="s">
        <v>19</v>
      </c>
      <c r="Q322" t="s">
        <v>238</v>
      </c>
    </row>
    <row r="323" spans="1:17" hidden="1" x14ac:dyDescent="0.25">
      <c r="A323" t="s">
        <v>591</v>
      </c>
      <c r="B323" t="s">
        <v>14</v>
      </c>
      <c r="C323" t="s">
        <v>15</v>
      </c>
      <c r="D323" t="s">
        <v>58</v>
      </c>
      <c r="E323">
        <v>3</v>
      </c>
      <c r="F323">
        <f>MAX(-1,3-Tableau1[[#This Row],[Nb possédé (digital)]])</f>
        <v>0</v>
      </c>
      <c r="G323">
        <v>3</v>
      </c>
      <c r="H323">
        <f>MAX(-1,3-Tableau1[[#This Row],[Possédé (physique)]])</f>
        <v>0</v>
      </c>
      <c r="I323" t="str">
        <f>IF(Tableau1[[#This Row],[Manque (physique)]]&gt;Tableau1[[#This Row],[Manque (digital)]],"POD",IF(Tableau1[[#This Row],[Manque (digital)]]&gt;Tableau1[[#This Row],[Manque (physique)]],"MarketPlace",""))</f>
        <v/>
      </c>
      <c r="J323" t="s">
        <v>30</v>
      </c>
      <c r="K323" t="s">
        <v>124</v>
      </c>
      <c r="L323" t="s">
        <v>19</v>
      </c>
      <c r="M323" t="s">
        <v>19</v>
      </c>
      <c r="N323" t="s">
        <v>19</v>
      </c>
      <c r="O323" t="s">
        <v>20</v>
      </c>
      <c r="P323" t="s">
        <v>19</v>
      </c>
      <c r="Q323" t="s">
        <v>183</v>
      </c>
    </row>
    <row r="324" spans="1:17" hidden="1" x14ac:dyDescent="0.25">
      <c r="A324" t="s">
        <v>864</v>
      </c>
      <c r="B324" t="s">
        <v>14</v>
      </c>
      <c r="C324" t="s">
        <v>15</v>
      </c>
      <c r="D324" t="s">
        <v>58</v>
      </c>
      <c r="E324">
        <v>3</v>
      </c>
      <c r="F324">
        <f>MAX(-1,3-Tableau1[[#This Row],[Nb possédé (digital)]])</f>
        <v>0</v>
      </c>
      <c r="G324">
        <v>3</v>
      </c>
      <c r="H324">
        <f>MAX(-1,3-Tableau1[[#This Row],[Possédé (physique)]])</f>
        <v>0</v>
      </c>
      <c r="I324" t="str">
        <f>IF(Tableau1[[#This Row],[Manque (physique)]]&gt;Tableau1[[#This Row],[Manque (digital)]],"POD",IF(Tableau1[[#This Row],[Manque (digital)]]&gt;Tableau1[[#This Row],[Manque (physique)]],"MarketPlace",""))</f>
        <v/>
      </c>
      <c r="J324" t="s">
        <v>30</v>
      </c>
      <c r="K324" t="s">
        <v>51</v>
      </c>
      <c r="L324" t="s">
        <v>19</v>
      </c>
      <c r="M324" t="s">
        <v>19</v>
      </c>
      <c r="N324" t="s">
        <v>23</v>
      </c>
      <c r="O324" t="s">
        <v>89</v>
      </c>
      <c r="P324" t="s">
        <v>89</v>
      </c>
      <c r="Q324" t="s">
        <v>865</v>
      </c>
    </row>
    <row r="325" spans="1:17" hidden="1" x14ac:dyDescent="0.25">
      <c r="A325" t="s">
        <v>764</v>
      </c>
      <c r="B325" t="s">
        <v>14</v>
      </c>
      <c r="C325" t="s">
        <v>15</v>
      </c>
      <c r="D325" t="s">
        <v>58</v>
      </c>
      <c r="E325">
        <v>3</v>
      </c>
      <c r="F325">
        <f>MAX(-1,3-Tableau1[[#This Row],[Nb possédé (digital)]])</f>
        <v>0</v>
      </c>
      <c r="G325">
        <v>3</v>
      </c>
      <c r="H325">
        <f>MAX(-1,3-Tableau1[[#This Row],[Possédé (physique)]])</f>
        <v>0</v>
      </c>
      <c r="I325" t="str">
        <f>IF(Tableau1[[#This Row],[Manque (physique)]]&gt;Tableau1[[#This Row],[Manque (digital)]],"POD",IF(Tableau1[[#This Row],[Manque (digital)]]&gt;Tableau1[[#This Row],[Manque (physique)]],"MarketPlace",""))</f>
        <v/>
      </c>
      <c r="J325" t="s">
        <v>30</v>
      </c>
      <c r="K325" t="s">
        <v>79</v>
      </c>
      <c r="L325" t="s">
        <v>23</v>
      </c>
      <c r="M325" t="s">
        <v>23</v>
      </c>
      <c r="N325" t="s">
        <v>89</v>
      </c>
      <c r="O325" t="s">
        <v>52</v>
      </c>
      <c r="P325" t="s">
        <v>52</v>
      </c>
      <c r="Q325" t="s">
        <v>765</v>
      </c>
    </row>
    <row r="326" spans="1:17" hidden="1" x14ac:dyDescent="0.25">
      <c r="A326" t="s">
        <v>861</v>
      </c>
      <c r="B326" t="s">
        <v>14</v>
      </c>
      <c r="C326" t="s">
        <v>15</v>
      </c>
      <c r="D326" t="s">
        <v>58</v>
      </c>
      <c r="E326">
        <v>3</v>
      </c>
      <c r="F326">
        <f>MAX(-1,3-Tableau1[[#This Row],[Nb possédé (digital)]])</f>
        <v>0</v>
      </c>
      <c r="G326">
        <v>3</v>
      </c>
      <c r="H326">
        <f>MAX(-1,3-Tableau1[[#This Row],[Possédé (physique)]])</f>
        <v>0</v>
      </c>
      <c r="I326" t="str">
        <f>IF(Tableau1[[#This Row],[Manque (physique)]]&gt;Tableau1[[#This Row],[Manque (digital)]],"POD",IF(Tableau1[[#This Row],[Manque (digital)]]&gt;Tableau1[[#This Row],[Manque (physique)]],"MarketPlace",""))</f>
        <v/>
      </c>
      <c r="J326" t="s">
        <v>17</v>
      </c>
      <c r="K326" t="s">
        <v>153</v>
      </c>
      <c r="L326" t="s">
        <v>23</v>
      </c>
      <c r="M326" t="s">
        <v>23</v>
      </c>
      <c r="Q326" t="s">
        <v>862</v>
      </c>
    </row>
    <row r="327" spans="1:17" hidden="1" x14ac:dyDescent="0.25">
      <c r="A327" t="s">
        <v>975</v>
      </c>
      <c r="B327" t="s">
        <v>14</v>
      </c>
      <c r="C327" t="s">
        <v>15</v>
      </c>
      <c r="D327" t="s">
        <v>58</v>
      </c>
      <c r="E327">
        <v>5</v>
      </c>
      <c r="F327">
        <f>MAX(-1,3-Tableau1[[#This Row],[Nb possédé (digital)]])</f>
        <v>-1</v>
      </c>
      <c r="G327">
        <v>5</v>
      </c>
      <c r="H327">
        <f>MAX(-1,3-Tableau1[[#This Row],[Possédé (physique)]])</f>
        <v>-1</v>
      </c>
      <c r="I327" t="str">
        <f>IF(Tableau1[[#This Row],[Manque (physique)]]&gt;Tableau1[[#This Row],[Manque (digital)]],"POD",IF(Tableau1[[#This Row],[Manque (digital)]]&gt;Tableau1[[#This Row],[Manque (physique)]],"MarketPlace",""))</f>
        <v/>
      </c>
      <c r="J327" t="s">
        <v>30</v>
      </c>
      <c r="K327" t="s">
        <v>42</v>
      </c>
      <c r="L327" t="s">
        <v>23</v>
      </c>
      <c r="M327" t="s">
        <v>23</v>
      </c>
      <c r="N327" t="s">
        <v>19</v>
      </c>
      <c r="O327" t="s">
        <v>19</v>
      </c>
      <c r="P327" t="s">
        <v>19</v>
      </c>
      <c r="Q327" t="s">
        <v>976</v>
      </c>
    </row>
    <row r="328" spans="1:17" hidden="1" x14ac:dyDescent="0.25">
      <c r="A328" t="s">
        <v>1051</v>
      </c>
      <c r="B328" t="s">
        <v>14</v>
      </c>
      <c r="C328" t="s">
        <v>15</v>
      </c>
      <c r="D328" t="s">
        <v>58</v>
      </c>
      <c r="E328">
        <v>5</v>
      </c>
      <c r="F328">
        <f>MAX(-1,3-Tableau1[[#This Row],[Nb possédé (digital)]])</f>
        <v>-1</v>
      </c>
      <c r="G328">
        <v>5</v>
      </c>
      <c r="H328">
        <f>MAX(-1,3-Tableau1[[#This Row],[Possédé (physique)]])</f>
        <v>-1</v>
      </c>
      <c r="I328" t="str">
        <f>IF(Tableau1[[#This Row],[Manque (physique)]]&gt;Tableau1[[#This Row],[Manque (digital)]],"POD",IF(Tableau1[[#This Row],[Manque (digital)]]&gt;Tableau1[[#This Row],[Manque (physique)]],"MarketPlace",""))</f>
        <v/>
      </c>
      <c r="J328" t="s">
        <v>268</v>
      </c>
      <c r="K328" t="s">
        <v>269</v>
      </c>
      <c r="L328" t="s">
        <v>23</v>
      </c>
      <c r="M328" t="s">
        <v>23</v>
      </c>
      <c r="Q328" t="s">
        <v>1052</v>
      </c>
    </row>
    <row r="329" spans="1:17" hidden="1" x14ac:dyDescent="0.25">
      <c r="A329" t="s">
        <v>1129</v>
      </c>
      <c r="B329" t="s">
        <v>14</v>
      </c>
      <c r="C329" t="s">
        <v>15</v>
      </c>
      <c r="D329" t="s">
        <v>58</v>
      </c>
      <c r="E329">
        <v>5</v>
      </c>
      <c r="F329">
        <f>MAX(-1,3-Tableau1[[#This Row],[Nb possédé (digital)]])</f>
        <v>-1</v>
      </c>
      <c r="G329">
        <v>5</v>
      </c>
      <c r="H329">
        <f>MAX(-1,3-Tableau1[[#This Row],[Possédé (physique)]])</f>
        <v>-1</v>
      </c>
      <c r="I329" t="str">
        <f>IF(Tableau1[[#This Row],[Manque (physique)]]&gt;Tableau1[[#This Row],[Manque (digital)]],"POD",IF(Tableau1[[#This Row],[Manque (digital)]]&gt;Tableau1[[#This Row],[Manque (physique)]],"MarketPlace",""))</f>
        <v/>
      </c>
      <c r="J329" t="s">
        <v>30</v>
      </c>
      <c r="K329" t="s">
        <v>79</v>
      </c>
      <c r="L329" t="s">
        <v>23</v>
      </c>
      <c r="M329" t="s">
        <v>52</v>
      </c>
      <c r="N329" t="s">
        <v>19</v>
      </c>
      <c r="O329" t="s">
        <v>19</v>
      </c>
      <c r="P329" t="s">
        <v>19</v>
      </c>
      <c r="Q329" t="s">
        <v>1130</v>
      </c>
    </row>
    <row r="330" spans="1:17" hidden="1" x14ac:dyDescent="0.25">
      <c r="A330" t="s">
        <v>918</v>
      </c>
      <c r="B330" t="s">
        <v>14</v>
      </c>
      <c r="C330" t="s">
        <v>15</v>
      </c>
      <c r="D330" t="s">
        <v>58</v>
      </c>
      <c r="E330">
        <v>3</v>
      </c>
      <c r="F330">
        <f>MAX(-1,3-Tableau1[[#This Row],[Nb possédé (digital)]])</f>
        <v>0</v>
      </c>
      <c r="G330">
        <v>3</v>
      </c>
      <c r="H330">
        <f>MAX(-1,3-Tableau1[[#This Row],[Possédé (physique)]])</f>
        <v>0</v>
      </c>
      <c r="I330" t="str">
        <f>IF(Tableau1[[#This Row],[Manque (physique)]]&gt;Tableau1[[#This Row],[Manque (digital)]],"POD",IF(Tableau1[[#This Row],[Manque (digital)]]&gt;Tableau1[[#This Row],[Manque (physique)]],"MarketPlace",""))</f>
        <v/>
      </c>
      <c r="J330" t="s">
        <v>30</v>
      </c>
      <c r="K330" t="s">
        <v>919</v>
      </c>
      <c r="L330" t="s">
        <v>52</v>
      </c>
      <c r="M330" t="s">
        <v>23</v>
      </c>
      <c r="N330" t="s">
        <v>52</v>
      </c>
      <c r="O330" t="s">
        <v>89</v>
      </c>
      <c r="P330" t="s">
        <v>52</v>
      </c>
      <c r="Q330" t="s">
        <v>920</v>
      </c>
    </row>
    <row r="331" spans="1:17" hidden="1" x14ac:dyDescent="0.25">
      <c r="A331" t="s">
        <v>633</v>
      </c>
      <c r="B331" t="s">
        <v>14</v>
      </c>
      <c r="C331" t="s">
        <v>15</v>
      </c>
      <c r="D331" t="s">
        <v>58</v>
      </c>
      <c r="E331">
        <v>4</v>
      </c>
      <c r="F331">
        <f>MAX(-1,3-Tableau1[[#This Row],[Nb possédé (digital)]])</f>
        <v>-1</v>
      </c>
      <c r="G331">
        <v>4</v>
      </c>
      <c r="H331">
        <f>MAX(-1,3-Tableau1[[#This Row],[Possédé (physique)]])</f>
        <v>-1</v>
      </c>
      <c r="I331" t="str">
        <f>IF(Tableau1[[#This Row],[Manque (physique)]]&gt;Tableau1[[#This Row],[Manque (digital)]],"POD",IF(Tableau1[[#This Row],[Manque (digital)]]&gt;Tableau1[[#This Row],[Manque (physique)]],"MarketPlace",""))</f>
        <v/>
      </c>
      <c r="J331" t="s">
        <v>30</v>
      </c>
      <c r="K331" t="s">
        <v>328</v>
      </c>
      <c r="L331" t="s">
        <v>52</v>
      </c>
      <c r="M331" t="s">
        <v>52</v>
      </c>
      <c r="N331" t="s">
        <v>37</v>
      </c>
      <c r="O331" t="s">
        <v>37</v>
      </c>
      <c r="P331" t="s">
        <v>37</v>
      </c>
      <c r="Q331" t="s">
        <v>634</v>
      </c>
    </row>
    <row r="332" spans="1:17" hidden="1" x14ac:dyDescent="0.25">
      <c r="A332" t="s">
        <v>755</v>
      </c>
      <c r="B332" t="s">
        <v>14</v>
      </c>
      <c r="C332" t="s">
        <v>15</v>
      </c>
      <c r="D332" t="s">
        <v>58</v>
      </c>
      <c r="E332">
        <v>5</v>
      </c>
      <c r="F332">
        <f>MAX(-1,3-Tableau1[[#This Row],[Nb possédé (digital)]])</f>
        <v>-1</v>
      </c>
      <c r="G332">
        <v>5</v>
      </c>
      <c r="H332">
        <f>MAX(-1,3-Tableau1[[#This Row],[Possédé (physique)]])</f>
        <v>-1</v>
      </c>
      <c r="I332" t="str">
        <f>IF(Tableau1[[#This Row],[Manque (physique)]]&gt;Tableau1[[#This Row],[Manque (digital)]],"POD",IF(Tableau1[[#This Row],[Manque (digital)]]&gt;Tableau1[[#This Row],[Manque (physique)]],"MarketPlace",""))</f>
        <v/>
      </c>
      <c r="J332" t="s">
        <v>30</v>
      </c>
      <c r="K332" t="s">
        <v>378</v>
      </c>
      <c r="L332" t="s">
        <v>37</v>
      </c>
      <c r="M332" t="s">
        <v>37</v>
      </c>
      <c r="N332" t="s">
        <v>52</v>
      </c>
      <c r="O332" t="s">
        <v>52</v>
      </c>
      <c r="P332" t="s">
        <v>52</v>
      </c>
      <c r="Q332" t="s">
        <v>756</v>
      </c>
    </row>
    <row r="333" spans="1:17" hidden="1" x14ac:dyDescent="0.25">
      <c r="A333" t="s">
        <v>1154</v>
      </c>
      <c r="B333" t="s">
        <v>14</v>
      </c>
      <c r="C333" t="s">
        <v>15</v>
      </c>
      <c r="D333" t="s">
        <v>58</v>
      </c>
      <c r="E333">
        <v>3</v>
      </c>
      <c r="F333">
        <f>MAX(-1,3-Tableau1[[#This Row],[Nb possédé (digital)]])</f>
        <v>0</v>
      </c>
      <c r="G333">
        <v>3</v>
      </c>
      <c r="H333">
        <f>MAX(-1,3-Tableau1[[#This Row],[Possédé (physique)]])</f>
        <v>0</v>
      </c>
      <c r="I333" t="str">
        <f>IF(Tableau1[[#This Row],[Manque (physique)]]&gt;Tableau1[[#This Row],[Manque (digital)]],"POD",IF(Tableau1[[#This Row],[Manque (digital)]]&gt;Tableau1[[#This Row],[Manque (physique)]],"MarketPlace",""))</f>
        <v/>
      </c>
      <c r="J333" t="s">
        <v>30</v>
      </c>
      <c r="K333" t="s">
        <v>378</v>
      </c>
      <c r="L333" t="s">
        <v>39</v>
      </c>
      <c r="M333" t="s">
        <v>39</v>
      </c>
      <c r="N333" t="s">
        <v>39</v>
      </c>
      <c r="O333" t="s">
        <v>37</v>
      </c>
      <c r="P333" t="s">
        <v>37</v>
      </c>
      <c r="Q333" t="s">
        <v>379</v>
      </c>
    </row>
    <row r="334" spans="1:17" hidden="1" x14ac:dyDescent="0.25">
      <c r="A334" t="s">
        <v>1497</v>
      </c>
      <c r="B334" t="s">
        <v>14</v>
      </c>
      <c r="C334" t="s">
        <v>15</v>
      </c>
      <c r="D334" t="s">
        <v>1496</v>
      </c>
      <c r="E334">
        <v>7</v>
      </c>
      <c r="F334">
        <f>MAX(-1,3-Tableau1[[#This Row],[Nb possédé (digital)]])</f>
        <v>-1</v>
      </c>
      <c r="G334">
        <v>7</v>
      </c>
      <c r="H334">
        <f>MAX(-1,3-Tableau1[[#This Row],[Possédé (physique)]])</f>
        <v>-1</v>
      </c>
      <c r="I334" t="str">
        <f>IF(Tableau1[[#This Row],[Manque (physique)]]&gt;Tableau1[[#This Row],[Manque (digital)]],"POD",IF(Tableau1[[#This Row],[Manque (digital)]]&gt;Tableau1[[#This Row],[Manque (physique)]],"MarketPlace",""))</f>
        <v/>
      </c>
      <c r="J334" t="s">
        <v>268</v>
      </c>
      <c r="K334" t="s">
        <v>269</v>
      </c>
      <c r="L334" t="s">
        <v>19</v>
      </c>
      <c r="M334" t="s">
        <v>19</v>
      </c>
      <c r="Q334" t="s">
        <v>1598</v>
      </c>
    </row>
    <row r="335" spans="1:17" hidden="1" x14ac:dyDescent="0.25">
      <c r="A335" t="s">
        <v>1503</v>
      </c>
      <c r="B335" t="s">
        <v>14</v>
      </c>
      <c r="C335" t="s">
        <v>15</v>
      </c>
      <c r="D335" t="s">
        <v>1496</v>
      </c>
      <c r="E335">
        <v>5</v>
      </c>
      <c r="F335">
        <f>MAX(-1,3-Tableau1[[#This Row],[Nb possédé (digital)]])</f>
        <v>-1</v>
      </c>
      <c r="G335">
        <v>5</v>
      </c>
      <c r="H335">
        <f>MAX(-1,3-Tableau1[[#This Row],[Possédé (physique)]])</f>
        <v>-1</v>
      </c>
      <c r="I335" t="str">
        <f>IF(Tableau1[[#This Row],[Manque (physique)]]&gt;Tableau1[[#This Row],[Manque (digital)]],"POD",IF(Tableau1[[#This Row],[Manque (digital)]]&gt;Tableau1[[#This Row],[Manque (physique)]],"MarketPlace",""))</f>
        <v/>
      </c>
      <c r="J335" t="s">
        <v>30</v>
      </c>
      <c r="K335" t="s">
        <v>358</v>
      </c>
      <c r="L335" t="s">
        <v>19</v>
      </c>
      <c r="M335" t="s">
        <v>19</v>
      </c>
      <c r="N335" t="s">
        <v>19</v>
      </c>
      <c r="O335" t="s">
        <v>19</v>
      </c>
      <c r="P335" t="s">
        <v>89</v>
      </c>
      <c r="Q335" t="s">
        <v>1613</v>
      </c>
    </row>
    <row r="336" spans="1:17" hidden="1" x14ac:dyDescent="0.25">
      <c r="A336" t="s">
        <v>1508</v>
      </c>
      <c r="B336" t="s">
        <v>14</v>
      </c>
      <c r="C336" t="s">
        <v>15</v>
      </c>
      <c r="D336" t="s">
        <v>1496</v>
      </c>
      <c r="E336">
        <v>9</v>
      </c>
      <c r="F336">
        <f>MAX(-1,3-Tableau1[[#This Row],[Nb possédé (digital)]])</f>
        <v>-1</v>
      </c>
      <c r="G336">
        <v>9</v>
      </c>
      <c r="H336">
        <f>MAX(-1,3-Tableau1[[#This Row],[Possédé (physique)]])</f>
        <v>-1</v>
      </c>
      <c r="I336" t="str">
        <f>IF(Tableau1[[#This Row],[Manque (physique)]]&gt;Tableau1[[#This Row],[Manque (digital)]],"POD",IF(Tableau1[[#This Row],[Manque (digital)]]&gt;Tableau1[[#This Row],[Manque (physique)]],"MarketPlace",""))</f>
        <v/>
      </c>
      <c r="J336" t="s">
        <v>30</v>
      </c>
      <c r="K336" t="s">
        <v>1623</v>
      </c>
      <c r="L336" t="s">
        <v>19</v>
      </c>
      <c r="M336" t="s">
        <v>19</v>
      </c>
      <c r="N336" t="s">
        <v>89</v>
      </c>
      <c r="O336" t="s">
        <v>23</v>
      </c>
      <c r="P336" t="s">
        <v>23</v>
      </c>
      <c r="Q336" t="s">
        <v>1626</v>
      </c>
    </row>
    <row r="337" spans="1:17" hidden="1" x14ac:dyDescent="0.25">
      <c r="A337" t="s">
        <v>1510</v>
      </c>
      <c r="B337" t="s">
        <v>14</v>
      </c>
      <c r="C337" t="s">
        <v>15</v>
      </c>
      <c r="D337" t="s">
        <v>1496</v>
      </c>
      <c r="E337">
        <v>8</v>
      </c>
      <c r="F337">
        <f>MAX(-1,3-Tableau1[[#This Row],[Nb possédé (digital)]])</f>
        <v>-1</v>
      </c>
      <c r="G337">
        <v>8</v>
      </c>
      <c r="H337">
        <f>MAX(-1,3-Tableau1[[#This Row],[Possédé (physique)]])</f>
        <v>-1</v>
      </c>
      <c r="I337" t="str">
        <f>IF(Tableau1[[#This Row],[Manque (physique)]]&gt;Tableau1[[#This Row],[Manque (digital)]],"POD",IF(Tableau1[[#This Row],[Manque (digital)]]&gt;Tableau1[[#This Row],[Manque (physique)]],"MarketPlace",""))</f>
        <v/>
      </c>
      <c r="J337" t="s">
        <v>30</v>
      </c>
      <c r="K337" t="s">
        <v>68</v>
      </c>
      <c r="L337" t="s">
        <v>19</v>
      </c>
      <c r="M337" t="s">
        <v>19</v>
      </c>
      <c r="N337" t="s">
        <v>19</v>
      </c>
      <c r="O337" t="s">
        <v>19</v>
      </c>
      <c r="P337" t="s">
        <v>19</v>
      </c>
      <c r="Q337" t="s">
        <v>1630</v>
      </c>
    </row>
    <row r="338" spans="1:17" hidden="1" x14ac:dyDescent="0.25">
      <c r="A338" t="s">
        <v>1531</v>
      </c>
      <c r="B338" t="s">
        <v>14</v>
      </c>
      <c r="C338" t="s">
        <v>15</v>
      </c>
      <c r="D338" t="s">
        <v>1496</v>
      </c>
      <c r="E338">
        <v>6</v>
      </c>
      <c r="F338">
        <f>MAX(-1,3-Tableau1[[#This Row],[Nb possédé (digital)]])</f>
        <v>-1</v>
      </c>
      <c r="G338">
        <v>6</v>
      </c>
      <c r="H338">
        <f>MAX(-1,3-Tableau1[[#This Row],[Possédé (physique)]])</f>
        <v>-1</v>
      </c>
      <c r="I338" t="str">
        <f>IF(Tableau1[[#This Row],[Manque (physique)]]&gt;Tableau1[[#This Row],[Manque (digital)]],"POD",IF(Tableau1[[#This Row],[Manque (digital)]]&gt;Tableau1[[#This Row],[Manque (physique)]],"MarketPlace",""))</f>
        <v/>
      </c>
      <c r="J338" t="s">
        <v>30</v>
      </c>
      <c r="K338" t="s">
        <v>481</v>
      </c>
      <c r="L338" t="s">
        <v>19</v>
      </c>
      <c r="M338" t="s">
        <v>19</v>
      </c>
      <c r="N338" t="s">
        <v>19</v>
      </c>
      <c r="O338" t="s">
        <v>19</v>
      </c>
      <c r="P338" t="s">
        <v>19</v>
      </c>
      <c r="Q338" t="s">
        <v>1674</v>
      </c>
    </row>
    <row r="339" spans="1:17" hidden="1" x14ac:dyDescent="0.25">
      <c r="A339" t="s">
        <v>1540</v>
      </c>
      <c r="B339" t="s">
        <v>14</v>
      </c>
      <c r="C339" t="s">
        <v>15</v>
      </c>
      <c r="D339" t="s">
        <v>1496</v>
      </c>
      <c r="E339">
        <v>13</v>
      </c>
      <c r="F339">
        <f>MAX(-1,3-Tableau1[[#This Row],[Nb possédé (digital)]])</f>
        <v>-1</v>
      </c>
      <c r="G339">
        <v>13</v>
      </c>
      <c r="H339">
        <f>MAX(-1,3-Tableau1[[#This Row],[Possédé (physique)]])</f>
        <v>-1</v>
      </c>
      <c r="I339" t="str">
        <f>IF(Tableau1[[#This Row],[Manque (physique)]]&gt;Tableau1[[#This Row],[Manque (digital)]],"POD",IF(Tableau1[[#This Row],[Manque (digital)]]&gt;Tableau1[[#This Row],[Manque (physique)]],"MarketPlace",""))</f>
        <v/>
      </c>
      <c r="J339" t="s">
        <v>30</v>
      </c>
      <c r="K339" t="s">
        <v>705</v>
      </c>
      <c r="L339" t="s">
        <v>19</v>
      </c>
      <c r="M339" t="s">
        <v>19</v>
      </c>
      <c r="N339" t="s">
        <v>19</v>
      </c>
      <c r="O339" t="s">
        <v>19</v>
      </c>
      <c r="P339" t="s">
        <v>20</v>
      </c>
      <c r="Q339" t="s">
        <v>1690</v>
      </c>
    </row>
    <row r="340" spans="1:17" hidden="1" x14ac:dyDescent="0.25">
      <c r="A340" t="s">
        <v>1546</v>
      </c>
      <c r="B340" t="s">
        <v>14</v>
      </c>
      <c r="C340" t="s">
        <v>15</v>
      </c>
      <c r="D340" t="s">
        <v>1496</v>
      </c>
      <c r="E340">
        <v>9</v>
      </c>
      <c r="F340">
        <f>MAX(-1,3-Tableau1[[#This Row],[Nb possédé (digital)]])</f>
        <v>-1</v>
      </c>
      <c r="G340">
        <v>9</v>
      </c>
      <c r="H340">
        <f>MAX(-1,3-Tableau1[[#This Row],[Possédé (physique)]])</f>
        <v>-1</v>
      </c>
      <c r="I340" t="str">
        <f>IF(Tableau1[[#This Row],[Manque (physique)]]&gt;Tableau1[[#This Row],[Manque (digital)]],"POD",IF(Tableau1[[#This Row],[Manque (digital)]]&gt;Tableau1[[#This Row],[Manque (physique)]],"MarketPlace",""))</f>
        <v/>
      </c>
      <c r="J340" t="s">
        <v>17</v>
      </c>
      <c r="K340" t="s">
        <v>153</v>
      </c>
      <c r="L340" t="s">
        <v>19</v>
      </c>
      <c r="M340" t="s">
        <v>19</v>
      </c>
      <c r="Q340" t="s">
        <v>1703</v>
      </c>
    </row>
    <row r="341" spans="1:17" hidden="1" x14ac:dyDescent="0.25">
      <c r="A341" t="s">
        <v>1567</v>
      </c>
      <c r="B341" t="s">
        <v>14</v>
      </c>
      <c r="C341" t="s">
        <v>15</v>
      </c>
      <c r="D341" t="s">
        <v>1496</v>
      </c>
      <c r="E341">
        <v>8</v>
      </c>
      <c r="F341">
        <f>MAX(-1,3-Tableau1[[#This Row],[Nb possédé (digital)]])</f>
        <v>-1</v>
      </c>
      <c r="G341">
        <v>8</v>
      </c>
      <c r="H341">
        <f>MAX(-1,3-Tableau1[[#This Row],[Possédé (physique)]])</f>
        <v>-1</v>
      </c>
      <c r="I341" t="str">
        <f>IF(Tableau1[[#This Row],[Manque (physique)]]&gt;Tableau1[[#This Row],[Manque (digital)]],"POD",IF(Tableau1[[#This Row],[Manque (digital)]]&gt;Tableau1[[#This Row],[Manque (physique)]],"MarketPlace",""))</f>
        <v/>
      </c>
      <c r="J341" t="s">
        <v>30</v>
      </c>
      <c r="K341" t="s">
        <v>68</v>
      </c>
      <c r="L341" t="s">
        <v>19</v>
      </c>
      <c r="M341" t="s">
        <v>19</v>
      </c>
      <c r="N341" t="s">
        <v>23</v>
      </c>
      <c r="O341" t="s">
        <v>89</v>
      </c>
      <c r="P341" t="s">
        <v>23</v>
      </c>
    </row>
    <row r="342" spans="1:17" hidden="1" x14ac:dyDescent="0.25">
      <c r="A342" t="s">
        <v>1495</v>
      </c>
      <c r="B342" t="s">
        <v>14</v>
      </c>
      <c r="C342" t="s">
        <v>15</v>
      </c>
      <c r="D342" t="s">
        <v>1496</v>
      </c>
      <c r="E342">
        <v>14</v>
      </c>
      <c r="F342">
        <f>MAX(-1,3-Tableau1[[#This Row],[Nb possédé (digital)]])</f>
        <v>-1</v>
      </c>
      <c r="G342">
        <v>14</v>
      </c>
      <c r="H342">
        <f>MAX(-1,3-Tableau1[[#This Row],[Possédé (physique)]])</f>
        <v>-1</v>
      </c>
      <c r="I342" t="str">
        <f>IF(Tableau1[[#This Row],[Manque (physique)]]&gt;Tableau1[[#This Row],[Manque (digital)]],"POD",IF(Tableau1[[#This Row],[Manque (digital)]]&gt;Tableau1[[#This Row],[Manque (physique)]],"MarketPlace",""))</f>
        <v/>
      </c>
      <c r="J342" t="s">
        <v>30</v>
      </c>
      <c r="K342" t="s">
        <v>42</v>
      </c>
      <c r="L342" t="s">
        <v>23</v>
      </c>
      <c r="M342" t="s">
        <v>23</v>
      </c>
      <c r="N342" t="s">
        <v>52</v>
      </c>
      <c r="O342" t="s">
        <v>52</v>
      </c>
      <c r="P342" t="s">
        <v>52</v>
      </c>
      <c r="Q342" t="s">
        <v>1595</v>
      </c>
    </row>
    <row r="343" spans="1:17" hidden="1" x14ac:dyDescent="0.25">
      <c r="A343" t="s">
        <v>1520</v>
      </c>
      <c r="B343" t="s">
        <v>14</v>
      </c>
      <c r="C343" t="s">
        <v>15</v>
      </c>
      <c r="D343" t="s">
        <v>1496</v>
      </c>
      <c r="E343">
        <v>6</v>
      </c>
      <c r="F343">
        <f>MAX(-1,3-Tableau1[[#This Row],[Nb possédé (digital)]])</f>
        <v>-1</v>
      </c>
      <c r="G343">
        <v>6</v>
      </c>
      <c r="H343">
        <f>MAX(-1,3-Tableau1[[#This Row],[Possédé (physique)]])</f>
        <v>-1</v>
      </c>
      <c r="I343" t="str">
        <f>IF(Tableau1[[#This Row],[Manque (physique)]]&gt;Tableau1[[#This Row],[Manque (digital)]],"POD",IF(Tableau1[[#This Row],[Manque (digital)]]&gt;Tableau1[[#This Row],[Manque (physique)]],"MarketPlace",""))</f>
        <v/>
      </c>
      <c r="J343" t="s">
        <v>30</v>
      </c>
      <c r="K343" t="s">
        <v>72</v>
      </c>
      <c r="L343" t="s">
        <v>23</v>
      </c>
      <c r="M343" t="s">
        <v>23</v>
      </c>
      <c r="N343" t="s">
        <v>19</v>
      </c>
      <c r="O343" t="s">
        <v>23</v>
      </c>
      <c r="P343" t="s">
        <v>23</v>
      </c>
      <c r="Q343" t="s">
        <v>1648</v>
      </c>
    </row>
    <row r="344" spans="1:17" hidden="1" x14ac:dyDescent="0.25">
      <c r="A344" t="s">
        <v>1522</v>
      </c>
      <c r="B344" t="s">
        <v>14</v>
      </c>
      <c r="C344" t="s">
        <v>15</v>
      </c>
      <c r="D344" t="s">
        <v>1496</v>
      </c>
      <c r="E344">
        <v>8</v>
      </c>
      <c r="F344">
        <f>MAX(-1,3-Tableau1[[#This Row],[Nb possédé (digital)]])</f>
        <v>-1</v>
      </c>
      <c r="G344">
        <v>8</v>
      </c>
      <c r="H344">
        <f>MAX(-1,3-Tableau1[[#This Row],[Possédé (physique)]])</f>
        <v>-1</v>
      </c>
      <c r="I344" t="str">
        <f>IF(Tableau1[[#This Row],[Manque (physique)]]&gt;Tableau1[[#This Row],[Manque (digital)]],"POD",IF(Tableau1[[#This Row],[Manque (digital)]]&gt;Tableau1[[#This Row],[Manque (physique)]],"MarketPlace",""))</f>
        <v/>
      </c>
      <c r="J344" t="s">
        <v>30</v>
      </c>
      <c r="K344" t="s">
        <v>358</v>
      </c>
      <c r="L344" t="s">
        <v>23</v>
      </c>
      <c r="M344" t="s">
        <v>23</v>
      </c>
      <c r="N344" t="s">
        <v>23</v>
      </c>
      <c r="O344" t="s">
        <v>23</v>
      </c>
      <c r="P344" t="s">
        <v>89</v>
      </c>
      <c r="Q344" t="s">
        <v>1654</v>
      </c>
    </row>
    <row r="345" spans="1:17" hidden="1" x14ac:dyDescent="0.25">
      <c r="A345" t="s">
        <v>1570</v>
      </c>
      <c r="B345" t="s">
        <v>14</v>
      </c>
      <c r="C345" t="s">
        <v>15</v>
      </c>
      <c r="D345" t="s">
        <v>1496</v>
      </c>
      <c r="E345">
        <v>10</v>
      </c>
      <c r="F345">
        <f>MAX(-1,3-Tableau1[[#This Row],[Nb possédé (digital)]])</f>
        <v>-1</v>
      </c>
      <c r="G345">
        <v>10</v>
      </c>
      <c r="H345">
        <f>MAX(-1,3-Tableau1[[#This Row],[Possédé (physique)]])</f>
        <v>-1</v>
      </c>
      <c r="I345" t="str">
        <f>IF(Tableau1[[#This Row],[Manque (physique)]]&gt;Tableau1[[#This Row],[Manque (digital)]],"POD",IF(Tableau1[[#This Row],[Manque (digital)]]&gt;Tableau1[[#This Row],[Manque (physique)]],"MarketPlace",""))</f>
        <v/>
      </c>
      <c r="J345" t="s">
        <v>17</v>
      </c>
      <c r="K345" t="s">
        <v>1756</v>
      </c>
      <c r="L345" t="s">
        <v>23</v>
      </c>
      <c r="M345" t="s">
        <v>23</v>
      </c>
      <c r="Q345" t="s">
        <v>1757</v>
      </c>
    </row>
    <row r="346" spans="1:17" hidden="1" x14ac:dyDescent="0.25">
      <c r="A346" t="s">
        <v>1512</v>
      </c>
      <c r="B346" t="s">
        <v>14</v>
      </c>
      <c r="C346" t="s">
        <v>15</v>
      </c>
      <c r="D346" t="s">
        <v>1496</v>
      </c>
      <c r="E346">
        <v>12</v>
      </c>
      <c r="F346">
        <f>MAX(-1,3-Tableau1[[#This Row],[Nb possédé (digital)]])</f>
        <v>-1</v>
      </c>
      <c r="G346">
        <v>12</v>
      </c>
      <c r="H346">
        <f>MAX(-1,3-Tableau1[[#This Row],[Possédé (physique)]])</f>
        <v>-1</v>
      </c>
      <c r="I346" t="str">
        <f>IF(Tableau1[[#This Row],[Manque (physique)]]&gt;Tableau1[[#This Row],[Manque (digital)]],"POD",IF(Tableau1[[#This Row],[Manque (digital)]]&gt;Tableau1[[#This Row],[Manque (physique)]],"MarketPlace",""))</f>
        <v/>
      </c>
      <c r="J346" t="s">
        <v>30</v>
      </c>
      <c r="K346" t="s">
        <v>79</v>
      </c>
      <c r="L346" t="s">
        <v>52</v>
      </c>
      <c r="M346" t="s">
        <v>23</v>
      </c>
      <c r="N346" t="s">
        <v>52</v>
      </c>
      <c r="O346" t="s">
        <v>23</v>
      </c>
      <c r="P346" t="s">
        <v>52</v>
      </c>
      <c r="Q346" t="s">
        <v>1634</v>
      </c>
    </row>
    <row r="347" spans="1:17" hidden="1" x14ac:dyDescent="0.25">
      <c r="A347" t="s">
        <v>1537</v>
      </c>
      <c r="B347" t="s">
        <v>14</v>
      </c>
      <c r="C347" t="s">
        <v>15</v>
      </c>
      <c r="D347" t="s">
        <v>1496</v>
      </c>
      <c r="E347">
        <v>10</v>
      </c>
      <c r="F347">
        <f>MAX(-1,3-Tableau1[[#This Row],[Nb possédé (digital)]])</f>
        <v>-1</v>
      </c>
      <c r="G347">
        <v>10</v>
      </c>
      <c r="H347">
        <f>MAX(-1,3-Tableau1[[#This Row],[Possédé (physique)]])</f>
        <v>-1</v>
      </c>
      <c r="I347" t="str">
        <f>IF(Tableau1[[#This Row],[Manque (physique)]]&gt;Tableau1[[#This Row],[Manque (digital)]],"POD",IF(Tableau1[[#This Row],[Manque (digital)]]&gt;Tableau1[[#This Row],[Manque (physique)]],"MarketPlace",""))</f>
        <v/>
      </c>
      <c r="J347" t="s">
        <v>268</v>
      </c>
      <c r="K347" t="s">
        <v>269</v>
      </c>
      <c r="L347" t="s">
        <v>52</v>
      </c>
      <c r="M347" t="s">
        <v>52</v>
      </c>
      <c r="Q347" t="s">
        <v>1685</v>
      </c>
    </row>
    <row r="348" spans="1:17" hidden="1" x14ac:dyDescent="0.25">
      <c r="A348" t="s">
        <v>1521</v>
      </c>
      <c r="B348" t="s">
        <v>14</v>
      </c>
      <c r="C348" t="s">
        <v>15</v>
      </c>
      <c r="D348" t="s">
        <v>1496</v>
      </c>
      <c r="E348">
        <v>9</v>
      </c>
      <c r="F348">
        <f>MAX(-1,3-Tableau1[[#This Row],[Nb possédé (digital)]])</f>
        <v>-1</v>
      </c>
      <c r="G348">
        <v>9</v>
      </c>
      <c r="H348">
        <f>MAX(-1,3-Tableau1[[#This Row],[Possédé (physique)]])</f>
        <v>-1</v>
      </c>
      <c r="I348" t="str">
        <f>IF(Tableau1[[#This Row],[Manque (physique)]]&gt;Tableau1[[#This Row],[Manque (digital)]],"POD",IF(Tableau1[[#This Row],[Manque (digital)]]&gt;Tableau1[[#This Row],[Manque (physique)]],"MarketPlace",""))</f>
        <v/>
      </c>
      <c r="J348" t="s">
        <v>30</v>
      </c>
      <c r="K348" t="s">
        <v>72</v>
      </c>
      <c r="L348" t="s">
        <v>37</v>
      </c>
      <c r="M348" t="s">
        <v>37</v>
      </c>
      <c r="N348" t="s">
        <v>52</v>
      </c>
      <c r="O348" t="s">
        <v>23</v>
      </c>
      <c r="P348" t="s">
        <v>52</v>
      </c>
      <c r="Q348" t="s">
        <v>1651</v>
      </c>
    </row>
    <row r="349" spans="1:17" hidden="1" x14ac:dyDescent="0.25">
      <c r="A349" t="s">
        <v>1544</v>
      </c>
      <c r="B349" t="s">
        <v>14</v>
      </c>
      <c r="C349" t="s">
        <v>15</v>
      </c>
      <c r="D349" t="s">
        <v>1496</v>
      </c>
      <c r="E349">
        <v>7</v>
      </c>
      <c r="F349">
        <f>MAX(-1,3-Tableau1[[#This Row],[Nb possédé (digital)]])</f>
        <v>-1</v>
      </c>
      <c r="G349">
        <v>7</v>
      </c>
      <c r="H349">
        <f>MAX(-1,3-Tableau1[[#This Row],[Possédé (physique)]])</f>
        <v>-1</v>
      </c>
      <c r="I349" t="str">
        <f>IF(Tableau1[[#This Row],[Manque (physique)]]&gt;Tableau1[[#This Row],[Manque (digital)]],"POD",IF(Tableau1[[#This Row],[Manque (digital)]]&gt;Tableau1[[#This Row],[Manque (physique)]],"MarketPlace",""))</f>
        <v/>
      </c>
      <c r="J349" t="s">
        <v>268</v>
      </c>
      <c r="K349" t="s">
        <v>269</v>
      </c>
      <c r="L349" t="s">
        <v>39</v>
      </c>
      <c r="M349" t="s">
        <v>39</v>
      </c>
      <c r="Q349" t="s">
        <v>1699</v>
      </c>
    </row>
    <row r="350" spans="1:17" hidden="1" x14ac:dyDescent="0.25">
      <c r="A350" t="s">
        <v>469</v>
      </c>
      <c r="B350" t="s">
        <v>14</v>
      </c>
      <c r="C350" t="s">
        <v>15</v>
      </c>
      <c r="D350" t="s">
        <v>29</v>
      </c>
      <c r="E350">
        <v>7</v>
      </c>
      <c r="F350">
        <f>MAX(-1,3-Tableau1[[#This Row],[Nb possédé (digital)]])</f>
        <v>-1</v>
      </c>
      <c r="G350">
        <v>7</v>
      </c>
      <c r="H350">
        <f>MAX(-1,3-Tableau1[[#This Row],[Possédé (physique)]])</f>
        <v>-1</v>
      </c>
      <c r="I350" t="str">
        <f>IF(Tableau1[[#This Row],[Manque (physique)]]&gt;Tableau1[[#This Row],[Manque (digital)]],"POD",IF(Tableau1[[#This Row],[Manque (digital)]]&gt;Tableau1[[#This Row],[Manque (physique)]],"MarketPlace",""))</f>
        <v/>
      </c>
      <c r="J350" t="s">
        <v>30</v>
      </c>
      <c r="K350" t="s">
        <v>179</v>
      </c>
      <c r="L350" t="s">
        <v>20</v>
      </c>
      <c r="M350" t="s">
        <v>20</v>
      </c>
      <c r="N350" t="s">
        <v>19</v>
      </c>
      <c r="O350" t="s">
        <v>89</v>
      </c>
      <c r="P350" t="s">
        <v>89</v>
      </c>
    </row>
    <row r="351" spans="1:17" hidden="1" x14ac:dyDescent="0.25">
      <c r="A351" t="s">
        <v>178</v>
      </c>
      <c r="B351" t="s">
        <v>14</v>
      </c>
      <c r="C351" t="s">
        <v>15</v>
      </c>
      <c r="D351" t="s">
        <v>29</v>
      </c>
      <c r="E351">
        <v>6</v>
      </c>
      <c r="F351">
        <f>MAX(-1,3-Tableau1[[#This Row],[Nb possédé (digital)]])</f>
        <v>-1</v>
      </c>
      <c r="G351">
        <v>6</v>
      </c>
      <c r="H351">
        <f>MAX(-1,3-Tableau1[[#This Row],[Possédé (physique)]])</f>
        <v>-1</v>
      </c>
      <c r="I351" t="str">
        <f>IF(Tableau1[[#This Row],[Manque (physique)]]&gt;Tableau1[[#This Row],[Manque (digital)]],"POD",IF(Tableau1[[#This Row],[Manque (digital)]]&gt;Tableau1[[#This Row],[Manque (physique)]],"MarketPlace",""))</f>
        <v/>
      </c>
      <c r="J351" t="s">
        <v>30</v>
      </c>
      <c r="K351" t="s">
        <v>179</v>
      </c>
      <c r="L351" t="s">
        <v>20</v>
      </c>
      <c r="M351" t="s">
        <v>19</v>
      </c>
      <c r="N351" t="s">
        <v>20</v>
      </c>
      <c r="O351" t="s">
        <v>20</v>
      </c>
      <c r="P351" t="s">
        <v>20</v>
      </c>
    </row>
    <row r="352" spans="1:17" hidden="1" x14ac:dyDescent="0.25">
      <c r="A352" t="s">
        <v>324</v>
      </c>
      <c r="B352" t="s">
        <v>14</v>
      </c>
      <c r="C352" t="s">
        <v>15</v>
      </c>
      <c r="D352" t="s">
        <v>29</v>
      </c>
      <c r="E352">
        <v>8</v>
      </c>
      <c r="F352">
        <f>MAX(-1,3-Tableau1[[#This Row],[Nb possédé (digital)]])</f>
        <v>-1</v>
      </c>
      <c r="G352">
        <v>8</v>
      </c>
      <c r="H352">
        <f>MAX(-1,3-Tableau1[[#This Row],[Possédé (physique)]])</f>
        <v>-1</v>
      </c>
      <c r="I352" t="str">
        <f>IF(Tableau1[[#This Row],[Manque (physique)]]&gt;Tableau1[[#This Row],[Manque (digital)]],"POD",IF(Tableau1[[#This Row],[Manque (digital)]]&gt;Tableau1[[#This Row],[Manque (physique)]],"MarketPlace",""))</f>
        <v/>
      </c>
      <c r="J352" t="s">
        <v>17</v>
      </c>
      <c r="K352" t="s">
        <v>18</v>
      </c>
      <c r="L352" t="s">
        <v>20</v>
      </c>
      <c r="M352" t="s">
        <v>19</v>
      </c>
      <c r="Q352" t="s">
        <v>325</v>
      </c>
    </row>
    <row r="353" spans="1:17" hidden="1" x14ac:dyDescent="0.25">
      <c r="A353" t="s">
        <v>294</v>
      </c>
      <c r="B353" t="s">
        <v>14</v>
      </c>
      <c r="C353" t="s">
        <v>15</v>
      </c>
      <c r="D353" t="s">
        <v>29</v>
      </c>
      <c r="E353">
        <v>6</v>
      </c>
      <c r="F353">
        <f>MAX(-1,3-Tableau1[[#This Row],[Nb possédé (digital)]])</f>
        <v>-1</v>
      </c>
      <c r="G353">
        <v>6</v>
      </c>
      <c r="H353">
        <f>MAX(-1,3-Tableau1[[#This Row],[Possédé (physique)]])</f>
        <v>-1</v>
      </c>
      <c r="I353" t="str">
        <f>IF(Tableau1[[#This Row],[Manque (physique)]]&gt;Tableau1[[#This Row],[Manque (digital)]],"POD",IF(Tableau1[[#This Row],[Manque (digital)]]&gt;Tableau1[[#This Row],[Manque (physique)]],"MarketPlace",""))</f>
        <v/>
      </c>
      <c r="J353" t="s">
        <v>30</v>
      </c>
      <c r="K353" t="s">
        <v>79</v>
      </c>
      <c r="L353" t="s">
        <v>19</v>
      </c>
      <c r="M353" t="s">
        <v>19</v>
      </c>
      <c r="N353" t="s">
        <v>19</v>
      </c>
      <c r="O353" t="s">
        <v>20</v>
      </c>
      <c r="P353" t="s">
        <v>20</v>
      </c>
      <c r="Q353" t="s">
        <v>295</v>
      </c>
    </row>
    <row r="354" spans="1:17" hidden="1" x14ac:dyDescent="0.25">
      <c r="A354" t="s">
        <v>723</v>
      </c>
      <c r="B354" t="s">
        <v>14</v>
      </c>
      <c r="C354" t="s">
        <v>15</v>
      </c>
      <c r="D354" t="s">
        <v>29</v>
      </c>
      <c r="E354">
        <v>6</v>
      </c>
      <c r="F354">
        <f>MAX(-1,3-Tableau1[[#This Row],[Nb possédé (digital)]])</f>
        <v>-1</v>
      </c>
      <c r="G354">
        <v>6</v>
      </c>
      <c r="H354">
        <f>MAX(-1,3-Tableau1[[#This Row],[Possédé (physique)]])</f>
        <v>-1</v>
      </c>
      <c r="I354" t="str">
        <f>IF(Tableau1[[#This Row],[Manque (physique)]]&gt;Tableau1[[#This Row],[Manque (digital)]],"POD",IF(Tableau1[[#This Row],[Manque (digital)]]&gt;Tableau1[[#This Row],[Manque (physique)]],"MarketPlace",""))</f>
        <v/>
      </c>
      <c r="J354" t="s">
        <v>268</v>
      </c>
      <c r="K354" t="s">
        <v>269</v>
      </c>
      <c r="L354" t="s">
        <v>19</v>
      </c>
      <c r="M354" t="s">
        <v>19</v>
      </c>
      <c r="Q354" t="s">
        <v>724</v>
      </c>
    </row>
    <row r="355" spans="1:17" hidden="1" x14ac:dyDescent="0.25">
      <c r="A355" t="s">
        <v>819</v>
      </c>
      <c r="B355" t="s">
        <v>14</v>
      </c>
      <c r="C355" t="s">
        <v>15</v>
      </c>
      <c r="D355" t="s">
        <v>29</v>
      </c>
      <c r="E355">
        <v>6</v>
      </c>
      <c r="F355">
        <f>MAX(-1,3-Tableau1[[#This Row],[Nb possédé (digital)]])</f>
        <v>-1</v>
      </c>
      <c r="G355">
        <v>6</v>
      </c>
      <c r="H355">
        <f>MAX(-1,3-Tableau1[[#This Row],[Possédé (physique)]])</f>
        <v>-1</v>
      </c>
      <c r="I355" t="str">
        <f>IF(Tableau1[[#This Row],[Manque (physique)]]&gt;Tableau1[[#This Row],[Manque (digital)]],"POD",IF(Tableau1[[#This Row],[Manque (digital)]]&gt;Tableau1[[#This Row],[Manque (physique)]],"MarketPlace",""))</f>
        <v/>
      </c>
      <c r="J355" t="s">
        <v>17</v>
      </c>
      <c r="K355" t="s">
        <v>97</v>
      </c>
      <c r="L355" t="s">
        <v>19</v>
      </c>
      <c r="M355" t="s">
        <v>19</v>
      </c>
      <c r="Q355" t="s">
        <v>820</v>
      </c>
    </row>
    <row r="356" spans="1:17" hidden="1" x14ac:dyDescent="0.25">
      <c r="A356" t="s">
        <v>939</v>
      </c>
      <c r="B356" t="s">
        <v>14</v>
      </c>
      <c r="C356" t="s">
        <v>15</v>
      </c>
      <c r="D356" t="s">
        <v>29</v>
      </c>
      <c r="E356">
        <v>6</v>
      </c>
      <c r="F356">
        <f>MAX(-1,3-Tableau1[[#This Row],[Nb possédé (digital)]])</f>
        <v>-1</v>
      </c>
      <c r="G356">
        <v>6</v>
      </c>
      <c r="H356">
        <f>MAX(-1,3-Tableau1[[#This Row],[Possédé (physique)]])</f>
        <v>-1</v>
      </c>
      <c r="I356" t="str">
        <f>IF(Tableau1[[#This Row],[Manque (physique)]]&gt;Tableau1[[#This Row],[Manque (digital)]],"POD",IF(Tableau1[[#This Row],[Manque (digital)]]&gt;Tableau1[[#This Row],[Manque (physique)]],"MarketPlace",""))</f>
        <v/>
      </c>
      <c r="J356" t="s">
        <v>30</v>
      </c>
      <c r="K356" t="s">
        <v>79</v>
      </c>
      <c r="L356" t="s">
        <v>19</v>
      </c>
      <c r="M356" t="s">
        <v>19</v>
      </c>
      <c r="N356" t="s">
        <v>23</v>
      </c>
      <c r="O356" t="s">
        <v>20</v>
      </c>
      <c r="P356" t="s">
        <v>23</v>
      </c>
      <c r="Q356" t="s">
        <v>940</v>
      </c>
    </row>
    <row r="357" spans="1:17" hidden="1" x14ac:dyDescent="0.25">
      <c r="A357" t="s">
        <v>948</v>
      </c>
      <c r="B357" t="s">
        <v>14</v>
      </c>
      <c r="C357" t="s">
        <v>15</v>
      </c>
      <c r="D357" t="s">
        <v>29</v>
      </c>
      <c r="E357">
        <v>6</v>
      </c>
      <c r="F357">
        <f>MAX(-1,3-Tableau1[[#This Row],[Nb possédé (digital)]])</f>
        <v>-1</v>
      </c>
      <c r="G357">
        <v>6</v>
      </c>
      <c r="H357">
        <f>MAX(-1,3-Tableau1[[#This Row],[Possédé (physique)]])</f>
        <v>-1</v>
      </c>
      <c r="I357" t="str">
        <f>IF(Tableau1[[#This Row],[Manque (physique)]]&gt;Tableau1[[#This Row],[Manque (digital)]],"POD",IF(Tableau1[[#This Row],[Manque (digital)]]&gt;Tableau1[[#This Row],[Manque (physique)]],"MarketPlace",""))</f>
        <v/>
      </c>
      <c r="J357" t="s">
        <v>17</v>
      </c>
      <c r="K357" t="s">
        <v>949</v>
      </c>
      <c r="L357" t="s">
        <v>19</v>
      </c>
      <c r="M357" t="s">
        <v>19</v>
      </c>
      <c r="Q357" t="s">
        <v>950</v>
      </c>
    </row>
    <row r="358" spans="1:17" hidden="1" x14ac:dyDescent="0.25">
      <c r="A358" t="s">
        <v>468</v>
      </c>
      <c r="B358" t="s">
        <v>14</v>
      </c>
      <c r="C358" t="s">
        <v>15</v>
      </c>
      <c r="D358" t="s">
        <v>29</v>
      </c>
      <c r="E358">
        <v>6</v>
      </c>
      <c r="F358">
        <f>MAX(-1,3-Tableau1[[#This Row],[Nb possédé (digital)]])</f>
        <v>-1</v>
      </c>
      <c r="G358">
        <v>6</v>
      </c>
      <c r="H358">
        <f>MAX(-1,3-Tableau1[[#This Row],[Possédé (physique)]])</f>
        <v>-1</v>
      </c>
      <c r="I358" t="str">
        <f>IF(Tableau1[[#This Row],[Manque (physique)]]&gt;Tableau1[[#This Row],[Manque (digital)]],"POD",IF(Tableau1[[#This Row],[Manque (digital)]]&gt;Tableau1[[#This Row],[Manque (physique)]],"MarketPlace",""))</f>
        <v/>
      </c>
      <c r="J358" t="s">
        <v>30</v>
      </c>
      <c r="K358" t="s">
        <v>358</v>
      </c>
      <c r="L358" t="s">
        <v>23</v>
      </c>
      <c r="M358" t="s">
        <v>19</v>
      </c>
      <c r="N358" t="s">
        <v>23</v>
      </c>
      <c r="O358" t="s">
        <v>23</v>
      </c>
      <c r="P358" t="s">
        <v>89</v>
      </c>
    </row>
    <row r="359" spans="1:17" hidden="1" x14ac:dyDescent="0.25">
      <c r="A359" t="s">
        <v>650</v>
      </c>
      <c r="B359" t="s">
        <v>14</v>
      </c>
      <c r="C359" t="s">
        <v>15</v>
      </c>
      <c r="D359" t="s">
        <v>29</v>
      </c>
      <c r="E359">
        <v>6</v>
      </c>
      <c r="F359">
        <f>MAX(-1,3-Tableau1[[#This Row],[Nb possédé (digital)]])</f>
        <v>-1</v>
      </c>
      <c r="G359">
        <v>6</v>
      </c>
      <c r="H359">
        <f>MAX(-1,3-Tableau1[[#This Row],[Possédé (physique)]])</f>
        <v>-1</v>
      </c>
      <c r="I359" t="str">
        <f>IF(Tableau1[[#This Row],[Manque (physique)]]&gt;Tableau1[[#This Row],[Manque (digital)]],"POD",IF(Tableau1[[#This Row],[Manque (digital)]]&gt;Tableau1[[#This Row],[Manque (physique)]],"MarketPlace",""))</f>
        <v/>
      </c>
      <c r="J359" t="s">
        <v>30</v>
      </c>
      <c r="K359" t="s">
        <v>79</v>
      </c>
      <c r="L359" t="s">
        <v>23</v>
      </c>
      <c r="M359" t="s">
        <v>19</v>
      </c>
      <c r="N359" t="s">
        <v>19</v>
      </c>
      <c r="O359" t="s">
        <v>23</v>
      </c>
      <c r="P359" t="s">
        <v>19</v>
      </c>
      <c r="Q359" t="s">
        <v>651</v>
      </c>
    </row>
    <row r="360" spans="1:17" hidden="1" x14ac:dyDescent="0.25">
      <c r="A360" t="s">
        <v>636</v>
      </c>
      <c r="B360" t="s">
        <v>14</v>
      </c>
      <c r="C360" t="s">
        <v>15</v>
      </c>
      <c r="D360" t="s">
        <v>29</v>
      </c>
      <c r="E360">
        <v>6</v>
      </c>
      <c r="F360">
        <f>MAX(-1,3-Tableau1[[#This Row],[Nb possédé (digital)]])</f>
        <v>-1</v>
      </c>
      <c r="G360">
        <v>6</v>
      </c>
      <c r="H360">
        <f>MAX(-1,3-Tableau1[[#This Row],[Possédé (physique)]])</f>
        <v>-1</v>
      </c>
      <c r="I360" t="str">
        <f>IF(Tableau1[[#This Row],[Manque (physique)]]&gt;Tableau1[[#This Row],[Manque (digital)]],"POD",IF(Tableau1[[#This Row],[Manque (digital)]]&gt;Tableau1[[#This Row],[Manque (physique)]],"MarketPlace",""))</f>
        <v/>
      </c>
      <c r="J360" t="s">
        <v>268</v>
      </c>
      <c r="K360" t="s">
        <v>438</v>
      </c>
      <c r="L360" t="s">
        <v>23</v>
      </c>
      <c r="M360" t="s">
        <v>23</v>
      </c>
      <c r="Q360" t="s">
        <v>637</v>
      </c>
    </row>
    <row r="361" spans="1:17" hidden="1" x14ac:dyDescent="0.25">
      <c r="A361" t="s">
        <v>426</v>
      </c>
      <c r="B361" t="s">
        <v>14</v>
      </c>
      <c r="C361" t="s">
        <v>15</v>
      </c>
      <c r="D361" t="s">
        <v>29</v>
      </c>
      <c r="E361">
        <v>6</v>
      </c>
      <c r="F361">
        <f>MAX(-1,3-Tableau1[[#This Row],[Nb possédé (digital)]])</f>
        <v>-1</v>
      </c>
      <c r="G361">
        <v>6</v>
      </c>
      <c r="H361">
        <f>MAX(-1,3-Tableau1[[#This Row],[Possédé (physique)]])</f>
        <v>-1</v>
      </c>
      <c r="I361" t="str">
        <f>IF(Tableau1[[#This Row],[Manque (physique)]]&gt;Tableau1[[#This Row],[Manque (digital)]],"POD",IF(Tableau1[[#This Row],[Manque (digital)]]&gt;Tableau1[[#This Row],[Manque (physique)]],"MarketPlace",""))</f>
        <v/>
      </c>
      <c r="J361" t="s">
        <v>30</v>
      </c>
      <c r="K361" t="s">
        <v>179</v>
      </c>
      <c r="L361" t="s">
        <v>52</v>
      </c>
      <c r="M361" t="s">
        <v>52</v>
      </c>
      <c r="N361" t="s">
        <v>89</v>
      </c>
      <c r="O361" t="s">
        <v>23</v>
      </c>
      <c r="P361" t="s">
        <v>23</v>
      </c>
      <c r="Q361" t="s">
        <v>427</v>
      </c>
    </row>
    <row r="362" spans="1:17" hidden="1" x14ac:dyDescent="0.25">
      <c r="A362" t="s">
        <v>510</v>
      </c>
      <c r="B362" t="s">
        <v>14</v>
      </c>
      <c r="C362" t="s">
        <v>15</v>
      </c>
      <c r="D362" t="s">
        <v>29</v>
      </c>
      <c r="E362">
        <v>7</v>
      </c>
      <c r="F362">
        <f>MAX(-1,3-Tableau1[[#This Row],[Nb possédé (digital)]])</f>
        <v>-1</v>
      </c>
      <c r="G362">
        <v>7</v>
      </c>
      <c r="H362">
        <f>MAX(-1,3-Tableau1[[#This Row],[Possédé (physique)]])</f>
        <v>-1</v>
      </c>
      <c r="I362" t="str">
        <f>IF(Tableau1[[#This Row],[Manque (physique)]]&gt;Tableau1[[#This Row],[Manque (digital)]],"POD",IF(Tableau1[[#This Row],[Manque (digital)]]&gt;Tableau1[[#This Row],[Manque (physique)]],"MarketPlace",""))</f>
        <v/>
      </c>
      <c r="J362" t="s">
        <v>30</v>
      </c>
      <c r="K362" t="s">
        <v>51</v>
      </c>
      <c r="L362" t="s">
        <v>52</v>
      </c>
      <c r="M362" t="s">
        <v>37</v>
      </c>
      <c r="N362" t="s">
        <v>52</v>
      </c>
      <c r="O362" t="s">
        <v>52</v>
      </c>
      <c r="P362" t="s">
        <v>52</v>
      </c>
      <c r="Q362" t="s">
        <v>511</v>
      </c>
    </row>
    <row r="363" spans="1:17" hidden="1" x14ac:dyDescent="0.25">
      <c r="A363" t="s">
        <v>102</v>
      </c>
      <c r="B363" t="s">
        <v>14</v>
      </c>
      <c r="C363" t="s">
        <v>15</v>
      </c>
      <c r="D363" t="s">
        <v>29</v>
      </c>
      <c r="E363">
        <v>6</v>
      </c>
      <c r="F363">
        <f>MAX(-1,3-Tableau1[[#This Row],[Nb possédé (digital)]])</f>
        <v>-1</v>
      </c>
      <c r="G363">
        <v>6</v>
      </c>
      <c r="H363">
        <f>MAX(-1,3-Tableau1[[#This Row],[Possédé (physique)]])</f>
        <v>-1</v>
      </c>
      <c r="I363" t="str">
        <f>IF(Tableau1[[#This Row],[Manque (physique)]]&gt;Tableau1[[#This Row],[Manque (digital)]],"POD",IF(Tableau1[[#This Row],[Manque (digital)]]&gt;Tableau1[[#This Row],[Manque (physique)]],"MarketPlace",""))</f>
        <v/>
      </c>
      <c r="J363" t="s">
        <v>30</v>
      </c>
      <c r="K363" t="s">
        <v>103</v>
      </c>
      <c r="L363" t="s">
        <v>37</v>
      </c>
      <c r="M363" t="s">
        <v>37</v>
      </c>
      <c r="N363" t="s">
        <v>52</v>
      </c>
      <c r="O363" t="s">
        <v>52</v>
      </c>
      <c r="P363" t="s">
        <v>39</v>
      </c>
      <c r="Q363" t="s">
        <v>104</v>
      </c>
    </row>
    <row r="364" spans="1:17" hidden="1" x14ac:dyDescent="0.25">
      <c r="A364" t="s">
        <v>704</v>
      </c>
      <c r="B364" t="s">
        <v>14</v>
      </c>
      <c r="C364" t="s">
        <v>15</v>
      </c>
      <c r="D364" t="s">
        <v>29</v>
      </c>
      <c r="E364">
        <v>8</v>
      </c>
      <c r="F364">
        <f>MAX(-1,3-Tableau1[[#This Row],[Nb possédé (digital)]])</f>
        <v>-1</v>
      </c>
      <c r="G364">
        <v>8</v>
      </c>
      <c r="H364">
        <f>MAX(-1,3-Tableau1[[#This Row],[Possédé (physique)]])</f>
        <v>-1</v>
      </c>
      <c r="I364" t="str">
        <f>IF(Tableau1[[#This Row],[Manque (physique)]]&gt;Tableau1[[#This Row],[Manque (digital)]],"POD",IF(Tableau1[[#This Row],[Manque (digital)]]&gt;Tableau1[[#This Row],[Manque (physique)]],"MarketPlace",""))</f>
        <v/>
      </c>
      <c r="J364" t="s">
        <v>30</v>
      </c>
      <c r="K364" t="s">
        <v>705</v>
      </c>
      <c r="L364" t="s">
        <v>39</v>
      </c>
      <c r="M364" t="s">
        <v>39</v>
      </c>
      <c r="N364" t="s">
        <v>37</v>
      </c>
      <c r="O364" t="s">
        <v>37</v>
      </c>
      <c r="P364" t="s">
        <v>37</v>
      </c>
      <c r="Q364" t="s">
        <v>706</v>
      </c>
    </row>
    <row r="365" spans="1:17" hidden="1" x14ac:dyDescent="0.25">
      <c r="A365" t="s">
        <v>1203</v>
      </c>
      <c r="B365" t="s">
        <v>14</v>
      </c>
      <c r="C365" t="s">
        <v>15</v>
      </c>
      <c r="D365" t="s">
        <v>1156</v>
      </c>
      <c r="E365">
        <v>7</v>
      </c>
      <c r="F365">
        <f>MAX(-1,3-Tableau1[[#This Row],[Nb possédé (digital)]])</f>
        <v>-1</v>
      </c>
      <c r="G365">
        <v>7</v>
      </c>
      <c r="H365">
        <f>MAX(-1,3-Tableau1[[#This Row],[Possédé (physique)]])</f>
        <v>-1</v>
      </c>
      <c r="I365" t="str">
        <f>IF(Tableau1[[#This Row],[Manque (physique)]]&gt;Tableau1[[#This Row],[Manque (digital)]],"POD",IF(Tableau1[[#This Row],[Manque (digital)]]&gt;Tableau1[[#This Row],[Manque (physique)]],"MarketPlace",""))</f>
        <v/>
      </c>
      <c r="J365" t="s">
        <v>17</v>
      </c>
      <c r="K365" t="s">
        <v>201</v>
      </c>
      <c r="L365" t="s">
        <v>20</v>
      </c>
      <c r="M365" t="s">
        <v>20</v>
      </c>
      <c r="Q365" t="s">
        <v>1365</v>
      </c>
    </row>
    <row r="366" spans="1:17" hidden="1" x14ac:dyDescent="0.25">
      <c r="A366" t="s">
        <v>1240</v>
      </c>
      <c r="B366" t="s">
        <v>14</v>
      </c>
      <c r="C366" t="s">
        <v>15</v>
      </c>
      <c r="D366" t="s">
        <v>1156</v>
      </c>
      <c r="E366">
        <v>8</v>
      </c>
      <c r="F366">
        <f>MAX(-1,3-Tableau1[[#This Row],[Nb possédé (digital)]])</f>
        <v>-1</v>
      </c>
      <c r="G366">
        <v>9</v>
      </c>
      <c r="H366">
        <f>MAX(-1,3-Tableau1[[#This Row],[Possédé (physique)]])</f>
        <v>-1</v>
      </c>
      <c r="I366" t="str">
        <f>IF(Tableau1[[#This Row],[Manque (physique)]]&gt;Tableau1[[#This Row],[Manque (digital)]],"POD",IF(Tableau1[[#This Row],[Manque (digital)]]&gt;Tableau1[[#This Row],[Manque (physique)]],"MarketPlace",""))</f>
        <v/>
      </c>
      <c r="J366" t="s">
        <v>30</v>
      </c>
      <c r="K366" t="s">
        <v>79</v>
      </c>
      <c r="L366" t="s">
        <v>20</v>
      </c>
      <c r="M366" t="s">
        <v>20</v>
      </c>
      <c r="N366" t="s">
        <v>20</v>
      </c>
      <c r="O366" t="s">
        <v>89</v>
      </c>
      <c r="P366" t="s">
        <v>89</v>
      </c>
      <c r="Q366" t="s">
        <v>1446</v>
      </c>
    </row>
    <row r="367" spans="1:17" hidden="1" x14ac:dyDescent="0.25">
      <c r="A367" t="s">
        <v>1238</v>
      </c>
      <c r="B367" t="s">
        <v>14</v>
      </c>
      <c r="C367" t="s">
        <v>15</v>
      </c>
      <c r="D367" t="s">
        <v>1156</v>
      </c>
      <c r="E367">
        <v>5</v>
      </c>
      <c r="F367">
        <f>MAX(-1,3-Tableau1[[#This Row],[Nb possédé (digital)]])</f>
        <v>-1</v>
      </c>
      <c r="G367">
        <v>5</v>
      </c>
      <c r="H367">
        <f>MAX(-1,3-Tableau1[[#This Row],[Possédé (physique)]])</f>
        <v>-1</v>
      </c>
      <c r="I367" t="str">
        <f>IF(Tableau1[[#This Row],[Manque (physique)]]&gt;Tableau1[[#This Row],[Manque (digital)]],"POD",IF(Tableau1[[#This Row],[Manque (digital)]]&gt;Tableau1[[#This Row],[Manque (physique)]],"MarketPlace",""))</f>
        <v/>
      </c>
      <c r="J367" t="s">
        <v>30</v>
      </c>
      <c r="K367" t="s">
        <v>79</v>
      </c>
      <c r="L367" t="s">
        <v>19</v>
      </c>
      <c r="M367" t="s">
        <v>20</v>
      </c>
      <c r="N367" t="s">
        <v>19</v>
      </c>
      <c r="O367" t="s">
        <v>20</v>
      </c>
      <c r="P367" t="s">
        <v>19</v>
      </c>
    </row>
    <row r="368" spans="1:17" hidden="1" x14ac:dyDescent="0.25">
      <c r="A368" t="s">
        <v>1172</v>
      </c>
      <c r="B368" t="s">
        <v>14</v>
      </c>
      <c r="C368" t="s">
        <v>15</v>
      </c>
      <c r="D368" t="s">
        <v>1156</v>
      </c>
      <c r="E368">
        <v>7</v>
      </c>
      <c r="F368">
        <f>MAX(-1,3-Tableau1[[#This Row],[Nb possédé (digital)]])</f>
        <v>-1</v>
      </c>
      <c r="G368">
        <v>7</v>
      </c>
      <c r="H368">
        <f>MAX(-1,3-Tableau1[[#This Row],[Possédé (physique)]])</f>
        <v>-1</v>
      </c>
      <c r="I368" t="str">
        <f>IF(Tableau1[[#This Row],[Manque (physique)]]&gt;Tableau1[[#This Row],[Manque (digital)]],"POD",IF(Tableau1[[#This Row],[Manque (digital)]]&gt;Tableau1[[#This Row],[Manque (physique)]],"MarketPlace",""))</f>
        <v/>
      </c>
      <c r="J368" t="s">
        <v>17</v>
      </c>
      <c r="K368" t="s">
        <v>201</v>
      </c>
      <c r="L368" t="s">
        <v>19</v>
      </c>
      <c r="M368" t="s">
        <v>19</v>
      </c>
      <c r="Q368" t="s">
        <v>1300</v>
      </c>
    </row>
    <row r="369" spans="1:17" hidden="1" x14ac:dyDescent="0.25">
      <c r="A369" t="s">
        <v>1178</v>
      </c>
      <c r="B369" t="s">
        <v>14</v>
      </c>
      <c r="C369" t="s">
        <v>15</v>
      </c>
      <c r="D369" t="s">
        <v>1156</v>
      </c>
      <c r="E369">
        <v>7</v>
      </c>
      <c r="F369">
        <f>MAX(-1,3-Tableau1[[#This Row],[Nb possédé (digital)]])</f>
        <v>-1</v>
      </c>
      <c r="G369">
        <v>7</v>
      </c>
      <c r="H369">
        <f>MAX(-1,3-Tableau1[[#This Row],[Possédé (physique)]])</f>
        <v>-1</v>
      </c>
      <c r="I369" t="str">
        <f>IF(Tableau1[[#This Row],[Manque (physique)]]&gt;Tableau1[[#This Row],[Manque (digital)]],"POD",IF(Tableau1[[#This Row],[Manque (digital)]]&gt;Tableau1[[#This Row],[Manque (physique)]],"MarketPlace",""))</f>
        <v/>
      </c>
      <c r="J369" t="s">
        <v>30</v>
      </c>
      <c r="K369" t="s">
        <v>79</v>
      </c>
      <c r="L369" t="s">
        <v>19</v>
      </c>
      <c r="M369" t="s">
        <v>19</v>
      </c>
      <c r="N369" t="s">
        <v>23</v>
      </c>
      <c r="O369" t="s">
        <v>23</v>
      </c>
      <c r="P369" t="s">
        <v>19</v>
      </c>
      <c r="Q369" t="s">
        <v>1315</v>
      </c>
    </row>
    <row r="370" spans="1:17" hidden="1" x14ac:dyDescent="0.25">
      <c r="A370" t="s">
        <v>1191</v>
      </c>
      <c r="B370" t="s">
        <v>14</v>
      </c>
      <c r="C370" t="s">
        <v>15</v>
      </c>
      <c r="D370" t="s">
        <v>1156</v>
      </c>
      <c r="E370">
        <v>6</v>
      </c>
      <c r="F370">
        <f>MAX(-1,3-Tableau1[[#This Row],[Nb possédé (digital)]])</f>
        <v>-1</v>
      </c>
      <c r="G370">
        <v>6</v>
      </c>
      <c r="H370">
        <f>MAX(-1,3-Tableau1[[#This Row],[Possédé (physique)]])</f>
        <v>-1</v>
      </c>
      <c r="I370" t="str">
        <f>IF(Tableau1[[#This Row],[Manque (physique)]]&gt;Tableau1[[#This Row],[Manque (digital)]],"POD",IF(Tableau1[[#This Row],[Manque (digital)]]&gt;Tableau1[[#This Row],[Manque (physique)]],"MarketPlace",""))</f>
        <v/>
      </c>
      <c r="J370" t="s">
        <v>30</v>
      </c>
      <c r="K370" t="s">
        <v>79</v>
      </c>
      <c r="L370" t="s">
        <v>19</v>
      </c>
      <c r="M370" t="s">
        <v>19</v>
      </c>
      <c r="N370" t="s">
        <v>19</v>
      </c>
      <c r="O370" t="s">
        <v>20</v>
      </c>
      <c r="P370" t="s">
        <v>20</v>
      </c>
      <c r="Q370" t="s">
        <v>1341</v>
      </c>
    </row>
    <row r="371" spans="1:17" hidden="1" x14ac:dyDescent="0.25">
      <c r="A371" t="s">
        <v>1231</v>
      </c>
      <c r="B371" t="s">
        <v>14</v>
      </c>
      <c r="C371" t="s">
        <v>15</v>
      </c>
      <c r="D371" t="s">
        <v>1156</v>
      </c>
      <c r="E371">
        <v>6</v>
      </c>
      <c r="F371">
        <f>MAX(-1,3-Tableau1[[#This Row],[Nb possédé (digital)]])</f>
        <v>-1</v>
      </c>
      <c r="G371">
        <v>6</v>
      </c>
      <c r="H371">
        <f>MAX(-1,3-Tableau1[[#This Row],[Possédé (physique)]])</f>
        <v>-1</v>
      </c>
      <c r="I371" t="str">
        <f>IF(Tableau1[[#This Row],[Manque (physique)]]&gt;Tableau1[[#This Row],[Manque (digital)]],"POD",IF(Tableau1[[#This Row],[Manque (digital)]]&gt;Tableau1[[#This Row],[Manque (physique)]],"MarketPlace",""))</f>
        <v/>
      </c>
      <c r="J371" t="s">
        <v>30</v>
      </c>
      <c r="K371" t="s">
        <v>358</v>
      </c>
      <c r="L371" t="s">
        <v>19</v>
      </c>
      <c r="M371" t="s">
        <v>19</v>
      </c>
      <c r="N371" t="s">
        <v>20</v>
      </c>
      <c r="O371" t="s">
        <v>20</v>
      </c>
      <c r="P371" t="s">
        <v>20</v>
      </c>
      <c r="Q371" t="s">
        <v>1425</v>
      </c>
    </row>
    <row r="372" spans="1:17" hidden="1" x14ac:dyDescent="0.25">
      <c r="A372" t="s">
        <v>1246</v>
      </c>
      <c r="B372" t="s">
        <v>14</v>
      </c>
      <c r="C372" t="s">
        <v>15</v>
      </c>
      <c r="D372" t="s">
        <v>1156</v>
      </c>
      <c r="E372">
        <v>5</v>
      </c>
      <c r="F372">
        <f>MAX(-1,3-Tableau1[[#This Row],[Nb possédé (digital)]])</f>
        <v>-1</v>
      </c>
      <c r="G372">
        <v>5</v>
      </c>
      <c r="H372">
        <f>MAX(-1,3-Tableau1[[#This Row],[Possédé (physique)]])</f>
        <v>-1</v>
      </c>
      <c r="I372" t="str">
        <f>IF(Tableau1[[#This Row],[Manque (physique)]]&gt;Tableau1[[#This Row],[Manque (digital)]],"POD",IF(Tableau1[[#This Row],[Manque (digital)]]&gt;Tableau1[[#This Row],[Manque (physique)]],"MarketPlace",""))</f>
        <v/>
      </c>
      <c r="J372" t="s">
        <v>17</v>
      </c>
      <c r="K372" t="s">
        <v>97</v>
      </c>
      <c r="L372" t="s">
        <v>19</v>
      </c>
      <c r="M372" t="s">
        <v>52</v>
      </c>
      <c r="Q372" t="s">
        <v>1459</v>
      </c>
    </row>
    <row r="373" spans="1:17" hidden="1" x14ac:dyDescent="0.25">
      <c r="A373" t="s">
        <v>1168</v>
      </c>
      <c r="B373" t="s">
        <v>14</v>
      </c>
      <c r="C373" t="s">
        <v>15</v>
      </c>
      <c r="D373" t="s">
        <v>1156</v>
      </c>
      <c r="E373">
        <v>8</v>
      </c>
      <c r="F373">
        <f>MAX(-1,3-Tableau1[[#This Row],[Nb possédé (digital)]])</f>
        <v>-1</v>
      </c>
      <c r="G373">
        <v>8</v>
      </c>
      <c r="H373">
        <f>MAX(-1,3-Tableau1[[#This Row],[Possédé (physique)]])</f>
        <v>-1</v>
      </c>
      <c r="I373" t="str">
        <f>IF(Tableau1[[#This Row],[Manque (physique)]]&gt;Tableau1[[#This Row],[Manque (digital)]],"POD",IF(Tableau1[[#This Row],[Manque (digital)]]&gt;Tableau1[[#This Row],[Manque (physique)]],"MarketPlace",""))</f>
        <v/>
      </c>
      <c r="J373" t="s">
        <v>268</v>
      </c>
      <c r="K373" t="s">
        <v>269</v>
      </c>
      <c r="L373" t="s">
        <v>23</v>
      </c>
      <c r="M373" t="s">
        <v>23</v>
      </c>
      <c r="Q373" t="s">
        <v>1291</v>
      </c>
    </row>
    <row r="374" spans="1:17" hidden="1" x14ac:dyDescent="0.25">
      <c r="A374" t="s">
        <v>1173</v>
      </c>
      <c r="B374" t="s">
        <v>14</v>
      </c>
      <c r="C374" t="s">
        <v>15</v>
      </c>
      <c r="D374" t="s">
        <v>1156</v>
      </c>
      <c r="E374">
        <v>8</v>
      </c>
      <c r="F374">
        <f>MAX(-1,3-Tableau1[[#This Row],[Nb possédé (digital)]])</f>
        <v>-1</v>
      </c>
      <c r="G374">
        <v>8</v>
      </c>
      <c r="H374">
        <f>MAX(-1,3-Tableau1[[#This Row],[Possédé (physique)]])</f>
        <v>-1</v>
      </c>
      <c r="I374" t="str">
        <f>IF(Tableau1[[#This Row],[Manque (physique)]]&gt;Tableau1[[#This Row],[Manque (digital)]],"POD",IF(Tableau1[[#This Row],[Manque (digital)]]&gt;Tableau1[[#This Row],[Manque (physique)]],"MarketPlace",""))</f>
        <v/>
      </c>
      <c r="J374" t="s">
        <v>30</v>
      </c>
      <c r="K374" t="s">
        <v>79</v>
      </c>
      <c r="L374" t="s">
        <v>23</v>
      </c>
      <c r="M374" t="s">
        <v>23</v>
      </c>
      <c r="N374" t="s">
        <v>20</v>
      </c>
      <c r="O374" t="s">
        <v>20</v>
      </c>
      <c r="P374" t="s">
        <v>20</v>
      </c>
      <c r="Q374" t="s">
        <v>1303</v>
      </c>
    </row>
    <row r="375" spans="1:17" hidden="1" x14ac:dyDescent="0.25">
      <c r="A375" t="s">
        <v>1184</v>
      </c>
      <c r="B375" t="s">
        <v>14</v>
      </c>
      <c r="C375" t="s">
        <v>15</v>
      </c>
      <c r="D375" t="s">
        <v>1156</v>
      </c>
      <c r="E375">
        <v>7</v>
      </c>
      <c r="F375">
        <f>MAX(-1,3-Tableau1[[#This Row],[Nb possédé (digital)]])</f>
        <v>-1</v>
      </c>
      <c r="G375">
        <v>7</v>
      </c>
      <c r="H375">
        <f>MAX(-1,3-Tableau1[[#This Row],[Possédé (physique)]])</f>
        <v>-1</v>
      </c>
      <c r="I375" t="str">
        <f>IF(Tableau1[[#This Row],[Manque (physique)]]&gt;Tableau1[[#This Row],[Manque (digital)]],"POD",IF(Tableau1[[#This Row],[Manque (digital)]]&gt;Tableau1[[#This Row],[Manque (physique)]],"MarketPlace",""))</f>
        <v/>
      </c>
      <c r="J375" t="s">
        <v>30</v>
      </c>
      <c r="K375" t="s">
        <v>358</v>
      </c>
      <c r="L375" t="s">
        <v>23</v>
      </c>
      <c r="M375" t="s">
        <v>23</v>
      </c>
      <c r="N375" t="s">
        <v>52</v>
      </c>
      <c r="O375" t="s">
        <v>23</v>
      </c>
      <c r="P375" t="s">
        <v>23</v>
      </c>
    </row>
    <row r="376" spans="1:17" hidden="1" x14ac:dyDescent="0.25">
      <c r="A376" t="s">
        <v>1228</v>
      </c>
      <c r="B376" t="s">
        <v>14</v>
      </c>
      <c r="C376" t="s">
        <v>15</v>
      </c>
      <c r="D376" t="s">
        <v>1156</v>
      </c>
      <c r="E376">
        <v>6</v>
      </c>
      <c r="F376">
        <f>MAX(-1,3-Tableau1[[#This Row],[Nb possédé (digital)]])</f>
        <v>-1</v>
      </c>
      <c r="G376">
        <v>6</v>
      </c>
      <c r="H376">
        <f>MAX(-1,3-Tableau1[[#This Row],[Possédé (physique)]])</f>
        <v>-1</v>
      </c>
      <c r="I376" t="str">
        <f>IF(Tableau1[[#This Row],[Manque (physique)]]&gt;Tableau1[[#This Row],[Manque (digital)]],"POD",IF(Tableau1[[#This Row],[Manque (digital)]]&gt;Tableau1[[#This Row],[Manque (physique)]],"MarketPlace",""))</f>
        <v/>
      </c>
      <c r="J376" t="s">
        <v>30</v>
      </c>
      <c r="K376" t="s">
        <v>79</v>
      </c>
      <c r="L376" t="s">
        <v>23</v>
      </c>
      <c r="M376" t="s">
        <v>23</v>
      </c>
      <c r="N376" t="s">
        <v>52</v>
      </c>
      <c r="O376" t="s">
        <v>52</v>
      </c>
      <c r="P376" t="s">
        <v>37</v>
      </c>
      <c r="Q376" t="s">
        <v>108</v>
      </c>
    </row>
    <row r="377" spans="1:17" hidden="1" x14ac:dyDescent="0.25">
      <c r="A377" t="s">
        <v>1260</v>
      </c>
      <c r="B377" t="s">
        <v>14</v>
      </c>
      <c r="C377" t="s">
        <v>15</v>
      </c>
      <c r="D377" t="s">
        <v>1156</v>
      </c>
      <c r="E377">
        <v>8</v>
      </c>
      <c r="F377">
        <f>MAX(-1,3-Tableau1[[#This Row],[Nb possédé (digital)]])</f>
        <v>-1</v>
      </c>
      <c r="G377">
        <v>8</v>
      </c>
      <c r="H377">
        <f>MAX(-1,3-Tableau1[[#This Row],[Possédé (physique)]])</f>
        <v>-1</v>
      </c>
      <c r="I377" t="str">
        <f>IF(Tableau1[[#This Row],[Manque (physique)]]&gt;Tableau1[[#This Row],[Manque (digital)]],"POD",IF(Tableau1[[#This Row],[Manque (digital)]]&gt;Tableau1[[#This Row],[Manque (physique)]],"MarketPlace",""))</f>
        <v/>
      </c>
      <c r="J377" t="s">
        <v>30</v>
      </c>
      <c r="K377" t="s">
        <v>552</v>
      </c>
      <c r="L377" t="s">
        <v>52</v>
      </c>
      <c r="M377" t="s">
        <v>23</v>
      </c>
      <c r="N377" t="s">
        <v>23</v>
      </c>
      <c r="O377" t="s">
        <v>23</v>
      </c>
      <c r="P377" t="s">
        <v>52</v>
      </c>
      <c r="Q377" t="s">
        <v>1285</v>
      </c>
    </row>
    <row r="378" spans="1:17" hidden="1" x14ac:dyDescent="0.25">
      <c r="A378" t="s">
        <v>1209</v>
      </c>
      <c r="B378" t="s">
        <v>14</v>
      </c>
      <c r="C378" t="s">
        <v>15</v>
      </c>
      <c r="D378" t="s">
        <v>1156</v>
      </c>
      <c r="E378">
        <v>7</v>
      </c>
      <c r="F378">
        <f>MAX(-1,3-Tableau1[[#This Row],[Nb possédé (digital)]])</f>
        <v>-1</v>
      </c>
      <c r="G378">
        <v>7</v>
      </c>
      <c r="H378">
        <f>MAX(-1,3-Tableau1[[#This Row],[Possédé (physique)]])</f>
        <v>-1</v>
      </c>
      <c r="I378" t="str">
        <f>IF(Tableau1[[#This Row],[Manque (physique)]]&gt;Tableau1[[#This Row],[Manque (digital)]],"POD",IF(Tableau1[[#This Row],[Manque (digital)]]&gt;Tableau1[[#This Row],[Manque (physique)]],"MarketPlace",""))</f>
        <v/>
      </c>
      <c r="J378" t="s">
        <v>17</v>
      </c>
      <c r="K378" t="s">
        <v>153</v>
      </c>
      <c r="L378" t="s">
        <v>52</v>
      </c>
      <c r="M378" t="s">
        <v>52</v>
      </c>
      <c r="Q378" t="s">
        <v>1377</v>
      </c>
    </row>
    <row r="379" spans="1:17" hidden="1" x14ac:dyDescent="0.25">
      <c r="A379" t="s">
        <v>1262</v>
      </c>
      <c r="B379" t="s">
        <v>14</v>
      </c>
      <c r="C379" t="s">
        <v>15</v>
      </c>
      <c r="D379" t="s">
        <v>1156</v>
      </c>
      <c r="E379">
        <v>7</v>
      </c>
      <c r="F379">
        <f>MAX(-1,3-Tableau1[[#This Row],[Nb possédé (digital)]])</f>
        <v>-1</v>
      </c>
      <c r="G379">
        <v>7</v>
      </c>
      <c r="H379">
        <f>MAX(-1,3-Tableau1[[#This Row],[Possédé (physique)]])</f>
        <v>-1</v>
      </c>
      <c r="I379" t="str">
        <f>IF(Tableau1[[#This Row],[Manque (physique)]]&gt;Tableau1[[#This Row],[Manque (digital)]],"POD",IF(Tableau1[[#This Row],[Manque (digital)]]&gt;Tableau1[[#This Row],[Manque (physique)]],"MarketPlace",""))</f>
        <v/>
      </c>
      <c r="J379" t="s">
        <v>30</v>
      </c>
      <c r="K379" t="s">
        <v>601</v>
      </c>
      <c r="L379" t="s">
        <v>37</v>
      </c>
      <c r="M379" t="s">
        <v>37</v>
      </c>
      <c r="N379" t="s">
        <v>20</v>
      </c>
      <c r="O379" t="s">
        <v>20</v>
      </c>
      <c r="P379" t="s">
        <v>20</v>
      </c>
      <c r="Q379" t="s">
        <v>1488</v>
      </c>
    </row>
    <row r="380" spans="1:17" hidden="1" x14ac:dyDescent="0.25">
      <c r="A380" t="s">
        <v>1257</v>
      </c>
      <c r="B380" t="s">
        <v>14</v>
      </c>
      <c r="C380" t="s">
        <v>15</v>
      </c>
      <c r="D380" t="s">
        <v>1156</v>
      </c>
      <c r="E380">
        <v>6</v>
      </c>
      <c r="F380">
        <f>MAX(-1,3-Tableau1[[#This Row],[Nb possédé (digital)]])</f>
        <v>-1</v>
      </c>
      <c r="G380">
        <v>6</v>
      </c>
      <c r="H380">
        <f>MAX(-1,3-Tableau1[[#This Row],[Possédé (physique)]])</f>
        <v>-1</v>
      </c>
      <c r="I380" t="str">
        <f>IF(Tableau1[[#This Row],[Manque (physique)]]&gt;Tableau1[[#This Row],[Manque (digital)]],"POD",IF(Tableau1[[#This Row],[Manque (digital)]]&gt;Tableau1[[#This Row],[Manque (physique)]],"MarketPlace",""))</f>
        <v/>
      </c>
      <c r="J380" t="s">
        <v>30</v>
      </c>
      <c r="K380" t="s">
        <v>236</v>
      </c>
      <c r="L380" t="s">
        <v>39</v>
      </c>
      <c r="M380" t="s">
        <v>39</v>
      </c>
      <c r="N380" t="s">
        <v>52</v>
      </c>
      <c r="O380" t="s">
        <v>52</v>
      </c>
      <c r="P380" t="s">
        <v>52</v>
      </c>
      <c r="Q380" t="s">
        <v>1479</v>
      </c>
    </row>
    <row r="381" spans="1:17" hidden="1" x14ac:dyDescent="0.25">
      <c r="A381" t="s">
        <v>1176</v>
      </c>
      <c r="B381" t="s">
        <v>14</v>
      </c>
      <c r="C381" t="s">
        <v>15</v>
      </c>
      <c r="D381" t="s">
        <v>1156</v>
      </c>
      <c r="E381">
        <v>5</v>
      </c>
      <c r="F381">
        <f>MAX(-1,3-Tableau1[[#This Row],[Nb possédé (digital)]])</f>
        <v>-1</v>
      </c>
      <c r="G381">
        <v>5</v>
      </c>
      <c r="H381">
        <f>MAX(-1,3-Tableau1[[#This Row],[Possédé (physique)]])</f>
        <v>-1</v>
      </c>
      <c r="I381" t="str">
        <f>IF(Tableau1[[#This Row],[Manque (physique)]]&gt;Tableau1[[#This Row],[Manque (digital)]],"POD",IF(Tableau1[[#This Row],[Manque (digital)]]&gt;Tableau1[[#This Row],[Manque (physique)]],"MarketPlace",""))</f>
        <v/>
      </c>
      <c r="J381" t="s">
        <v>17</v>
      </c>
      <c r="K381" t="s">
        <v>97</v>
      </c>
      <c r="L381" t="s">
        <v>380</v>
      </c>
      <c r="M381" t="s">
        <v>380</v>
      </c>
      <c r="Q381" t="s">
        <v>1310</v>
      </c>
    </row>
    <row r="382" spans="1:17" hidden="1" x14ac:dyDescent="0.25">
      <c r="A382" t="s">
        <v>1180</v>
      </c>
      <c r="B382" t="s">
        <v>14</v>
      </c>
      <c r="C382" t="s">
        <v>15</v>
      </c>
      <c r="E382">
        <v>5</v>
      </c>
      <c r="F382">
        <f>MAX(-1,3-Tableau1[[#This Row],[Nb possédé (digital)]])</f>
        <v>-1</v>
      </c>
      <c r="G382">
        <v>5</v>
      </c>
      <c r="H382">
        <f>MAX(-1,3-Tableau1[[#This Row],[Possédé (physique)]])</f>
        <v>-1</v>
      </c>
      <c r="I382" t="str">
        <f>IF(Tableau1[[#This Row],[Manque (physique)]]&gt;Tableau1[[#This Row],[Manque (digital)]],"POD",IF(Tableau1[[#This Row],[Manque (digital)]]&gt;Tableau1[[#This Row],[Manque (physique)]],"MarketPlace",""))</f>
        <v/>
      </c>
      <c r="J382" t="s">
        <v>197</v>
      </c>
      <c r="K382" t="s">
        <v>79</v>
      </c>
      <c r="L382" t="s">
        <v>89</v>
      </c>
      <c r="M382" t="s">
        <v>89</v>
      </c>
      <c r="N382" t="s">
        <v>20</v>
      </c>
      <c r="O382" t="s">
        <v>20</v>
      </c>
      <c r="P382" t="s">
        <v>20</v>
      </c>
      <c r="Q382" t="s">
        <v>1319</v>
      </c>
    </row>
    <row r="383" spans="1:17" hidden="1" x14ac:dyDescent="0.25">
      <c r="A383" t="s">
        <v>113</v>
      </c>
      <c r="B383" t="s">
        <v>14</v>
      </c>
      <c r="C383" t="s">
        <v>15</v>
      </c>
      <c r="E383">
        <v>15</v>
      </c>
      <c r="F383">
        <f>MAX(-1,3-Tableau1[[#This Row],[Nb possédé (digital)]])</f>
        <v>-1</v>
      </c>
      <c r="G383">
        <v>15</v>
      </c>
      <c r="H383">
        <f>MAX(-1,3-Tableau1[[#This Row],[Possédé (physique)]])</f>
        <v>-1</v>
      </c>
      <c r="I383" t="str">
        <f>IF(Tableau1[[#This Row],[Manque (physique)]]&gt;Tableau1[[#This Row],[Manque (digital)]],"POD",IF(Tableau1[[#This Row],[Manque (digital)]]&gt;Tableau1[[#This Row],[Manque (physique)]],"MarketPlace",""))</f>
        <v/>
      </c>
      <c r="J383" t="s">
        <v>48</v>
      </c>
      <c r="Q383" t="s">
        <v>114</v>
      </c>
    </row>
    <row r="384" spans="1:17" hidden="1" x14ac:dyDescent="0.25">
      <c r="A384" t="s">
        <v>1200</v>
      </c>
      <c r="B384" t="s">
        <v>14</v>
      </c>
      <c r="C384" t="s">
        <v>15</v>
      </c>
      <c r="E384">
        <v>5</v>
      </c>
      <c r="F384">
        <f>MAX(-1,3-Tableau1[[#This Row],[Nb possédé (digital)]])</f>
        <v>-1</v>
      </c>
      <c r="G384">
        <v>5</v>
      </c>
      <c r="H384">
        <f>MAX(-1,3-Tableau1[[#This Row],[Possédé (physique)]])</f>
        <v>-1</v>
      </c>
      <c r="I384" t="str">
        <f>IF(Tableau1[[#This Row],[Manque (physique)]]&gt;Tableau1[[#This Row],[Manque (digital)]],"POD",IF(Tableau1[[#This Row],[Manque (digital)]]&gt;Tableau1[[#This Row],[Manque (physique)]],"MarketPlace",""))</f>
        <v/>
      </c>
      <c r="J384" t="s">
        <v>48</v>
      </c>
      <c r="Q384" t="s">
        <v>1359</v>
      </c>
    </row>
    <row r="385" spans="1:17" hidden="1" x14ac:dyDescent="0.25">
      <c r="A385" t="s">
        <v>955</v>
      </c>
      <c r="B385" t="s">
        <v>14</v>
      </c>
      <c r="C385" t="s">
        <v>15</v>
      </c>
      <c r="E385">
        <v>20</v>
      </c>
      <c r="F385">
        <f>MAX(-1,3-Tableau1[[#This Row],[Nb possédé (digital)]])</f>
        <v>-1</v>
      </c>
      <c r="G385">
        <v>20</v>
      </c>
      <c r="H385">
        <f>MAX(-1,3-Tableau1[[#This Row],[Possédé (physique)]])</f>
        <v>-1</v>
      </c>
      <c r="I385" t="str">
        <f>IF(Tableau1[[#This Row],[Manque (physique)]]&gt;Tableau1[[#This Row],[Manque (digital)]],"POD",IF(Tableau1[[#This Row],[Manque (digital)]]&gt;Tableau1[[#This Row],[Manque (physique)]],"MarketPlace",""))</f>
        <v/>
      </c>
      <c r="J385" t="s">
        <v>48</v>
      </c>
      <c r="Q385" t="s">
        <v>956</v>
      </c>
    </row>
    <row r="386" spans="1:17" hidden="1" x14ac:dyDescent="0.25">
      <c r="A386" t="s">
        <v>1053</v>
      </c>
      <c r="B386" t="s">
        <v>14</v>
      </c>
      <c r="C386" t="s">
        <v>15</v>
      </c>
      <c r="E386">
        <v>15</v>
      </c>
      <c r="F386">
        <f>MAX(-1,3-Tableau1[[#This Row],[Nb possédé (digital)]])</f>
        <v>-1</v>
      </c>
      <c r="G386">
        <v>15</v>
      </c>
      <c r="H386">
        <f>MAX(-1,3-Tableau1[[#This Row],[Possédé (physique)]])</f>
        <v>-1</v>
      </c>
      <c r="I386" t="str">
        <f>IF(Tableau1[[#This Row],[Manque (physique)]]&gt;Tableau1[[#This Row],[Manque (digital)]],"POD",IF(Tableau1[[#This Row],[Manque (digital)]]&gt;Tableau1[[#This Row],[Manque (physique)]],"MarketPlace",""))</f>
        <v/>
      </c>
      <c r="J386" t="s">
        <v>48</v>
      </c>
      <c r="Q386" t="s">
        <v>1054</v>
      </c>
    </row>
    <row r="387" spans="1:17" hidden="1" x14ac:dyDescent="0.25">
      <c r="A387" t="s">
        <v>1589</v>
      </c>
      <c r="B387" t="s">
        <v>14</v>
      </c>
      <c r="C387" t="s">
        <v>15</v>
      </c>
      <c r="E387">
        <v>10</v>
      </c>
      <c r="F387">
        <f>MAX(-1,3-Tableau1[[#This Row],[Nb possédé (digital)]])</f>
        <v>-1</v>
      </c>
      <c r="G387">
        <v>10</v>
      </c>
      <c r="H387">
        <f>MAX(-1,3-Tableau1[[#This Row],[Possédé (physique)]])</f>
        <v>-1</v>
      </c>
      <c r="I387" t="str">
        <f>IF(Tableau1[[#This Row],[Manque (physique)]]&gt;Tableau1[[#This Row],[Manque (digital)]],"POD",IF(Tableau1[[#This Row],[Manque (digital)]]&gt;Tableau1[[#This Row],[Manque (physique)]],"MarketPlace",""))</f>
        <v/>
      </c>
      <c r="J387" t="s">
        <v>48</v>
      </c>
      <c r="Q387" t="s">
        <v>1804</v>
      </c>
    </row>
    <row r="388" spans="1:17" hidden="1" x14ac:dyDescent="0.25">
      <c r="A388" t="s">
        <v>556</v>
      </c>
      <c r="B388" t="s">
        <v>14</v>
      </c>
      <c r="C388" t="s">
        <v>25</v>
      </c>
      <c r="D388" t="s">
        <v>16</v>
      </c>
      <c r="E388">
        <v>7</v>
      </c>
      <c r="F388">
        <f>MAX(-1,3-Tableau1[[#This Row],[Nb possédé (digital)]])</f>
        <v>-1</v>
      </c>
      <c r="G388">
        <v>7</v>
      </c>
      <c r="H388">
        <f>MAX(-1,3-Tableau1[[#This Row],[Possédé (physique)]])</f>
        <v>-1</v>
      </c>
      <c r="I388" t="str">
        <f>IF(Tableau1[[#This Row],[Manque (physique)]]&gt;Tableau1[[#This Row],[Manque (digital)]],"POD",IF(Tableau1[[#This Row],[Manque (digital)]]&gt;Tableau1[[#This Row],[Manque (physique)]],"MarketPlace",""))</f>
        <v/>
      </c>
      <c r="J388" t="s">
        <v>30</v>
      </c>
      <c r="K388" t="s">
        <v>557</v>
      </c>
      <c r="L388" t="s">
        <v>20</v>
      </c>
      <c r="M388" t="s">
        <v>20</v>
      </c>
      <c r="N388" t="s">
        <v>89</v>
      </c>
      <c r="O388" t="s">
        <v>89</v>
      </c>
      <c r="P388" t="s">
        <v>20</v>
      </c>
      <c r="Q388" t="s">
        <v>558</v>
      </c>
    </row>
    <row r="389" spans="1:17" hidden="1" x14ac:dyDescent="0.25">
      <c r="A389" t="s">
        <v>1095</v>
      </c>
      <c r="B389" t="s">
        <v>14</v>
      </c>
      <c r="C389" t="s">
        <v>25</v>
      </c>
      <c r="D389" t="s">
        <v>16</v>
      </c>
      <c r="E389">
        <v>9</v>
      </c>
      <c r="F389">
        <f>MAX(-1,3-Tableau1[[#This Row],[Nb possédé (digital)]])</f>
        <v>-1</v>
      </c>
      <c r="G389">
        <v>9</v>
      </c>
      <c r="H389">
        <f>MAX(-1,3-Tableau1[[#This Row],[Possédé (physique)]])</f>
        <v>-1</v>
      </c>
      <c r="I389" t="str">
        <f>IF(Tableau1[[#This Row],[Manque (physique)]]&gt;Tableau1[[#This Row],[Manque (digital)]],"POD",IF(Tableau1[[#This Row],[Manque (digital)]]&gt;Tableau1[[#This Row],[Manque (physique)]],"MarketPlace",""))</f>
        <v/>
      </c>
      <c r="J389" t="s">
        <v>30</v>
      </c>
      <c r="K389" t="s">
        <v>36</v>
      </c>
      <c r="L389" t="s">
        <v>20</v>
      </c>
      <c r="M389" t="s">
        <v>20</v>
      </c>
      <c r="N389" t="s">
        <v>20</v>
      </c>
      <c r="O389" t="s">
        <v>20</v>
      </c>
      <c r="P389" t="s">
        <v>20</v>
      </c>
    </row>
    <row r="390" spans="1:17" hidden="1" x14ac:dyDescent="0.25">
      <c r="A390" t="s">
        <v>106</v>
      </c>
      <c r="B390" t="s">
        <v>14</v>
      </c>
      <c r="C390" t="s">
        <v>25</v>
      </c>
      <c r="D390" t="s">
        <v>16</v>
      </c>
      <c r="E390">
        <v>7</v>
      </c>
      <c r="F390">
        <f>MAX(-1,3-Tableau1[[#This Row],[Nb possédé (digital)]])</f>
        <v>-1</v>
      </c>
      <c r="G390">
        <v>7</v>
      </c>
      <c r="H390">
        <f>MAX(-1,3-Tableau1[[#This Row],[Possédé (physique)]])</f>
        <v>-1</v>
      </c>
      <c r="I390" t="str">
        <f>IF(Tableau1[[#This Row],[Manque (physique)]]&gt;Tableau1[[#This Row],[Manque (digital)]],"POD",IF(Tableau1[[#This Row],[Manque (digital)]]&gt;Tableau1[[#This Row],[Manque (physique)]],"MarketPlace",""))</f>
        <v/>
      </c>
      <c r="J390" t="s">
        <v>30</v>
      </c>
      <c r="K390" t="s">
        <v>107</v>
      </c>
      <c r="L390" t="s">
        <v>19</v>
      </c>
      <c r="M390" t="s">
        <v>19</v>
      </c>
      <c r="N390" t="s">
        <v>23</v>
      </c>
      <c r="O390" t="s">
        <v>23</v>
      </c>
      <c r="P390" t="s">
        <v>23</v>
      </c>
      <c r="Q390" t="s">
        <v>108</v>
      </c>
    </row>
    <row r="391" spans="1:17" hidden="1" x14ac:dyDescent="0.25">
      <c r="A391" t="s">
        <v>225</v>
      </c>
      <c r="B391" t="s">
        <v>14</v>
      </c>
      <c r="C391" t="s">
        <v>25</v>
      </c>
      <c r="D391" t="s">
        <v>16</v>
      </c>
      <c r="E391">
        <v>5</v>
      </c>
      <c r="F391">
        <f>MAX(-1,3-Tableau1[[#This Row],[Nb possédé (digital)]])</f>
        <v>-1</v>
      </c>
      <c r="G391">
        <v>5</v>
      </c>
      <c r="H391">
        <f>MAX(-1,3-Tableau1[[#This Row],[Possédé (physique)]])</f>
        <v>-1</v>
      </c>
      <c r="I391" t="str">
        <f>IF(Tableau1[[#This Row],[Manque (physique)]]&gt;Tableau1[[#This Row],[Manque (digital)]],"POD",IF(Tableau1[[#This Row],[Manque (digital)]]&gt;Tableau1[[#This Row],[Manque (physique)]],"MarketPlace",""))</f>
        <v/>
      </c>
      <c r="J391" t="s">
        <v>30</v>
      </c>
      <c r="K391" t="s">
        <v>226</v>
      </c>
      <c r="L391" t="s">
        <v>19</v>
      </c>
      <c r="M391" t="s">
        <v>19</v>
      </c>
      <c r="N391" t="s">
        <v>20</v>
      </c>
      <c r="O391" t="s">
        <v>20</v>
      </c>
      <c r="P391" t="s">
        <v>89</v>
      </c>
      <c r="Q391" t="s">
        <v>118</v>
      </c>
    </row>
    <row r="392" spans="1:17" hidden="1" x14ac:dyDescent="0.25">
      <c r="A392" t="s">
        <v>244</v>
      </c>
      <c r="B392" t="s">
        <v>14</v>
      </c>
      <c r="C392" t="s">
        <v>25</v>
      </c>
      <c r="D392" t="s">
        <v>16</v>
      </c>
      <c r="E392">
        <v>6</v>
      </c>
      <c r="F392">
        <f>MAX(-1,3-Tableau1[[#This Row],[Nb possédé (digital)]])</f>
        <v>-1</v>
      </c>
      <c r="G392">
        <v>6</v>
      </c>
      <c r="H392">
        <f>MAX(-1,3-Tableau1[[#This Row],[Possédé (physique)]])</f>
        <v>-1</v>
      </c>
      <c r="I392" t="str">
        <f>IF(Tableau1[[#This Row],[Manque (physique)]]&gt;Tableau1[[#This Row],[Manque (digital)]],"POD",IF(Tableau1[[#This Row],[Manque (digital)]]&gt;Tableau1[[#This Row],[Manque (physique)]],"MarketPlace",""))</f>
        <v/>
      </c>
      <c r="J392" t="s">
        <v>17</v>
      </c>
      <c r="K392" t="s">
        <v>201</v>
      </c>
      <c r="L392" t="s">
        <v>19</v>
      </c>
      <c r="M392" t="s">
        <v>19</v>
      </c>
      <c r="Q392" t="s">
        <v>245</v>
      </c>
    </row>
    <row r="393" spans="1:17" hidden="1" x14ac:dyDescent="0.25">
      <c r="A393" t="s">
        <v>412</v>
      </c>
      <c r="B393" t="s">
        <v>14</v>
      </c>
      <c r="C393" t="s">
        <v>25</v>
      </c>
      <c r="D393" t="s">
        <v>16</v>
      </c>
      <c r="E393">
        <v>5</v>
      </c>
      <c r="F393">
        <f>MAX(-1,3-Tableau1[[#This Row],[Nb possédé (digital)]])</f>
        <v>-1</v>
      </c>
      <c r="G393">
        <v>5</v>
      </c>
      <c r="H393">
        <f>MAX(-1,3-Tableau1[[#This Row],[Possédé (physique)]])</f>
        <v>-1</v>
      </c>
      <c r="I393" t="str">
        <f>IF(Tableau1[[#This Row],[Manque (physique)]]&gt;Tableau1[[#This Row],[Manque (digital)]],"POD",IF(Tableau1[[#This Row],[Manque (digital)]]&gt;Tableau1[[#This Row],[Manque (physique)]],"MarketPlace",""))</f>
        <v/>
      </c>
      <c r="J393" t="s">
        <v>17</v>
      </c>
      <c r="K393" t="s">
        <v>153</v>
      </c>
      <c r="L393" t="s">
        <v>19</v>
      </c>
      <c r="M393" t="s">
        <v>19</v>
      </c>
      <c r="Q393" t="s">
        <v>413</v>
      </c>
    </row>
    <row r="394" spans="1:17" hidden="1" x14ac:dyDescent="0.25">
      <c r="A394" t="s">
        <v>721</v>
      </c>
      <c r="B394" t="s">
        <v>14</v>
      </c>
      <c r="C394" t="s">
        <v>25</v>
      </c>
      <c r="D394" t="s">
        <v>16</v>
      </c>
      <c r="E394">
        <v>7</v>
      </c>
      <c r="F394">
        <f>MAX(-1,3-Tableau1[[#This Row],[Nb possédé (digital)]])</f>
        <v>-1</v>
      </c>
      <c r="G394">
        <v>7</v>
      </c>
      <c r="H394">
        <f>MAX(-1,3-Tableau1[[#This Row],[Possédé (physique)]])</f>
        <v>-1</v>
      </c>
      <c r="I394" t="str">
        <f>IF(Tableau1[[#This Row],[Manque (physique)]]&gt;Tableau1[[#This Row],[Manque (digital)]],"POD",IF(Tableau1[[#This Row],[Manque (digital)]]&gt;Tableau1[[#This Row],[Manque (physique)]],"MarketPlace",""))</f>
        <v/>
      </c>
      <c r="J394" t="s">
        <v>30</v>
      </c>
      <c r="K394" t="s">
        <v>111</v>
      </c>
      <c r="L394" t="s">
        <v>19</v>
      </c>
      <c r="M394" t="s">
        <v>19</v>
      </c>
      <c r="N394" t="s">
        <v>23</v>
      </c>
      <c r="O394" t="s">
        <v>89</v>
      </c>
      <c r="P394" t="s">
        <v>23</v>
      </c>
    </row>
    <row r="395" spans="1:17" hidden="1" x14ac:dyDescent="0.25">
      <c r="A395" t="s">
        <v>767</v>
      </c>
      <c r="B395" t="s">
        <v>14</v>
      </c>
      <c r="C395" t="s">
        <v>25</v>
      </c>
      <c r="D395" t="s">
        <v>16</v>
      </c>
      <c r="E395">
        <v>5</v>
      </c>
      <c r="F395">
        <f>MAX(-1,3-Tableau1[[#This Row],[Nb possédé (digital)]])</f>
        <v>-1</v>
      </c>
      <c r="G395">
        <v>5</v>
      </c>
      <c r="H395">
        <f>MAX(-1,3-Tableau1[[#This Row],[Possédé (physique)]])</f>
        <v>-1</v>
      </c>
      <c r="I395" t="str">
        <f>IF(Tableau1[[#This Row],[Manque (physique)]]&gt;Tableau1[[#This Row],[Manque (digital)]],"POD",IF(Tableau1[[#This Row],[Manque (digital)]]&gt;Tableau1[[#This Row],[Manque (physique)]],"MarketPlace",""))</f>
        <v/>
      </c>
      <c r="J395" t="s">
        <v>30</v>
      </c>
      <c r="K395" t="s">
        <v>107</v>
      </c>
      <c r="L395" t="s">
        <v>19</v>
      </c>
      <c r="M395" t="s">
        <v>19</v>
      </c>
      <c r="N395" t="s">
        <v>19</v>
      </c>
      <c r="O395" t="s">
        <v>20</v>
      </c>
      <c r="P395" t="s">
        <v>19</v>
      </c>
      <c r="Q395" t="s">
        <v>768</v>
      </c>
    </row>
    <row r="396" spans="1:17" hidden="1" x14ac:dyDescent="0.25">
      <c r="A396" t="s">
        <v>845</v>
      </c>
      <c r="B396" t="s">
        <v>14</v>
      </c>
      <c r="C396" t="s">
        <v>25</v>
      </c>
      <c r="D396" t="s">
        <v>16</v>
      </c>
      <c r="E396">
        <v>5</v>
      </c>
      <c r="F396">
        <f>MAX(-1,3-Tableau1[[#This Row],[Nb possédé (digital)]])</f>
        <v>-1</v>
      </c>
      <c r="G396">
        <v>5</v>
      </c>
      <c r="H396">
        <f>MAX(-1,3-Tableau1[[#This Row],[Possédé (physique)]])</f>
        <v>-1</v>
      </c>
      <c r="I396" t="str">
        <f>IF(Tableau1[[#This Row],[Manque (physique)]]&gt;Tableau1[[#This Row],[Manque (digital)]],"POD",IF(Tableau1[[#This Row],[Manque (digital)]]&gt;Tableau1[[#This Row],[Manque (physique)]],"MarketPlace",""))</f>
        <v/>
      </c>
      <c r="J396" t="s">
        <v>30</v>
      </c>
      <c r="K396" t="s">
        <v>846</v>
      </c>
      <c r="L396" t="s">
        <v>19</v>
      </c>
      <c r="M396" t="s">
        <v>19</v>
      </c>
      <c r="N396" t="s">
        <v>20</v>
      </c>
      <c r="O396" t="s">
        <v>19</v>
      </c>
      <c r="P396" t="s">
        <v>20</v>
      </c>
      <c r="Q396" t="s">
        <v>847</v>
      </c>
    </row>
    <row r="397" spans="1:17" hidden="1" x14ac:dyDescent="0.25">
      <c r="A397" t="s">
        <v>985</v>
      </c>
      <c r="B397" t="s">
        <v>14</v>
      </c>
      <c r="C397" t="s">
        <v>25</v>
      </c>
      <c r="D397" t="s">
        <v>16</v>
      </c>
      <c r="E397">
        <v>6</v>
      </c>
      <c r="F397">
        <f>MAX(-1,3-Tableau1[[#This Row],[Nb possédé (digital)]])</f>
        <v>-1</v>
      </c>
      <c r="G397">
        <v>6</v>
      </c>
      <c r="H397">
        <f>MAX(-1,3-Tableau1[[#This Row],[Possédé (physique)]])</f>
        <v>-1</v>
      </c>
      <c r="I397" t="str">
        <f>IF(Tableau1[[#This Row],[Manque (physique)]]&gt;Tableau1[[#This Row],[Manque (digital)]],"POD",IF(Tableau1[[#This Row],[Manque (digital)]]&gt;Tableau1[[#This Row],[Manque (physique)]],"MarketPlace",""))</f>
        <v/>
      </c>
      <c r="J397" t="s">
        <v>30</v>
      </c>
      <c r="K397" t="s">
        <v>63</v>
      </c>
      <c r="L397" t="s">
        <v>19</v>
      </c>
      <c r="M397" t="s">
        <v>19</v>
      </c>
      <c r="N397" t="s">
        <v>19</v>
      </c>
      <c r="O397" t="s">
        <v>19</v>
      </c>
      <c r="P397" t="s">
        <v>19</v>
      </c>
    </row>
    <row r="398" spans="1:17" hidden="1" x14ac:dyDescent="0.25">
      <c r="A398" t="s">
        <v>424</v>
      </c>
      <c r="B398" t="s">
        <v>14</v>
      </c>
      <c r="C398" t="s">
        <v>25</v>
      </c>
      <c r="D398" t="s">
        <v>16</v>
      </c>
      <c r="E398">
        <v>6</v>
      </c>
      <c r="F398">
        <f>MAX(-1,3-Tableau1[[#This Row],[Nb possédé (digital)]])</f>
        <v>-1</v>
      </c>
      <c r="G398">
        <v>6</v>
      </c>
      <c r="H398">
        <f>MAX(-1,3-Tableau1[[#This Row],[Possédé (physique)]])</f>
        <v>-1</v>
      </c>
      <c r="I398" t="str">
        <f>IF(Tableau1[[#This Row],[Manque (physique)]]&gt;Tableau1[[#This Row],[Manque (digital)]],"POD",IF(Tableau1[[#This Row],[Manque (digital)]]&gt;Tableau1[[#This Row],[Manque (physique)]],"MarketPlace",""))</f>
        <v/>
      </c>
      <c r="J398" t="s">
        <v>30</v>
      </c>
      <c r="K398" t="s">
        <v>68</v>
      </c>
      <c r="L398" t="s">
        <v>23</v>
      </c>
      <c r="M398" t="s">
        <v>19</v>
      </c>
      <c r="N398" t="s">
        <v>19</v>
      </c>
      <c r="O398" t="s">
        <v>19</v>
      </c>
      <c r="P398" t="s">
        <v>19</v>
      </c>
      <c r="Q398" t="s">
        <v>215</v>
      </c>
    </row>
    <row r="399" spans="1:17" hidden="1" x14ac:dyDescent="0.25">
      <c r="A399" t="s">
        <v>489</v>
      </c>
      <c r="B399" t="s">
        <v>14</v>
      </c>
      <c r="C399" t="s">
        <v>25</v>
      </c>
      <c r="D399" t="s">
        <v>16</v>
      </c>
      <c r="E399">
        <v>5</v>
      </c>
      <c r="F399">
        <f>MAX(-1,3-Tableau1[[#This Row],[Nb possédé (digital)]])</f>
        <v>-1</v>
      </c>
      <c r="G399">
        <v>5</v>
      </c>
      <c r="H399">
        <f>MAX(-1,3-Tableau1[[#This Row],[Possédé (physique)]])</f>
        <v>-1</v>
      </c>
      <c r="I399" t="str">
        <f>IF(Tableau1[[#This Row],[Manque (physique)]]&gt;Tableau1[[#This Row],[Manque (digital)]],"POD",IF(Tableau1[[#This Row],[Manque (digital)]]&gt;Tableau1[[#This Row],[Manque (physique)]],"MarketPlace",""))</f>
        <v/>
      </c>
      <c r="J399" t="s">
        <v>30</v>
      </c>
      <c r="K399" t="s">
        <v>36</v>
      </c>
      <c r="L399" t="s">
        <v>23</v>
      </c>
      <c r="M399" t="s">
        <v>23</v>
      </c>
      <c r="N399" t="s">
        <v>20</v>
      </c>
      <c r="O399" t="s">
        <v>23</v>
      </c>
      <c r="P399" t="s">
        <v>20</v>
      </c>
      <c r="Q399" t="s">
        <v>490</v>
      </c>
    </row>
    <row r="400" spans="1:17" hidden="1" x14ac:dyDescent="0.25">
      <c r="A400" t="s">
        <v>603</v>
      </c>
      <c r="B400" t="s">
        <v>14</v>
      </c>
      <c r="C400" t="s">
        <v>25</v>
      </c>
      <c r="D400" t="s">
        <v>16</v>
      </c>
      <c r="E400">
        <v>8</v>
      </c>
      <c r="F400">
        <f>MAX(-1,3-Tableau1[[#This Row],[Nb possédé (digital)]])</f>
        <v>-1</v>
      </c>
      <c r="G400">
        <v>8</v>
      </c>
      <c r="H400">
        <f>MAX(-1,3-Tableau1[[#This Row],[Possédé (physique)]])</f>
        <v>-1</v>
      </c>
      <c r="I400" t="str">
        <f>IF(Tableau1[[#This Row],[Manque (physique)]]&gt;Tableau1[[#This Row],[Manque (digital)]],"POD",IF(Tableau1[[#This Row],[Manque (digital)]]&gt;Tableau1[[#This Row],[Manque (physique)]],"MarketPlace",""))</f>
        <v/>
      </c>
      <c r="J400" t="s">
        <v>30</v>
      </c>
      <c r="K400" t="s">
        <v>463</v>
      </c>
      <c r="L400" t="s">
        <v>23</v>
      </c>
      <c r="M400" t="s">
        <v>23</v>
      </c>
      <c r="N400" t="s">
        <v>19</v>
      </c>
      <c r="O400" t="s">
        <v>19</v>
      </c>
      <c r="P400" t="s">
        <v>19</v>
      </c>
      <c r="Q400" t="s">
        <v>604</v>
      </c>
    </row>
    <row r="401" spans="1:17" hidden="1" x14ac:dyDescent="0.25">
      <c r="A401" t="s">
        <v>906</v>
      </c>
      <c r="B401" t="s">
        <v>14</v>
      </c>
      <c r="C401" t="s">
        <v>25</v>
      </c>
      <c r="D401" t="s">
        <v>16</v>
      </c>
      <c r="E401">
        <v>5</v>
      </c>
      <c r="F401">
        <f>MAX(-1,3-Tableau1[[#This Row],[Nb possédé (digital)]])</f>
        <v>-1</v>
      </c>
      <c r="G401">
        <v>5</v>
      </c>
      <c r="H401">
        <f>MAX(-1,3-Tableau1[[#This Row],[Possédé (physique)]])</f>
        <v>-1</v>
      </c>
      <c r="I401" t="str">
        <f>IF(Tableau1[[#This Row],[Manque (physique)]]&gt;Tableau1[[#This Row],[Manque (digital)]],"POD",IF(Tableau1[[#This Row],[Manque (digital)]]&gt;Tableau1[[#This Row],[Manque (physique)]],"MarketPlace",""))</f>
        <v/>
      </c>
      <c r="J401" t="s">
        <v>30</v>
      </c>
      <c r="K401" t="s">
        <v>107</v>
      </c>
      <c r="L401" t="s">
        <v>23</v>
      </c>
      <c r="M401" t="s">
        <v>23</v>
      </c>
      <c r="N401" t="s">
        <v>19</v>
      </c>
      <c r="O401" t="s">
        <v>23</v>
      </c>
      <c r="P401" t="s">
        <v>23</v>
      </c>
      <c r="Q401" t="s">
        <v>907</v>
      </c>
    </row>
    <row r="402" spans="1:17" hidden="1" x14ac:dyDescent="0.25">
      <c r="A402" t="s">
        <v>982</v>
      </c>
      <c r="B402" t="s">
        <v>14</v>
      </c>
      <c r="C402" t="s">
        <v>25</v>
      </c>
      <c r="D402" t="s">
        <v>16</v>
      </c>
      <c r="E402">
        <v>5</v>
      </c>
      <c r="F402">
        <f>MAX(-1,3-Tableau1[[#This Row],[Nb possédé (digital)]])</f>
        <v>-1</v>
      </c>
      <c r="G402">
        <v>5</v>
      </c>
      <c r="H402">
        <f>MAX(-1,3-Tableau1[[#This Row],[Possédé (physique)]])</f>
        <v>-1</v>
      </c>
      <c r="I402" t="str">
        <f>IF(Tableau1[[#This Row],[Manque (physique)]]&gt;Tableau1[[#This Row],[Manque (digital)]],"POD",IF(Tableau1[[#This Row],[Manque (digital)]]&gt;Tableau1[[#This Row],[Manque (physique)]],"MarketPlace",""))</f>
        <v/>
      </c>
      <c r="J402" t="s">
        <v>17</v>
      </c>
      <c r="K402" t="s">
        <v>153</v>
      </c>
      <c r="L402" t="s">
        <v>23</v>
      </c>
      <c r="M402" t="s">
        <v>23</v>
      </c>
      <c r="Q402" t="s">
        <v>983</v>
      </c>
    </row>
    <row r="403" spans="1:17" hidden="1" x14ac:dyDescent="0.25">
      <c r="A403" t="s">
        <v>1069</v>
      </c>
      <c r="B403" t="s">
        <v>14</v>
      </c>
      <c r="C403" t="s">
        <v>25</v>
      </c>
      <c r="D403" t="s">
        <v>16</v>
      </c>
      <c r="E403">
        <v>7</v>
      </c>
      <c r="F403">
        <f>MAX(-1,3-Tableau1[[#This Row],[Nb possédé (digital)]])</f>
        <v>-1</v>
      </c>
      <c r="G403">
        <v>7</v>
      </c>
      <c r="H403">
        <f>MAX(-1,3-Tableau1[[#This Row],[Possédé (physique)]])</f>
        <v>-1</v>
      </c>
      <c r="I403" t="str">
        <f>IF(Tableau1[[#This Row],[Manque (physique)]]&gt;Tableau1[[#This Row],[Manque (digital)]],"POD",IF(Tableau1[[#This Row],[Manque (digital)]]&gt;Tableau1[[#This Row],[Manque (physique)]],"MarketPlace",""))</f>
        <v/>
      </c>
      <c r="J403" t="s">
        <v>30</v>
      </c>
      <c r="K403" t="s">
        <v>335</v>
      </c>
      <c r="L403" t="s">
        <v>23</v>
      </c>
      <c r="M403" t="s">
        <v>23</v>
      </c>
      <c r="N403" t="s">
        <v>23</v>
      </c>
      <c r="O403" t="s">
        <v>23</v>
      </c>
      <c r="P403" t="s">
        <v>19</v>
      </c>
      <c r="Q403" t="s">
        <v>1070</v>
      </c>
    </row>
    <row r="404" spans="1:17" hidden="1" x14ac:dyDescent="0.25">
      <c r="A404" t="s">
        <v>1086</v>
      </c>
      <c r="B404" t="s">
        <v>14</v>
      </c>
      <c r="C404" t="s">
        <v>25</v>
      </c>
      <c r="D404" t="s">
        <v>16</v>
      </c>
      <c r="E404">
        <v>5</v>
      </c>
      <c r="F404">
        <f>MAX(-1,3-Tableau1[[#This Row],[Nb possédé (digital)]])</f>
        <v>-1</v>
      </c>
      <c r="G404">
        <v>5</v>
      </c>
      <c r="H404">
        <f>MAX(-1,3-Tableau1[[#This Row],[Possédé (physique)]])</f>
        <v>-1</v>
      </c>
      <c r="I404" t="str">
        <f>IF(Tableau1[[#This Row],[Manque (physique)]]&gt;Tableau1[[#This Row],[Manque (digital)]],"POD",IF(Tableau1[[#This Row],[Manque (digital)]]&gt;Tableau1[[#This Row],[Manque (physique)]],"MarketPlace",""))</f>
        <v/>
      </c>
      <c r="J404" t="s">
        <v>217</v>
      </c>
      <c r="K404" t="s">
        <v>218</v>
      </c>
      <c r="L404" t="s">
        <v>23</v>
      </c>
      <c r="M404" t="s">
        <v>23</v>
      </c>
      <c r="Q404" t="s">
        <v>1087</v>
      </c>
    </row>
    <row r="405" spans="1:17" hidden="1" x14ac:dyDescent="0.25">
      <c r="A405" t="s">
        <v>592</v>
      </c>
      <c r="B405" t="s">
        <v>14</v>
      </c>
      <c r="C405" t="s">
        <v>25</v>
      </c>
      <c r="D405" t="s">
        <v>16</v>
      </c>
      <c r="E405">
        <v>8</v>
      </c>
      <c r="F405">
        <f>MAX(-1,3-Tableau1[[#This Row],[Nb possédé (digital)]])</f>
        <v>-1</v>
      </c>
      <c r="G405">
        <v>8</v>
      </c>
      <c r="H405">
        <f>MAX(-1,3-Tableau1[[#This Row],[Possédé (physique)]])</f>
        <v>-1</v>
      </c>
      <c r="I405" t="str">
        <f>IF(Tableau1[[#This Row],[Manque (physique)]]&gt;Tableau1[[#This Row],[Manque (digital)]],"POD",IF(Tableau1[[#This Row],[Manque (digital)]]&gt;Tableau1[[#This Row],[Manque (physique)]],"MarketPlace",""))</f>
        <v/>
      </c>
      <c r="J405" t="s">
        <v>30</v>
      </c>
      <c r="K405" t="s">
        <v>36</v>
      </c>
      <c r="L405" t="s">
        <v>52</v>
      </c>
      <c r="M405" t="s">
        <v>52</v>
      </c>
      <c r="N405" t="s">
        <v>19</v>
      </c>
      <c r="O405" t="s">
        <v>19</v>
      </c>
      <c r="P405" t="s">
        <v>19</v>
      </c>
      <c r="Q405" t="s">
        <v>593</v>
      </c>
    </row>
    <row r="406" spans="1:17" hidden="1" x14ac:dyDescent="0.25">
      <c r="A406" t="s">
        <v>686</v>
      </c>
      <c r="B406" t="s">
        <v>14</v>
      </c>
      <c r="C406" t="s">
        <v>25</v>
      </c>
      <c r="D406" t="s">
        <v>16</v>
      </c>
      <c r="E406">
        <v>7</v>
      </c>
      <c r="F406">
        <f>MAX(-1,3-Tableau1[[#This Row],[Nb possédé (digital)]])</f>
        <v>-1</v>
      </c>
      <c r="G406">
        <v>7</v>
      </c>
      <c r="H406">
        <f>MAX(-1,3-Tableau1[[#This Row],[Possédé (physique)]])</f>
        <v>-1</v>
      </c>
      <c r="I406" t="str">
        <f>IF(Tableau1[[#This Row],[Manque (physique)]]&gt;Tableau1[[#This Row],[Manque (digital)]],"POD",IF(Tableau1[[#This Row],[Manque (digital)]]&gt;Tableau1[[#This Row],[Manque (physique)]],"MarketPlace",""))</f>
        <v/>
      </c>
      <c r="J406" t="s">
        <v>30</v>
      </c>
      <c r="K406" t="s">
        <v>107</v>
      </c>
      <c r="L406" t="s">
        <v>52</v>
      </c>
      <c r="M406" t="s">
        <v>52</v>
      </c>
      <c r="N406" t="s">
        <v>52</v>
      </c>
      <c r="O406" t="s">
        <v>52</v>
      </c>
      <c r="P406" t="s">
        <v>52</v>
      </c>
      <c r="Q406" t="s">
        <v>687</v>
      </c>
    </row>
    <row r="407" spans="1:17" hidden="1" x14ac:dyDescent="0.25">
      <c r="A407" t="s">
        <v>922</v>
      </c>
      <c r="B407" t="s">
        <v>14</v>
      </c>
      <c r="C407" t="s">
        <v>25</v>
      </c>
      <c r="D407" t="s">
        <v>16</v>
      </c>
      <c r="E407">
        <v>6</v>
      </c>
      <c r="F407">
        <f>MAX(-1,3-Tableau1[[#This Row],[Nb possédé (digital)]])</f>
        <v>-1</v>
      </c>
      <c r="G407">
        <v>6</v>
      </c>
      <c r="H407">
        <f>MAX(-1,3-Tableau1[[#This Row],[Possédé (physique)]])</f>
        <v>-1</v>
      </c>
      <c r="I407" t="str">
        <f>IF(Tableau1[[#This Row],[Manque (physique)]]&gt;Tableau1[[#This Row],[Manque (digital)]],"POD",IF(Tableau1[[#This Row],[Manque (digital)]]&gt;Tableau1[[#This Row],[Manque (physique)]],"MarketPlace",""))</f>
        <v/>
      </c>
      <c r="J407" t="s">
        <v>30</v>
      </c>
      <c r="K407" t="s">
        <v>335</v>
      </c>
      <c r="L407" t="s">
        <v>52</v>
      </c>
      <c r="M407" t="s">
        <v>52</v>
      </c>
      <c r="N407" t="s">
        <v>52</v>
      </c>
      <c r="O407" t="s">
        <v>52</v>
      </c>
      <c r="P407" t="s">
        <v>52</v>
      </c>
      <c r="Q407" t="s">
        <v>923</v>
      </c>
    </row>
    <row r="408" spans="1:17" hidden="1" x14ac:dyDescent="0.25">
      <c r="A408" t="s">
        <v>957</v>
      </c>
      <c r="B408" t="s">
        <v>14</v>
      </c>
      <c r="C408" t="s">
        <v>25</v>
      </c>
      <c r="D408" t="s">
        <v>16</v>
      </c>
      <c r="E408">
        <v>6</v>
      </c>
      <c r="F408">
        <f>MAX(-1,3-Tableau1[[#This Row],[Nb possédé (digital)]])</f>
        <v>-1</v>
      </c>
      <c r="G408">
        <v>6</v>
      </c>
      <c r="H408">
        <f>MAX(-1,3-Tableau1[[#This Row],[Possédé (physique)]])</f>
        <v>-1</v>
      </c>
      <c r="I408" t="str">
        <f>IF(Tableau1[[#This Row],[Manque (physique)]]&gt;Tableau1[[#This Row],[Manque (digital)]],"POD",IF(Tableau1[[#This Row],[Manque (digital)]]&gt;Tableau1[[#This Row],[Manque (physique)]],"MarketPlace",""))</f>
        <v/>
      </c>
      <c r="J408" t="s">
        <v>30</v>
      </c>
      <c r="K408" t="s">
        <v>107</v>
      </c>
      <c r="L408" t="s">
        <v>52</v>
      </c>
      <c r="M408" t="s">
        <v>52</v>
      </c>
      <c r="N408" t="s">
        <v>23</v>
      </c>
      <c r="O408" t="s">
        <v>19</v>
      </c>
      <c r="P408" t="s">
        <v>19</v>
      </c>
      <c r="Q408" t="s">
        <v>958</v>
      </c>
    </row>
    <row r="409" spans="1:17" hidden="1" x14ac:dyDescent="0.25">
      <c r="A409" t="s">
        <v>91</v>
      </c>
      <c r="B409" t="s">
        <v>14</v>
      </c>
      <c r="C409" t="s">
        <v>25</v>
      </c>
      <c r="D409" t="s">
        <v>16</v>
      </c>
      <c r="E409">
        <v>7</v>
      </c>
      <c r="F409">
        <f>MAX(-1,3-Tableau1[[#This Row],[Nb possédé (digital)]])</f>
        <v>-1</v>
      </c>
      <c r="G409">
        <v>7</v>
      </c>
      <c r="H409">
        <f>MAX(-1,3-Tableau1[[#This Row],[Possédé (physique)]])</f>
        <v>-1</v>
      </c>
      <c r="I409" t="str">
        <f>IF(Tableau1[[#This Row],[Manque (physique)]]&gt;Tableau1[[#This Row],[Manque (digital)]],"POD",IF(Tableau1[[#This Row],[Manque (digital)]]&gt;Tableau1[[#This Row],[Manque (physique)]],"MarketPlace",""))</f>
        <v/>
      </c>
      <c r="J409" t="s">
        <v>30</v>
      </c>
      <c r="K409" t="s">
        <v>51</v>
      </c>
      <c r="L409" t="s">
        <v>37</v>
      </c>
      <c r="M409" t="s">
        <v>37</v>
      </c>
      <c r="N409" t="s">
        <v>23</v>
      </c>
      <c r="O409" t="s">
        <v>52</v>
      </c>
      <c r="P409" t="s">
        <v>23</v>
      </c>
      <c r="Q409" t="s">
        <v>92</v>
      </c>
    </row>
    <row r="410" spans="1:17" hidden="1" x14ac:dyDescent="0.25">
      <c r="A410" t="s">
        <v>597</v>
      </c>
      <c r="B410" t="s">
        <v>14</v>
      </c>
      <c r="C410" t="s">
        <v>25</v>
      </c>
      <c r="D410" t="s">
        <v>16</v>
      </c>
      <c r="E410">
        <v>5</v>
      </c>
      <c r="F410">
        <f>MAX(-1,3-Tableau1[[#This Row],[Nb possédé (digital)]])</f>
        <v>-1</v>
      </c>
      <c r="G410">
        <v>5</v>
      </c>
      <c r="H410">
        <f>MAX(-1,3-Tableau1[[#This Row],[Possédé (physique)]])</f>
        <v>-1</v>
      </c>
      <c r="I410" t="str">
        <f>IF(Tableau1[[#This Row],[Manque (physique)]]&gt;Tableau1[[#This Row],[Manque (digital)]],"POD",IF(Tableau1[[#This Row],[Manque (digital)]]&gt;Tableau1[[#This Row],[Manque (physique)]],"MarketPlace",""))</f>
        <v/>
      </c>
      <c r="J410" t="s">
        <v>17</v>
      </c>
      <c r="K410" t="s">
        <v>201</v>
      </c>
      <c r="L410" t="s">
        <v>37</v>
      </c>
      <c r="M410" t="s">
        <v>37</v>
      </c>
      <c r="Q410" t="s">
        <v>598</v>
      </c>
    </row>
    <row r="411" spans="1:17" hidden="1" x14ac:dyDescent="0.25">
      <c r="A411" t="s">
        <v>709</v>
      </c>
      <c r="B411" t="s">
        <v>14</v>
      </c>
      <c r="C411" t="s">
        <v>25</v>
      </c>
      <c r="D411" t="s">
        <v>16</v>
      </c>
      <c r="E411">
        <v>5</v>
      </c>
      <c r="F411">
        <f>MAX(-1,3-Tableau1[[#This Row],[Nb possédé (digital)]])</f>
        <v>-1</v>
      </c>
      <c r="G411">
        <v>5</v>
      </c>
      <c r="H411">
        <f>MAX(-1,3-Tableau1[[#This Row],[Possédé (physique)]])</f>
        <v>-1</v>
      </c>
      <c r="I411" t="str">
        <f>IF(Tableau1[[#This Row],[Manque (physique)]]&gt;Tableau1[[#This Row],[Manque (digital)]],"POD",IF(Tableau1[[#This Row],[Manque (digital)]]&gt;Tableau1[[#This Row],[Manque (physique)]],"MarketPlace",""))</f>
        <v/>
      </c>
      <c r="J411" t="s">
        <v>217</v>
      </c>
      <c r="K411" t="s">
        <v>218</v>
      </c>
      <c r="L411" t="s">
        <v>37</v>
      </c>
      <c r="M411" t="s">
        <v>37</v>
      </c>
      <c r="Q411" t="s">
        <v>710</v>
      </c>
    </row>
    <row r="412" spans="1:17" hidden="1" x14ac:dyDescent="0.25">
      <c r="A412" t="s">
        <v>841</v>
      </c>
      <c r="B412" t="s">
        <v>14</v>
      </c>
      <c r="C412" t="s">
        <v>25</v>
      </c>
      <c r="D412" t="s">
        <v>16</v>
      </c>
      <c r="E412">
        <v>5</v>
      </c>
      <c r="F412">
        <f>MAX(-1,3-Tableau1[[#This Row],[Nb possédé (digital)]])</f>
        <v>-1</v>
      </c>
      <c r="G412">
        <v>5</v>
      </c>
      <c r="H412">
        <f>MAX(-1,3-Tableau1[[#This Row],[Possédé (physique)]])</f>
        <v>-1</v>
      </c>
      <c r="I412" t="str">
        <f>IF(Tableau1[[#This Row],[Manque (physique)]]&gt;Tableau1[[#This Row],[Manque (digital)]],"POD",IF(Tableau1[[#This Row],[Manque (digital)]]&gt;Tableau1[[#This Row],[Manque (physique)]],"MarketPlace",""))</f>
        <v/>
      </c>
      <c r="J412" t="s">
        <v>17</v>
      </c>
      <c r="K412" t="s">
        <v>201</v>
      </c>
      <c r="L412" t="s">
        <v>37</v>
      </c>
      <c r="M412" t="s">
        <v>39</v>
      </c>
      <c r="Q412" t="s">
        <v>842</v>
      </c>
    </row>
    <row r="413" spans="1:17" hidden="1" x14ac:dyDescent="0.25">
      <c r="A413" t="s">
        <v>514</v>
      </c>
      <c r="B413" t="s">
        <v>14</v>
      </c>
      <c r="C413" t="s">
        <v>25</v>
      </c>
      <c r="D413" t="s">
        <v>16</v>
      </c>
      <c r="E413">
        <v>6</v>
      </c>
      <c r="F413">
        <f>MAX(-1,3-Tableau1[[#This Row],[Nb possédé (digital)]])</f>
        <v>-1</v>
      </c>
      <c r="G413">
        <v>6</v>
      </c>
      <c r="H413">
        <f>MAX(-1,3-Tableau1[[#This Row],[Possédé (physique)]])</f>
        <v>-1</v>
      </c>
      <c r="I413" t="str">
        <f>IF(Tableau1[[#This Row],[Manque (physique)]]&gt;Tableau1[[#This Row],[Manque (digital)]],"POD",IF(Tableau1[[#This Row],[Manque (digital)]]&gt;Tableau1[[#This Row],[Manque (physique)]],"MarketPlace",""))</f>
        <v/>
      </c>
      <c r="J413" t="s">
        <v>217</v>
      </c>
      <c r="K413" t="s">
        <v>218</v>
      </c>
      <c r="L413" t="s">
        <v>39</v>
      </c>
      <c r="M413" t="s">
        <v>39</v>
      </c>
      <c r="Q413" t="s">
        <v>515</v>
      </c>
    </row>
    <row r="414" spans="1:17" hidden="1" x14ac:dyDescent="0.25">
      <c r="A414" t="s">
        <v>587</v>
      </c>
      <c r="B414" t="s">
        <v>14</v>
      </c>
      <c r="C414" t="s">
        <v>25</v>
      </c>
      <c r="D414" t="s">
        <v>16</v>
      </c>
      <c r="E414">
        <v>6</v>
      </c>
      <c r="F414">
        <f>MAX(-1,3-Tableau1[[#This Row],[Nb possédé (digital)]])</f>
        <v>-1</v>
      </c>
      <c r="G414">
        <v>6</v>
      </c>
      <c r="H414">
        <f>MAX(-1,3-Tableau1[[#This Row],[Possédé (physique)]])</f>
        <v>-1</v>
      </c>
      <c r="I414" t="str">
        <f>IF(Tableau1[[#This Row],[Manque (physique)]]&gt;Tableau1[[#This Row],[Manque (digital)]],"POD",IF(Tableau1[[#This Row],[Manque (digital)]]&gt;Tableau1[[#This Row],[Manque (physique)]],"MarketPlace",""))</f>
        <v/>
      </c>
      <c r="J414" t="s">
        <v>30</v>
      </c>
      <c r="K414" t="s">
        <v>335</v>
      </c>
      <c r="L414" t="s">
        <v>39</v>
      </c>
      <c r="M414" t="s">
        <v>39</v>
      </c>
      <c r="N414" t="s">
        <v>52</v>
      </c>
      <c r="O414" t="s">
        <v>52</v>
      </c>
      <c r="P414" t="s">
        <v>52</v>
      </c>
      <c r="Q414" t="s">
        <v>588</v>
      </c>
    </row>
    <row r="415" spans="1:17" hidden="1" x14ac:dyDescent="0.25">
      <c r="A415" t="s">
        <v>115</v>
      </c>
      <c r="B415" t="s">
        <v>14</v>
      </c>
      <c r="C415" t="s">
        <v>25</v>
      </c>
      <c r="D415" t="s">
        <v>58</v>
      </c>
      <c r="E415">
        <v>3</v>
      </c>
      <c r="F415">
        <f>MAX(-1,3-Tableau1[[#This Row],[Nb possédé (digital)]])</f>
        <v>0</v>
      </c>
      <c r="G415">
        <v>3</v>
      </c>
      <c r="H415">
        <f>MAX(-1,3-Tableau1[[#This Row],[Possédé (physique)]])</f>
        <v>0</v>
      </c>
      <c r="I415" t="str">
        <f>IF(Tableau1[[#This Row],[Manque (physique)]]&gt;Tableau1[[#This Row],[Manque (digital)]],"POD",IF(Tableau1[[#This Row],[Manque (digital)]]&gt;Tableau1[[#This Row],[Manque (physique)]],"MarketPlace",""))</f>
        <v/>
      </c>
      <c r="J415" t="s">
        <v>116</v>
      </c>
      <c r="K415" t="s">
        <v>117</v>
      </c>
      <c r="L415" t="s">
        <v>20</v>
      </c>
      <c r="M415" t="s">
        <v>20</v>
      </c>
      <c r="Q415" t="s">
        <v>118</v>
      </c>
    </row>
    <row r="416" spans="1:17" hidden="1" x14ac:dyDescent="0.25">
      <c r="A416" t="s">
        <v>298</v>
      </c>
      <c r="B416" t="s">
        <v>14</v>
      </c>
      <c r="C416" t="s">
        <v>25</v>
      </c>
      <c r="D416" t="s">
        <v>58</v>
      </c>
      <c r="E416">
        <v>3</v>
      </c>
      <c r="F416">
        <f>MAX(-1,3-Tableau1[[#This Row],[Nb possédé (digital)]])</f>
        <v>0</v>
      </c>
      <c r="G416">
        <v>3</v>
      </c>
      <c r="H416">
        <f>MAX(-1,3-Tableau1[[#This Row],[Possédé (physique)]])</f>
        <v>0</v>
      </c>
      <c r="I416" t="str">
        <f>IF(Tableau1[[#This Row],[Manque (physique)]]&gt;Tableau1[[#This Row],[Manque (digital)]],"POD",IF(Tableau1[[#This Row],[Manque (digital)]]&gt;Tableau1[[#This Row],[Manque (physique)]],"MarketPlace",""))</f>
        <v/>
      </c>
      <c r="J416" t="s">
        <v>17</v>
      </c>
      <c r="K416" t="s">
        <v>189</v>
      </c>
      <c r="L416" t="s">
        <v>20</v>
      </c>
      <c r="M416" t="s">
        <v>20</v>
      </c>
      <c r="Q416" t="s">
        <v>299</v>
      </c>
    </row>
    <row r="417" spans="1:17" hidden="1" x14ac:dyDescent="0.25">
      <c r="A417" t="s">
        <v>554</v>
      </c>
      <c r="B417" t="s">
        <v>14</v>
      </c>
      <c r="C417" t="s">
        <v>25</v>
      </c>
      <c r="D417" t="s">
        <v>58</v>
      </c>
      <c r="E417">
        <v>4</v>
      </c>
      <c r="F417">
        <f>MAX(-1,3-Tableau1[[#This Row],[Nb possédé (digital)]])</f>
        <v>-1</v>
      </c>
      <c r="G417">
        <v>4</v>
      </c>
      <c r="H417">
        <f>MAX(-1,3-Tableau1[[#This Row],[Possédé (physique)]])</f>
        <v>-1</v>
      </c>
      <c r="I417" t="str">
        <f>IF(Tableau1[[#This Row],[Manque (physique)]]&gt;Tableau1[[#This Row],[Manque (digital)]],"POD",IF(Tableau1[[#This Row],[Manque (digital)]]&gt;Tableau1[[#This Row],[Manque (physique)]],"MarketPlace",""))</f>
        <v/>
      </c>
      <c r="J417" t="s">
        <v>17</v>
      </c>
      <c r="K417" t="s">
        <v>153</v>
      </c>
      <c r="L417" t="s">
        <v>20</v>
      </c>
      <c r="M417" t="s">
        <v>23</v>
      </c>
      <c r="Q417" t="s">
        <v>555</v>
      </c>
    </row>
    <row r="418" spans="1:17" hidden="1" x14ac:dyDescent="0.25">
      <c r="A418" t="s">
        <v>232</v>
      </c>
      <c r="B418" t="s">
        <v>14</v>
      </c>
      <c r="C418" t="s">
        <v>25</v>
      </c>
      <c r="D418" t="s">
        <v>58</v>
      </c>
      <c r="E418">
        <v>4</v>
      </c>
      <c r="F418">
        <f>MAX(-1,3-Tableau1[[#This Row],[Nb possédé (digital)]])</f>
        <v>-1</v>
      </c>
      <c r="G418">
        <v>4</v>
      </c>
      <c r="H418">
        <f>MAX(-1,3-Tableau1[[#This Row],[Possédé (physique)]])</f>
        <v>-1</v>
      </c>
      <c r="I418" t="str">
        <f>IF(Tableau1[[#This Row],[Manque (physique)]]&gt;Tableau1[[#This Row],[Manque (digital)]],"POD",IF(Tableau1[[#This Row],[Manque (digital)]]&gt;Tableau1[[#This Row],[Manque (physique)]],"MarketPlace",""))</f>
        <v/>
      </c>
      <c r="J418" t="s">
        <v>17</v>
      </c>
      <c r="K418" t="s">
        <v>153</v>
      </c>
      <c r="L418" t="s">
        <v>19</v>
      </c>
      <c r="M418" t="s">
        <v>19</v>
      </c>
      <c r="Q418" t="s">
        <v>233</v>
      </c>
    </row>
    <row r="419" spans="1:17" hidden="1" x14ac:dyDescent="0.25">
      <c r="A419" t="s">
        <v>748</v>
      </c>
      <c r="B419" t="s">
        <v>14</v>
      </c>
      <c r="C419" t="s">
        <v>25</v>
      </c>
      <c r="D419" t="s">
        <v>58</v>
      </c>
      <c r="E419">
        <v>5</v>
      </c>
      <c r="F419">
        <f>MAX(-1,3-Tableau1[[#This Row],[Nb possédé (digital)]])</f>
        <v>-1</v>
      </c>
      <c r="G419">
        <v>5</v>
      </c>
      <c r="H419">
        <f>MAX(-1,3-Tableau1[[#This Row],[Possédé (physique)]])</f>
        <v>-1</v>
      </c>
      <c r="I419" t="str">
        <f>IF(Tableau1[[#This Row],[Manque (physique)]]&gt;Tableau1[[#This Row],[Manque (digital)]],"POD",IF(Tableau1[[#This Row],[Manque (digital)]]&gt;Tableau1[[#This Row],[Manque (physique)]],"MarketPlace",""))</f>
        <v/>
      </c>
      <c r="J419" t="s">
        <v>30</v>
      </c>
      <c r="K419" t="s">
        <v>79</v>
      </c>
      <c r="L419" t="s">
        <v>19</v>
      </c>
      <c r="M419" t="s">
        <v>19</v>
      </c>
      <c r="N419" t="s">
        <v>19</v>
      </c>
      <c r="O419" t="s">
        <v>19</v>
      </c>
      <c r="P419" t="s">
        <v>89</v>
      </c>
      <c r="Q419" t="s">
        <v>749</v>
      </c>
    </row>
    <row r="420" spans="1:17" hidden="1" x14ac:dyDescent="0.25">
      <c r="A420" t="s">
        <v>942</v>
      </c>
      <c r="B420" t="s">
        <v>14</v>
      </c>
      <c r="C420" t="s">
        <v>25</v>
      </c>
      <c r="D420" t="s">
        <v>58</v>
      </c>
      <c r="E420">
        <v>3</v>
      </c>
      <c r="F420">
        <f>MAX(-1,3-Tableau1[[#This Row],[Nb possédé (digital)]])</f>
        <v>0</v>
      </c>
      <c r="G420">
        <v>3</v>
      </c>
      <c r="H420">
        <f>MAX(-1,3-Tableau1[[#This Row],[Possédé (physique)]])</f>
        <v>0</v>
      </c>
      <c r="I420" t="str">
        <f>IF(Tableau1[[#This Row],[Manque (physique)]]&gt;Tableau1[[#This Row],[Manque (digital)]],"POD",IF(Tableau1[[#This Row],[Manque (digital)]]&gt;Tableau1[[#This Row],[Manque (physique)]],"MarketPlace",""))</f>
        <v/>
      </c>
      <c r="J420" t="s">
        <v>17</v>
      </c>
      <c r="K420" t="s">
        <v>201</v>
      </c>
      <c r="L420" t="s">
        <v>19</v>
      </c>
      <c r="M420" t="s">
        <v>19</v>
      </c>
      <c r="Q420" t="s">
        <v>943</v>
      </c>
    </row>
    <row r="421" spans="1:17" hidden="1" x14ac:dyDescent="0.25">
      <c r="A421" t="s">
        <v>1025</v>
      </c>
      <c r="B421" t="s">
        <v>14</v>
      </c>
      <c r="C421" t="s">
        <v>25</v>
      </c>
      <c r="D421" t="s">
        <v>58</v>
      </c>
      <c r="E421">
        <v>4</v>
      </c>
      <c r="F421">
        <f>MAX(-1,3-Tableau1[[#This Row],[Nb possédé (digital)]])</f>
        <v>-1</v>
      </c>
      <c r="G421">
        <v>4</v>
      </c>
      <c r="H421">
        <f>MAX(-1,3-Tableau1[[#This Row],[Possédé (physique)]])</f>
        <v>-1</v>
      </c>
      <c r="I421" t="str">
        <f>IF(Tableau1[[#This Row],[Manque (physique)]]&gt;Tableau1[[#This Row],[Manque (digital)]],"POD",IF(Tableau1[[#This Row],[Manque (digital)]]&gt;Tableau1[[#This Row],[Manque (physique)]],"MarketPlace",""))</f>
        <v/>
      </c>
      <c r="J421" t="s">
        <v>30</v>
      </c>
      <c r="K421" t="s">
        <v>1026</v>
      </c>
      <c r="L421" t="s">
        <v>19</v>
      </c>
      <c r="M421" t="s">
        <v>19</v>
      </c>
      <c r="N421" t="s">
        <v>20</v>
      </c>
      <c r="O421" t="s">
        <v>20</v>
      </c>
      <c r="P421" t="s">
        <v>19</v>
      </c>
      <c r="Q421" t="s">
        <v>1027</v>
      </c>
    </row>
    <row r="422" spans="1:17" hidden="1" x14ac:dyDescent="0.25">
      <c r="A422" t="s">
        <v>1106</v>
      </c>
      <c r="B422" t="s">
        <v>14</v>
      </c>
      <c r="C422" t="s">
        <v>25</v>
      </c>
      <c r="D422" t="s">
        <v>58</v>
      </c>
      <c r="E422">
        <v>3</v>
      </c>
      <c r="F422">
        <f>MAX(-1,3-Tableau1[[#This Row],[Nb possédé (digital)]])</f>
        <v>0</v>
      </c>
      <c r="G422">
        <v>3</v>
      </c>
      <c r="H422">
        <f>MAX(-1,3-Tableau1[[#This Row],[Possédé (physique)]])</f>
        <v>0</v>
      </c>
      <c r="I422" t="str">
        <f>IF(Tableau1[[#This Row],[Manque (physique)]]&gt;Tableau1[[#This Row],[Manque (digital)]],"POD",IF(Tableau1[[#This Row],[Manque (digital)]]&gt;Tableau1[[#This Row],[Manque (physique)]],"MarketPlace",""))</f>
        <v/>
      </c>
      <c r="J422" t="s">
        <v>30</v>
      </c>
      <c r="K422" t="s">
        <v>107</v>
      </c>
      <c r="L422" t="s">
        <v>19</v>
      </c>
      <c r="M422" t="s">
        <v>19</v>
      </c>
      <c r="N422" t="s">
        <v>19</v>
      </c>
      <c r="O422" t="s">
        <v>19</v>
      </c>
      <c r="P422" t="s">
        <v>19</v>
      </c>
      <c r="Q422" t="s">
        <v>1107</v>
      </c>
    </row>
    <row r="423" spans="1:17" hidden="1" x14ac:dyDescent="0.25">
      <c r="A423" t="s">
        <v>382</v>
      </c>
      <c r="B423" t="s">
        <v>14</v>
      </c>
      <c r="C423" t="s">
        <v>25</v>
      </c>
      <c r="D423" t="s">
        <v>58</v>
      </c>
      <c r="E423">
        <v>3</v>
      </c>
      <c r="F423">
        <f>MAX(-1,3-Tableau1[[#This Row],[Nb possédé (digital)]])</f>
        <v>0</v>
      </c>
      <c r="G423">
        <v>3</v>
      </c>
      <c r="H423">
        <f>MAX(-1,3-Tableau1[[#This Row],[Possédé (physique)]])</f>
        <v>0</v>
      </c>
      <c r="I423" t="str">
        <f>IF(Tableau1[[#This Row],[Manque (physique)]]&gt;Tableau1[[#This Row],[Manque (digital)]],"POD",IF(Tableau1[[#This Row],[Manque (digital)]]&gt;Tableau1[[#This Row],[Manque (physique)]],"MarketPlace",""))</f>
        <v/>
      </c>
      <c r="J423" t="s">
        <v>30</v>
      </c>
      <c r="K423" t="s">
        <v>107</v>
      </c>
      <c r="L423" t="s">
        <v>23</v>
      </c>
      <c r="M423" t="s">
        <v>23</v>
      </c>
      <c r="N423" t="s">
        <v>23</v>
      </c>
      <c r="O423" t="s">
        <v>23</v>
      </c>
      <c r="P423" t="s">
        <v>23</v>
      </c>
      <c r="Q423" t="s">
        <v>238</v>
      </c>
    </row>
    <row r="424" spans="1:17" hidden="1" x14ac:dyDescent="0.25">
      <c r="A424" t="s">
        <v>664</v>
      </c>
      <c r="B424" t="s">
        <v>14</v>
      </c>
      <c r="C424" t="s">
        <v>25</v>
      </c>
      <c r="D424" t="s">
        <v>58</v>
      </c>
      <c r="E424">
        <v>4</v>
      </c>
      <c r="F424">
        <f>MAX(-1,3-Tableau1[[#This Row],[Nb possédé (digital)]])</f>
        <v>-1</v>
      </c>
      <c r="G424">
        <v>4</v>
      </c>
      <c r="H424">
        <f>MAX(-1,3-Tableau1[[#This Row],[Possédé (physique)]])</f>
        <v>-1</v>
      </c>
      <c r="I424" t="str">
        <f>IF(Tableau1[[#This Row],[Manque (physique)]]&gt;Tableau1[[#This Row],[Manque (digital)]],"POD",IF(Tableau1[[#This Row],[Manque (digital)]]&gt;Tableau1[[#This Row],[Manque (physique)]],"MarketPlace",""))</f>
        <v/>
      </c>
      <c r="J424" t="s">
        <v>268</v>
      </c>
      <c r="K424" t="s">
        <v>269</v>
      </c>
      <c r="L424" t="s">
        <v>23</v>
      </c>
      <c r="M424" t="s">
        <v>23</v>
      </c>
      <c r="Q424" t="s">
        <v>665</v>
      </c>
    </row>
    <row r="425" spans="1:17" hidden="1" x14ac:dyDescent="0.25">
      <c r="A425" t="s">
        <v>1022</v>
      </c>
      <c r="B425" t="s">
        <v>14</v>
      </c>
      <c r="C425" t="s">
        <v>25</v>
      </c>
      <c r="D425" t="s">
        <v>58</v>
      </c>
      <c r="E425">
        <v>4</v>
      </c>
      <c r="F425">
        <f>MAX(-1,3-Tableau1[[#This Row],[Nb possédé (digital)]])</f>
        <v>-1</v>
      </c>
      <c r="G425">
        <v>4</v>
      </c>
      <c r="H425">
        <f>MAX(-1,3-Tableau1[[#This Row],[Possédé (physique)]])</f>
        <v>-1</v>
      </c>
      <c r="I425" t="str">
        <f>IF(Tableau1[[#This Row],[Manque (physique)]]&gt;Tableau1[[#This Row],[Manque (digital)]],"POD",IF(Tableau1[[#This Row],[Manque (digital)]]&gt;Tableau1[[#This Row],[Manque (physique)]],"MarketPlace",""))</f>
        <v/>
      </c>
      <c r="J425" t="s">
        <v>30</v>
      </c>
      <c r="K425" t="s">
        <v>36</v>
      </c>
      <c r="L425" t="s">
        <v>23</v>
      </c>
      <c r="M425" t="s">
        <v>23</v>
      </c>
      <c r="N425" t="s">
        <v>52</v>
      </c>
      <c r="O425" t="s">
        <v>52</v>
      </c>
      <c r="P425" t="s">
        <v>52</v>
      </c>
      <c r="Q425" t="s">
        <v>1023</v>
      </c>
    </row>
    <row r="426" spans="1:17" hidden="1" x14ac:dyDescent="0.25">
      <c r="A426" t="s">
        <v>334</v>
      </c>
      <c r="B426" t="s">
        <v>14</v>
      </c>
      <c r="C426" t="s">
        <v>25</v>
      </c>
      <c r="D426" t="s">
        <v>58</v>
      </c>
      <c r="E426">
        <v>4</v>
      </c>
      <c r="F426">
        <f>MAX(-1,3-Tableau1[[#This Row],[Nb possédé (digital)]])</f>
        <v>-1</v>
      </c>
      <c r="G426">
        <v>4</v>
      </c>
      <c r="H426">
        <f>MAX(-1,3-Tableau1[[#This Row],[Possédé (physique)]])</f>
        <v>-1</v>
      </c>
      <c r="I426" t="str">
        <f>IF(Tableau1[[#This Row],[Manque (physique)]]&gt;Tableau1[[#This Row],[Manque (digital)]],"POD",IF(Tableau1[[#This Row],[Manque (digital)]]&gt;Tableau1[[#This Row],[Manque (physique)]],"MarketPlace",""))</f>
        <v/>
      </c>
      <c r="J426" t="s">
        <v>30</v>
      </c>
      <c r="K426" t="s">
        <v>335</v>
      </c>
      <c r="L426" t="s">
        <v>52</v>
      </c>
      <c r="M426" t="s">
        <v>52</v>
      </c>
      <c r="N426" t="s">
        <v>23</v>
      </c>
      <c r="O426" t="s">
        <v>52</v>
      </c>
      <c r="P426" t="s">
        <v>52</v>
      </c>
      <c r="Q426" t="s">
        <v>336</v>
      </c>
    </row>
    <row r="427" spans="1:17" hidden="1" x14ac:dyDescent="0.25">
      <c r="A427" t="s">
        <v>837</v>
      </c>
      <c r="B427" t="s">
        <v>14</v>
      </c>
      <c r="C427" t="s">
        <v>25</v>
      </c>
      <c r="D427" t="s">
        <v>58</v>
      </c>
      <c r="E427">
        <v>3</v>
      </c>
      <c r="F427">
        <f>MAX(-1,3-Tableau1[[#This Row],[Nb possédé (digital)]])</f>
        <v>0</v>
      </c>
      <c r="G427">
        <v>3</v>
      </c>
      <c r="H427">
        <f>MAX(-1,3-Tableau1[[#This Row],[Possédé (physique)]])</f>
        <v>0</v>
      </c>
      <c r="I427" t="str">
        <f>IF(Tableau1[[#This Row],[Manque (physique)]]&gt;Tableau1[[#This Row],[Manque (digital)]],"POD",IF(Tableau1[[#This Row],[Manque (digital)]]&gt;Tableau1[[#This Row],[Manque (physique)]],"MarketPlace",""))</f>
        <v/>
      </c>
      <c r="J427" t="s">
        <v>30</v>
      </c>
      <c r="K427" t="s">
        <v>838</v>
      </c>
      <c r="L427" t="s">
        <v>52</v>
      </c>
      <c r="M427" t="s">
        <v>52</v>
      </c>
      <c r="N427" t="s">
        <v>19</v>
      </c>
      <c r="O427" t="s">
        <v>19</v>
      </c>
      <c r="P427" t="s">
        <v>19</v>
      </c>
      <c r="Q427" t="s">
        <v>839</v>
      </c>
    </row>
    <row r="428" spans="1:17" hidden="1" x14ac:dyDescent="0.25">
      <c r="A428" t="s">
        <v>1102</v>
      </c>
      <c r="B428" t="s">
        <v>14</v>
      </c>
      <c r="C428" t="s">
        <v>25</v>
      </c>
      <c r="D428" t="s">
        <v>58</v>
      </c>
      <c r="E428">
        <v>5</v>
      </c>
      <c r="F428">
        <f>MAX(-1,3-Tableau1[[#This Row],[Nb possédé (digital)]])</f>
        <v>-1</v>
      </c>
      <c r="G428">
        <v>5</v>
      </c>
      <c r="H428">
        <f>MAX(-1,3-Tableau1[[#This Row],[Possédé (physique)]])</f>
        <v>-1</v>
      </c>
      <c r="I428" t="str">
        <f>IF(Tableau1[[#This Row],[Manque (physique)]]&gt;Tableau1[[#This Row],[Manque (digital)]],"POD",IF(Tableau1[[#This Row],[Manque (digital)]]&gt;Tableau1[[#This Row],[Manque (physique)]],"MarketPlace",""))</f>
        <v/>
      </c>
      <c r="J428" t="s">
        <v>30</v>
      </c>
      <c r="K428" t="s">
        <v>1103</v>
      </c>
      <c r="L428" t="s">
        <v>52</v>
      </c>
      <c r="M428" t="s">
        <v>52</v>
      </c>
      <c r="N428" t="s">
        <v>39</v>
      </c>
      <c r="O428" t="s">
        <v>39</v>
      </c>
      <c r="P428" t="s">
        <v>39</v>
      </c>
      <c r="Q428" t="s">
        <v>1104</v>
      </c>
    </row>
    <row r="429" spans="1:17" hidden="1" x14ac:dyDescent="0.25">
      <c r="A429" t="s">
        <v>185</v>
      </c>
      <c r="B429" t="s">
        <v>14</v>
      </c>
      <c r="C429" t="s">
        <v>25</v>
      </c>
      <c r="D429" t="s">
        <v>58</v>
      </c>
      <c r="E429">
        <v>5</v>
      </c>
      <c r="F429">
        <f>MAX(-1,3-Tableau1[[#This Row],[Nb possédé (digital)]])</f>
        <v>-1</v>
      </c>
      <c r="G429">
        <v>5</v>
      </c>
      <c r="H429">
        <f>MAX(-1,3-Tableau1[[#This Row],[Possédé (physique)]])</f>
        <v>-1</v>
      </c>
      <c r="I429" t="str">
        <f>IF(Tableau1[[#This Row],[Manque (physique)]]&gt;Tableau1[[#This Row],[Manque (digital)]],"POD",IF(Tableau1[[#This Row],[Manque (digital)]]&gt;Tableau1[[#This Row],[Manque (physique)]],"MarketPlace",""))</f>
        <v/>
      </c>
      <c r="J429" t="s">
        <v>30</v>
      </c>
      <c r="K429" t="s">
        <v>51</v>
      </c>
      <c r="L429" t="s">
        <v>39</v>
      </c>
      <c r="M429" t="s">
        <v>39</v>
      </c>
      <c r="N429" t="s">
        <v>39</v>
      </c>
      <c r="O429" t="s">
        <v>39</v>
      </c>
      <c r="P429" t="s">
        <v>39</v>
      </c>
      <c r="Q429" t="s">
        <v>186</v>
      </c>
    </row>
    <row r="430" spans="1:17" hidden="1" x14ac:dyDescent="0.25">
      <c r="A430" t="s">
        <v>1536</v>
      </c>
      <c r="B430" t="s">
        <v>14</v>
      </c>
      <c r="C430" t="s">
        <v>25</v>
      </c>
      <c r="D430" t="s">
        <v>1496</v>
      </c>
      <c r="E430">
        <v>8</v>
      </c>
      <c r="F430">
        <f>MAX(-1,3-Tableau1[[#This Row],[Nb possédé (digital)]])</f>
        <v>-1</v>
      </c>
      <c r="G430">
        <v>8</v>
      </c>
      <c r="H430">
        <f>MAX(-1,3-Tableau1[[#This Row],[Possédé (physique)]])</f>
        <v>-1</v>
      </c>
      <c r="I430" t="str">
        <f>IF(Tableau1[[#This Row],[Manque (physique)]]&gt;Tableau1[[#This Row],[Manque (digital)]],"POD",IF(Tableau1[[#This Row],[Manque (digital)]]&gt;Tableau1[[#This Row],[Manque (physique)]],"MarketPlace",""))</f>
        <v/>
      </c>
      <c r="J430" t="s">
        <v>30</v>
      </c>
      <c r="K430" t="s">
        <v>59</v>
      </c>
      <c r="L430" t="s">
        <v>20</v>
      </c>
      <c r="M430" t="s">
        <v>20</v>
      </c>
      <c r="N430" t="s">
        <v>20</v>
      </c>
      <c r="O430" t="s">
        <v>89</v>
      </c>
      <c r="P430" t="s">
        <v>89</v>
      </c>
      <c r="Q430" t="s">
        <v>1683</v>
      </c>
    </row>
    <row r="431" spans="1:17" hidden="1" x14ac:dyDescent="0.25">
      <c r="A431" t="s">
        <v>1526</v>
      </c>
      <c r="B431" t="s">
        <v>14</v>
      </c>
      <c r="C431" t="s">
        <v>25</v>
      </c>
      <c r="D431" t="s">
        <v>1496</v>
      </c>
      <c r="E431">
        <v>12</v>
      </c>
      <c r="F431">
        <f>MAX(-1,3-Tableau1[[#This Row],[Nb possédé (digital)]])</f>
        <v>-1</v>
      </c>
      <c r="G431">
        <v>12</v>
      </c>
      <c r="H431">
        <f>MAX(-1,3-Tableau1[[#This Row],[Possédé (physique)]])</f>
        <v>-1</v>
      </c>
      <c r="I431" t="str">
        <f>IF(Tableau1[[#This Row],[Manque (physique)]]&gt;Tableau1[[#This Row],[Manque (digital)]],"POD",IF(Tableau1[[#This Row],[Manque (digital)]]&gt;Tableau1[[#This Row],[Manque (physique)]],"MarketPlace",""))</f>
        <v/>
      </c>
      <c r="J431" t="s">
        <v>30</v>
      </c>
      <c r="K431" t="s">
        <v>328</v>
      </c>
      <c r="L431" t="s">
        <v>19</v>
      </c>
      <c r="M431" t="s">
        <v>19</v>
      </c>
      <c r="N431" t="s">
        <v>19</v>
      </c>
      <c r="O431" t="s">
        <v>19</v>
      </c>
      <c r="P431" t="s">
        <v>19</v>
      </c>
      <c r="Q431" t="s">
        <v>1662</v>
      </c>
    </row>
    <row r="432" spans="1:17" hidden="1" x14ac:dyDescent="0.25">
      <c r="A432" t="s">
        <v>1543</v>
      </c>
      <c r="B432" t="s">
        <v>14</v>
      </c>
      <c r="C432" t="s">
        <v>25</v>
      </c>
      <c r="D432" t="s">
        <v>1496</v>
      </c>
      <c r="E432">
        <v>8</v>
      </c>
      <c r="F432">
        <f>MAX(-1,3-Tableau1[[#This Row],[Nb possédé (digital)]])</f>
        <v>-1</v>
      </c>
      <c r="G432">
        <v>8</v>
      </c>
      <c r="H432">
        <f>MAX(-1,3-Tableau1[[#This Row],[Possédé (physique)]])</f>
        <v>-1</v>
      </c>
      <c r="I432" t="str">
        <f>IF(Tableau1[[#This Row],[Manque (physique)]]&gt;Tableau1[[#This Row],[Manque (digital)]],"POD",IF(Tableau1[[#This Row],[Manque (digital)]]&gt;Tableau1[[#This Row],[Manque (physique)]],"MarketPlace",""))</f>
        <v/>
      </c>
      <c r="J432" t="s">
        <v>268</v>
      </c>
      <c r="K432" t="s">
        <v>269</v>
      </c>
      <c r="L432" t="s">
        <v>19</v>
      </c>
      <c r="M432" t="s">
        <v>19</v>
      </c>
      <c r="Q432" t="s">
        <v>1697</v>
      </c>
    </row>
    <row r="433" spans="1:17" hidden="1" x14ac:dyDescent="0.25">
      <c r="A433" t="s">
        <v>1556</v>
      </c>
      <c r="B433" t="s">
        <v>14</v>
      </c>
      <c r="C433" t="s">
        <v>25</v>
      </c>
      <c r="D433" t="s">
        <v>1496</v>
      </c>
      <c r="E433">
        <v>6</v>
      </c>
      <c r="F433">
        <f>MAX(-1,3-Tableau1[[#This Row],[Nb possédé (digital)]])</f>
        <v>-1</v>
      </c>
      <c r="G433">
        <v>6</v>
      </c>
      <c r="H433">
        <f>MAX(-1,3-Tableau1[[#This Row],[Possédé (physique)]])</f>
        <v>-1</v>
      </c>
      <c r="I433" t="str">
        <f>IF(Tableau1[[#This Row],[Manque (physique)]]&gt;Tableau1[[#This Row],[Manque (digital)]],"POD",IF(Tableau1[[#This Row],[Manque (digital)]]&gt;Tableau1[[#This Row],[Manque (physique)]],"MarketPlace",""))</f>
        <v/>
      </c>
      <c r="J433" t="s">
        <v>30</v>
      </c>
      <c r="K433" t="s">
        <v>111</v>
      </c>
      <c r="L433" t="s">
        <v>19</v>
      </c>
      <c r="M433" t="s">
        <v>19</v>
      </c>
      <c r="N433" t="s">
        <v>19</v>
      </c>
      <c r="O433" t="s">
        <v>20</v>
      </c>
      <c r="P433" t="s">
        <v>20</v>
      </c>
      <c r="Q433" t="s">
        <v>1728</v>
      </c>
    </row>
    <row r="434" spans="1:17" hidden="1" x14ac:dyDescent="0.25">
      <c r="A434" t="s">
        <v>1588</v>
      </c>
      <c r="B434" t="s">
        <v>14</v>
      </c>
      <c r="C434" t="s">
        <v>25</v>
      </c>
      <c r="D434" t="s">
        <v>1496</v>
      </c>
      <c r="E434">
        <v>4</v>
      </c>
      <c r="F434">
        <f>MAX(-1,3-Tableau1[[#This Row],[Nb possédé (digital)]])</f>
        <v>-1</v>
      </c>
      <c r="G434">
        <v>4</v>
      </c>
      <c r="H434">
        <f>MAX(-1,3-Tableau1[[#This Row],[Possédé (physique)]])</f>
        <v>-1</v>
      </c>
      <c r="I434" t="str">
        <f>IF(Tableau1[[#This Row],[Manque (physique)]]&gt;Tableau1[[#This Row],[Manque (digital)]],"POD",IF(Tableau1[[#This Row],[Manque (digital)]]&gt;Tableau1[[#This Row],[Manque (physique)]],"MarketPlace",""))</f>
        <v/>
      </c>
      <c r="J434" t="s">
        <v>30</v>
      </c>
      <c r="K434" t="s">
        <v>1801</v>
      </c>
      <c r="L434" t="s">
        <v>19</v>
      </c>
      <c r="M434" t="s">
        <v>19</v>
      </c>
      <c r="N434" t="s">
        <v>20</v>
      </c>
      <c r="O434" t="s">
        <v>19</v>
      </c>
      <c r="P434" t="s">
        <v>19</v>
      </c>
      <c r="Q434" t="s">
        <v>1802</v>
      </c>
    </row>
    <row r="435" spans="1:17" hidden="1" x14ac:dyDescent="0.25">
      <c r="A435" t="s">
        <v>1591</v>
      </c>
      <c r="B435" t="s">
        <v>14</v>
      </c>
      <c r="C435" t="s">
        <v>25</v>
      </c>
      <c r="D435" t="s">
        <v>1496</v>
      </c>
      <c r="E435">
        <v>13</v>
      </c>
      <c r="F435">
        <f>MAX(-1,3-Tableau1[[#This Row],[Nb possédé (digital)]])</f>
        <v>-1</v>
      </c>
      <c r="G435">
        <v>13</v>
      </c>
      <c r="H435">
        <f>MAX(-1,3-Tableau1[[#This Row],[Possédé (physique)]])</f>
        <v>-1</v>
      </c>
      <c r="I435" t="str">
        <f>IF(Tableau1[[#This Row],[Manque (physique)]]&gt;Tableau1[[#This Row],[Manque (digital)]],"POD",IF(Tableau1[[#This Row],[Manque (digital)]]&gt;Tableau1[[#This Row],[Manque (physique)]],"MarketPlace",""))</f>
        <v/>
      </c>
      <c r="J435" t="s">
        <v>30</v>
      </c>
      <c r="K435" t="s">
        <v>1623</v>
      </c>
      <c r="L435" t="s">
        <v>19</v>
      </c>
      <c r="M435" t="s">
        <v>19</v>
      </c>
      <c r="N435" t="s">
        <v>19</v>
      </c>
      <c r="O435" t="s">
        <v>19</v>
      </c>
      <c r="P435" t="s">
        <v>19</v>
      </c>
      <c r="Q435" t="s">
        <v>1807</v>
      </c>
    </row>
    <row r="436" spans="1:17" hidden="1" x14ac:dyDescent="0.25">
      <c r="A436" t="s">
        <v>1575</v>
      </c>
      <c r="B436" t="s">
        <v>14</v>
      </c>
      <c r="C436" t="s">
        <v>25</v>
      </c>
      <c r="D436" t="s">
        <v>1496</v>
      </c>
      <c r="E436">
        <v>8</v>
      </c>
      <c r="F436">
        <f>MAX(-1,3-Tableau1[[#This Row],[Nb possédé (digital)]])</f>
        <v>-1</v>
      </c>
      <c r="G436">
        <v>8</v>
      </c>
      <c r="H436">
        <f>MAX(-1,3-Tableau1[[#This Row],[Possédé (physique)]])</f>
        <v>-1</v>
      </c>
      <c r="I436" t="str">
        <f>IF(Tableau1[[#This Row],[Manque (physique)]]&gt;Tableau1[[#This Row],[Manque (digital)]],"POD",IF(Tableau1[[#This Row],[Manque (digital)]]&gt;Tableau1[[#This Row],[Manque (physique)]],"MarketPlace",""))</f>
        <v/>
      </c>
      <c r="J436" t="s">
        <v>30</v>
      </c>
      <c r="K436" t="s">
        <v>68</v>
      </c>
      <c r="L436" t="s">
        <v>23</v>
      </c>
      <c r="M436" t="s">
        <v>19</v>
      </c>
      <c r="N436" t="s">
        <v>19</v>
      </c>
      <c r="O436" t="s">
        <v>19</v>
      </c>
      <c r="P436" t="s">
        <v>23</v>
      </c>
      <c r="Q436" t="s">
        <v>1768</v>
      </c>
    </row>
    <row r="437" spans="1:17" hidden="1" x14ac:dyDescent="0.25">
      <c r="A437" t="s">
        <v>1532</v>
      </c>
      <c r="B437" t="s">
        <v>14</v>
      </c>
      <c r="C437" t="s">
        <v>25</v>
      </c>
      <c r="D437" t="s">
        <v>1496</v>
      </c>
      <c r="E437">
        <v>9</v>
      </c>
      <c r="F437">
        <f>MAX(-1,3-Tableau1[[#This Row],[Nb possédé (digital)]])</f>
        <v>-1</v>
      </c>
      <c r="G437">
        <v>9</v>
      </c>
      <c r="H437">
        <f>MAX(-1,3-Tableau1[[#This Row],[Possédé (physique)]])</f>
        <v>-1</v>
      </c>
      <c r="I437" t="str">
        <f>IF(Tableau1[[#This Row],[Manque (physique)]]&gt;Tableau1[[#This Row],[Manque (digital)]],"POD",IF(Tableau1[[#This Row],[Manque (digital)]]&gt;Tableau1[[#This Row],[Manque (physique)]],"MarketPlace",""))</f>
        <v/>
      </c>
      <c r="J437" t="s">
        <v>30</v>
      </c>
      <c r="K437" t="s">
        <v>1601</v>
      </c>
      <c r="L437" t="s">
        <v>23</v>
      </c>
      <c r="M437" t="s">
        <v>23</v>
      </c>
      <c r="N437" t="s">
        <v>23</v>
      </c>
      <c r="O437" t="s">
        <v>23</v>
      </c>
      <c r="P437" t="s">
        <v>89</v>
      </c>
      <c r="Q437" t="s">
        <v>1676</v>
      </c>
    </row>
    <row r="438" spans="1:17" hidden="1" x14ac:dyDescent="0.25">
      <c r="A438" t="s">
        <v>1547</v>
      </c>
      <c r="B438" t="s">
        <v>14</v>
      </c>
      <c r="C438" t="s">
        <v>25</v>
      </c>
      <c r="D438" t="s">
        <v>1496</v>
      </c>
      <c r="E438">
        <v>11</v>
      </c>
      <c r="F438">
        <f>MAX(-1,3-Tableau1[[#This Row],[Nb possédé (digital)]])</f>
        <v>-1</v>
      </c>
      <c r="G438">
        <v>11</v>
      </c>
      <c r="H438">
        <f>MAX(-1,3-Tableau1[[#This Row],[Possédé (physique)]])</f>
        <v>-1</v>
      </c>
      <c r="I438" t="str">
        <f>IF(Tableau1[[#This Row],[Manque (physique)]]&gt;Tableau1[[#This Row],[Manque (digital)]],"POD",IF(Tableau1[[#This Row],[Manque (digital)]]&gt;Tableau1[[#This Row],[Manque (physique)]],"MarketPlace",""))</f>
        <v/>
      </c>
      <c r="J438" t="s">
        <v>30</v>
      </c>
      <c r="K438" t="s">
        <v>42</v>
      </c>
      <c r="L438" t="s">
        <v>23</v>
      </c>
      <c r="M438" t="s">
        <v>23</v>
      </c>
      <c r="N438" t="s">
        <v>23</v>
      </c>
      <c r="O438" t="s">
        <v>23</v>
      </c>
      <c r="P438" t="s">
        <v>19</v>
      </c>
      <c r="Q438" t="s">
        <v>1705</v>
      </c>
    </row>
    <row r="439" spans="1:17" hidden="1" x14ac:dyDescent="0.25">
      <c r="A439" t="s">
        <v>1581</v>
      </c>
      <c r="B439" t="s">
        <v>14</v>
      </c>
      <c r="C439" t="s">
        <v>25</v>
      </c>
      <c r="D439" t="s">
        <v>1496</v>
      </c>
      <c r="E439">
        <v>14</v>
      </c>
      <c r="F439">
        <f>MAX(-1,3-Tableau1[[#This Row],[Nb possédé (digital)]])</f>
        <v>-1</v>
      </c>
      <c r="G439">
        <v>14</v>
      </c>
      <c r="H439">
        <f>MAX(-1,3-Tableau1[[#This Row],[Possédé (physique)]])</f>
        <v>-1</v>
      </c>
      <c r="I439" t="str">
        <f>IF(Tableau1[[#This Row],[Manque (physique)]]&gt;Tableau1[[#This Row],[Manque (digital)]],"POD",IF(Tableau1[[#This Row],[Manque (digital)]]&gt;Tableau1[[#This Row],[Manque (physique)]],"MarketPlace",""))</f>
        <v/>
      </c>
      <c r="J439" t="s">
        <v>30</v>
      </c>
      <c r="K439" t="s">
        <v>36</v>
      </c>
      <c r="L439" t="s">
        <v>23</v>
      </c>
      <c r="M439" t="s">
        <v>23</v>
      </c>
      <c r="N439" t="s">
        <v>52</v>
      </c>
      <c r="O439" t="s">
        <v>52</v>
      </c>
      <c r="P439" t="s">
        <v>52</v>
      </c>
      <c r="Q439" t="s">
        <v>1784</v>
      </c>
    </row>
    <row r="440" spans="1:17" hidden="1" x14ac:dyDescent="0.25">
      <c r="A440" t="s">
        <v>1542</v>
      </c>
      <c r="B440" t="s">
        <v>14</v>
      </c>
      <c r="C440" t="s">
        <v>25</v>
      </c>
      <c r="D440" t="s">
        <v>1496</v>
      </c>
      <c r="E440">
        <v>14</v>
      </c>
      <c r="F440">
        <f>MAX(-1,3-Tableau1[[#This Row],[Nb possédé (digital)]])</f>
        <v>-1</v>
      </c>
      <c r="G440">
        <v>14</v>
      </c>
      <c r="H440">
        <f>MAX(-1,3-Tableau1[[#This Row],[Possédé (physique)]])</f>
        <v>-1</v>
      </c>
      <c r="I440" t="str">
        <f>IF(Tableau1[[#This Row],[Manque (physique)]]&gt;Tableau1[[#This Row],[Manque (digital)]],"POD",IF(Tableau1[[#This Row],[Manque (digital)]]&gt;Tableau1[[#This Row],[Manque (physique)]],"MarketPlace",""))</f>
        <v/>
      </c>
      <c r="J440" t="s">
        <v>268</v>
      </c>
      <c r="K440" t="s">
        <v>269</v>
      </c>
      <c r="L440" t="s">
        <v>52</v>
      </c>
      <c r="M440" t="s">
        <v>52</v>
      </c>
      <c r="Q440" t="s">
        <v>1695</v>
      </c>
    </row>
    <row r="441" spans="1:17" hidden="1" x14ac:dyDescent="0.25">
      <c r="A441" t="s">
        <v>1568</v>
      </c>
      <c r="B441" t="s">
        <v>14</v>
      </c>
      <c r="C441" t="s">
        <v>25</v>
      </c>
      <c r="D441" t="s">
        <v>1496</v>
      </c>
      <c r="E441">
        <v>9</v>
      </c>
      <c r="F441">
        <f>MAX(-1,3-Tableau1[[#This Row],[Nb possédé (digital)]])</f>
        <v>-1</v>
      </c>
      <c r="G441">
        <v>9</v>
      </c>
      <c r="H441">
        <f>MAX(-1,3-Tableau1[[#This Row],[Possédé (physique)]])</f>
        <v>-1</v>
      </c>
      <c r="I441" t="str">
        <f>IF(Tableau1[[#This Row],[Manque (physique)]]&gt;Tableau1[[#This Row],[Manque (digital)]],"POD",IF(Tableau1[[#This Row],[Manque (digital)]]&gt;Tableau1[[#This Row],[Manque (physique)]],"MarketPlace",""))</f>
        <v/>
      </c>
      <c r="J441" t="s">
        <v>17</v>
      </c>
      <c r="K441" t="s">
        <v>824</v>
      </c>
      <c r="L441" t="s">
        <v>52</v>
      </c>
      <c r="M441" t="s">
        <v>52</v>
      </c>
      <c r="Q441" t="s">
        <v>1752</v>
      </c>
    </row>
    <row r="442" spans="1:17" hidden="1" x14ac:dyDescent="0.25">
      <c r="A442" t="s">
        <v>1576</v>
      </c>
      <c r="B442" t="s">
        <v>14</v>
      </c>
      <c r="C442" t="s">
        <v>25</v>
      </c>
      <c r="D442" t="s">
        <v>1496</v>
      </c>
      <c r="E442">
        <v>10</v>
      </c>
      <c r="F442">
        <f>MAX(-1,3-Tableau1[[#This Row],[Nb possédé (digital)]])</f>
        <v>-1</v>
      </c>
      <c r="G442">
        <v>10</v>
      </c>
      <c r="H442">
        <f>MAX(-1,3-Tableau1[[#This Row],[Possédé (physique)]])</f>
        <v>-1</v>
      </c>
      <c r="I442" t="str">
        <f>IF(Tableau1[[#This Row],[Manque (physique)]]&gt;Tableau1[[#This Row],[Manque (digital)]],"POD",IF(Tableau1[[#This Row],[Manque (digital)]]&gt;Tableau1[[#This Row],[Manque (physique)]],"MarketPlace",""))</f>
        <v/>
      </c>
      <c r="J442" t="s">
        <v>30</v>
      </c>
      <c r="K442" t="s">
        <v>68</v>
      </c>
      <c r="L442" t="s">
        <v>52</v>
      </c>
      <c r="M442" t="s">
        <v>52</v>
      </c>
      <c r="N442" t="s">
        <v>19</v>
      </c>
      <c r="O442" t="s">
        <v>19</v>
      </c>
      <c r="P442" t="s">
        <v>52</v>
      </c>
      <c r="Q442" t="s">
        <v>1771</v>
      </c>
    </row>
    <row r="443" spans="1:17" hidden="1" x14ac:dyDescent="0.25">
      <c r="A443" t="s">
        <v>1524</v>
      </c>
      <c r="B443" t="s">
        <v>14</v>
      </c>
      <c r="C443" t="s">
        <v>25</v>
      </c>
      <c r="D443" t="s">
        <v>1496</v>
      </c>
      <c r="E443">
        <v>7</v>
      </c>
      <c r="F443">
        <f>MAX(-1,3-Tableau1[[#This Row],[Nb possédé (digital)]])</f>
        <v>-1</v>
      </c>
      <c r="G443">
        <v>7</v>
      </c>
      <c r="H443">
        <f>MAX(-1,3-Tableau1[[#This Row],[Possédé (physique)]])</f>
        <v>-1</v>
      </c>
      <c r="I443" t="str">
        <f>IF(Tableau1[[#This Row],[Manque (physique)]]&gt;Tableau1[[#This Row],[Manque (digital)]],"POD",IF(Tableau1[[#This Row],[Manque (digital)]]&gt;Tableau1[[#This Row],[Manque (physique)]],"MarketPlace",""))</f>
        <v/>
      </c>
      <c r="J443" t="s">
        <v>17</v>
      </c>
      <c r="K443" t="s">
        <v>824</v>
      </c>
      <c r="L443" t="s">
        <v>37</v>
      </c>
      <c r="M443" t="s">
        <v>37</v>
      </c>
      <c r="Q443" t="s">
        <v>1658</v>
      </c>
    </row>
    <row r="444" spans="1:17" hidden="1" x14ac:dyDescent="0.25">
      <c r="A444" t="s">
        <v>1583</v>
      </c>
      <c r="B444" t="s">
        <v>14</v>
      </c>
      <c r="C444" t="s">
        <v>25</v>
      </c>
      <c r="D444" t="s">
        <v>1496</v>
      </c>
      <c r="E444">
        <v>9</v>
      </c>
      <c r="F444">
        <f>MAX(-1,3-Tableau1[[#This Row],[Nb possédé (digital)]])</f>
        <v>-1</v>
      </c>
      <c r="G444">
        <v>9</v>
      </c>
      <c r="H444">
        <f>MAX(-1,3-Tableau1[[#This Row],[Possédé (physique)]])</f>
        <v>-1</v>
      </c>
      <c r="I444" t="str">
        <f>IF(Tableau1[[#This Row],[Manque (physique)]]&gt;Tableau1[[#This Row],[Manque (digital)]],"POD",IF(Tableau1[[#This Row],[Manque (digital)]]&gt;Tableau1[[#This Row],[Manque (physique)]],"MarketPlace",""))</f>
        <v/>
      </c>
      <c r="J444" t="s">
        <v>30</v>
      </c>
      <c r="K444" t="s">
        <v>292</v>
      </c>
      <c r="L444" t="s">
        <v>37</v>
      </c>
      <c r="M444" t="s">
        <v>37</v>
      </c>
      <c r="N444" t="s">
        <v>52</v>
      </c>
      <c r="O444" t="s">
        <v>52</v>
      </c>
      <c r="P444" t="s">
        <v>52</v>
      </c>
      <c r="Q444" t="s">
        <v>1789</v>
      </c>
    </row>
    <row r="445" spans="1:17" hidden="1" x14ac:dyDescent="0.25">
      <c r="A445" t="s">
        <v>1545</v>
      </c>
      <c r="B445" t="s">
        <v>14</v>
      </c>
      <c r="C445" t="s">
        <v>25</v>
      </c>
      <c r="D445" t="s">
        <v>1496</v>
      </c>
      <c r="E445">
        <v>8</v>
      </c>
      <c r="F445">
        <f>MAX(-1,3-Tableau1[[#This Row],[Nb possédé (digital)]])</f>
        <v>-1</v>
      </c>
      <c r="G445">
        <v>8</v>
      </c>
      <c r="H445">
        <f>MAX(-1,3-Tableau1[[#This Row],[Possédé (physique)]])</f>
        <v>-1</v>
      </c>
      <c r="I445" t="str">
        <f>IF(Tableau1[[#This Row],[Manque (physique)]]&gt;Tableau1[[#This Row],[Manque (digital)]],"POD",IF(Tableau1[[#This Row],[Manque (digital)]]&gt;Tableau1[[#This Row],[Manque (physique)]],"MarketPlace",""))</f>
        <v/>
      </c>
      <c r="J445" t="s">
        <v>268</v>
      </c>
      <c r="K445" t="s">
        <v>438</v>
      </c>
      <c r="L445" t="s">
        <v>39</v>
      </c>
      <c r="M445" t="s">
        <v>39</v>
      </c>
      <c r="Q445" t="s">
        <v>1701</v>
      </c>
    </row>
    <row r="446" spans="1:17" hidden="1" x14ac:dyDescent="0.25">
      <c r="A446" t="s">
        <v>301</v>
      </c>
      <c r="B446" t="s">
        <v>14</v>
      </c>
      <c r="C446" t="s">
        <v>25</v>
      </c>
      <c r="D446" t="s">
        <v>29</v>
      </c>
      <c r="E446">
        <v>5</v>
      </c>
      <c r="F446">
        <f>MAX(-1,3-Tableau1[[#This Row],[Nb possédé (digital)]])</f>
        <v>-1</v>
      </c>
      <c r="G446">
        <v>5</v>
      </c>
      <c r="H446">
        <f>MAX(-1,3-Tableau1[[#This Row],[Possédé (physique)]])</f>
        <v>-1</v>
      </c>
      <c r="I446" t="str">
        <f>IF(Tableau1[[#This Row],[Manque (physique)]]&gt;Tableau1[[#This Row],[Manque (digital)]],"POD",IF(Tableau1[[#This Row],[Manque (digital)]]&gt;Tableau1[[#This Row],[Manque (physique)]],"MarketPlace",""))</f>
        <v/>
      </c>
      <c r="J446" t="s">
        <v>30</v>
      </c>
      <c r="K446" t="s">
        <v>79</v>
      </c>
      <c r="L446" t="s">
        <v>20</v>
      </c>
      <c r="M446" t="s">
        <v>19</v>
      </c>
      <c r="N446" t="s">
        <v>20</v>
      </c>
      <c r="O446" t="s">
        <v>20</v>
      </c>
      <c r="P446" t="s">
        <v>89</v>
      </c>
    </row>
    <row r="447" spans="1:17" hidden="1" x14ac:dyDescent="0.25">
      <c r="A447" t="s">
        <v>274</v>
      </c>
      <c r="B447" t="s">
        <v>14</v>
      </c>
      <c r="C447" t="s">
        <v>25</v>
      </c>
      <c r="D447" t="s">
        <v>29</v>
      </c>
      <c r="E447">
        <v>6</v>
      </c>
      <c r="F447">
        <f>MAX(-1,3-Tableau1[[#This Row],[Nb possédé (digital)]])</f>
        <v>-1</v>
      </c>
      <c r="G447">
        <v>6</v>
      </c>
      <c r="H447">
        <f>MAX(-1,3-Tableau1[[#This Row],[Possédé (physique)]])</f>
        <v>-1</v>
      </c>
      <c r="I447" t="str">
        <f>IF(Tableau1[[#This Row],[Manque (physique)]]&gt;Tableau1[[#This Row],[Manque (digital)]],"POD",IF(Tableau1[[#This Row],[Manque (digital)]]&gt;Tableau1[[#This Row],[Manque (physique)]],"MarketPlace",""))</f>
        <v/>
      </c>
      <c r="J447" t="s">
        <v>30</v>
      </c>
      <c r="K447" t="s">
        <v>107</v>
      </c>
      <c r="L447" t="s">
        <v>19</v>
      </c>
      <c r="M447" t="s">
        <v>19</v>
      </c>
      <c r="N447" t="s">
        <v>20</v>
      </c>
      <c r="O447" t="s">
        <v>20</v>
      </c>
      <c r="P447" t="s">
        <v>20</v>
      </c>
      <c r="Q447" t="s">
        <v>275</v>
      </c>
    </row>
    <row r="448" spans="1:17" hidden="1" x14ac:dyDescent="0.25">
      <c r="A448" t="s">
        <v>286</v>
      </c>
      <c r="B448" t="s">
        <v>14</v>
      </c>
      <c r="C448" t="s">
        <v>25</v>
      </c>
      <c r="D448" t="s">
        <v>29</v>
      </c>
      <c r="E448">
        <v>7</v>
      </c>
      <c r="F448">
        <f>MAX(-1,3-Tableau1[[#This Row],[Nb possédé (digital)]])</f>
        <v>-1</v>
      </c>
      <c r="G448">
        <v>7</v>
      </c>
      <c r="H448">
        <f>MAX(-1,3-Tableau1[[#This Row],[Possédé (physique)]])</f>
        <v>-1</v>
      </c>
      <c r="I448" t="str">
        <f>IF(Tableau1[[#This Row],[Manque (physique)]]&gt;Tableau1[[#This Row],[Manque (digital)]],"POD",IF(Tableau1[[#This Row],[Manque (digital)]]&gt;Tableau1[[#This Row],[Manque (physique)]],"MarketPlace",""))</f>
        <v/>
      </c>
      <c r="J448" t="s">
        <v>17</v>
      </c>
      <c r="K448" t="s">
        <v>201</v>
      </c>
      <c r="L448" t="s">
        <v>19</v>
      </c>
      <c r="M448" t="s">
        <v>19</v>
      </c>
      <c r="Q448" t="s">
        <v>287</v>
      </c>
    </row>
    <row r="449" spans="1:17" hidden="1" x14ac:dyDescent="0.25">
      <c r="A449" t="s">
        <v>642</v>
      </c>
      <c r="B449" t="s">
        <v>14</v>
      </c>
      <c r="C449" t="s">
        <v>25</v>
      </c>
      <c r="D449" t="s">
        <v>29</v>
      </c>
      <c r="E449">
        <v>6</v>
      </c>
      <c r="F449">
        <f>MAX(-1,3-Tableau1[[#This Row],[Nb possédé (digital)]])</f>
        <v>-1</v>
      </c>
      <c r="G449">
        <v>6</v>
      </c>
      <c r="H449">
        <f>MAX(-1,3-Tableau1[[#This Row],[Possédé (physique)]])</f>
        <v>-1</v>
      </c>
      <c r="I449" t="str">
        <f>IF(Tableau1[[#This Row],[Manque (physique)]]&gt;Tableau1[[#This Row],[Manque (digital)]],"POD",IF(Tableau1[[#This Row],[Manque (digital)]]&gt;Tableau1[[#This Row],[Manque (physique)]],"MarketPlace",""))</f>
        <v/>
      </c>
      <c r="J449" t="s">
        <v>268</v>
      </c>
      <c r="K449" t="s">
        <v>269</v>
      </c>
      <c r="L449" t="s">
        <v>19</v>
      </c>
      <c r="M449" t="s">
        <v>19</v>
      </c>
      <c r="Q449" t="s">
        <v>643</v>
      </c>
    </row>
    <row r="450" spans="1:17" hidden="1" x14ac:dyDescent="0.25">
      <c r="A450" t="s">
        <v>1066</v>
      </c>
      <c r="B450" t="s">
        <v>14</v>
      </c>
      <c r="C450" t="s">
        <v>25</v>
      </c>
      <c r="D450" t="s">
        <v>29</v>
      </c>
      <c r="E450">
        <v>7</v>
      </c>
      <c r="F450">
        <f>MAX(-1,3-Tableau1[[#This Row],[Nb possédé (digital)]])</f>
        <v>-1</v>
      </c>
      <c r="G450">
        <v>7</v>
      </c>
      <c r="H450">
        <f>MAX(-1,3-Tableau1[[#This Row],[Possédé (physique)]])</f>
        <v>-1</v>
      </c>
      <c r="I450" t="str">
        <f>IF(Tableau1[[#This Row],[Manque (physique)]]&gt;Tableau1[[#This Row],[Manque (digital)]],"POD",IF(Tableau1[[#This Row],[Manque (digital)]]&gt;Tableau1[[#This Row],[Manque (physique)]],"MarketPlace",""))</f>
        <v/>
      </c>
      <c r="J450" t="s">
        <v>116</v>
      </c>
      <c r="K450" t="s">
        <v>117</v>
      </c>
      <c r="L450" t="s">
        <v>19</v>
      </c>
      <c r="M450" t="s">
        <v>19</v>
      </c>
      <c r="Q450" t="s">
        <v>1067</v>
      </c>
    </row>
    <row r="451" spans="1:17" hidden="1" x14ac:dyDescent="0.25">
      <c r="A451" t="s">
        <v>278</v>
      </c>
      <c r="B451" t="s">
        <v>14</v>
      </c>
      <c r="C451" t="s">
        <v>25</v>
      </c>
      <c r="D451" t="s">
        <v>29</v>
      </c>
      <c r="E451">
        <v>7</v>
      </c>
      <c r="F451">
        <f>MAX(-1,3-Tableau1[[#This Row],[Nb possédé (digital)]])</f>
        <v>-1</v>
      </c>
      <c r="G451">
        <v>7</v>
      </c>
      <c r="H451">
        <f>MAX(-1,3-Tableau1[[#This Row],[Possédé (physique)]])</f>
        <v>-1</v>
      </c>
      <c r="I451" t="str">
        <f>IF(Tableau1[[#This Row],[Manque (physique)]]&gt;Tableau1[[#This Row],[Manque (digital)]],"POD",IF(Tableau1[[#This Row],[Manque (digital)]]&gt;Tableau1[[#This Row],[Manque (physique)]],"MarketPlace",""))</f>
        <v/>
      </c>
      <c r="J451" t="s">
        <v>30</v>
      </c>
      <c r="K451" t="s">
        <v>107</v>
      </c>
      <c r="L451" t="s">
        <v>19</v>
      </c>
      <c r="M451" t="s">
        <v>23</v>
      </c>
      <c r="N451" t="s">
        <v>19</v>
      </c>
      <c r="O451" t="s">
        <v>19</v>
      </c>
      <c r="P451" t="s">
        <v>19</v>
      </c>
      <c r="Q451" t="s">
        <v>279</v>
      </c>
    </row>
    <row r="452" spans="1:17" hidden="1" x14ac:dyDescent="0.25">
      <c r="A452" t="s">
        <v>737</v>
      </c>
      <c r="B452" t="s">
        <v>14</v>
      </c>
      <c r="C452" t="s">
        <v>25</v>
      </c>
      <c r="D452" t="s">
        <v>29</v>
      </c>
      <c r="E452">
        <v>5</v>
      </c>
      <c r="F452">
        <f>MAX(-1,3-Tableau1[[#This Row],[Nb possédé (digital)]])</f>
        <v>-1</v>
      </c>
      <c r="G452">
        <v>5</v>
      </c>
      <c r="H452">
        <f>MAX(-1,3-Tableau1[[#This Row],[Possédé (physique)]])</f>
        <v>-1</v>
      </c>
      <c r="I452" t="str">
        <f>IF(Tableau1[[#This Row],[Manque (physique)]]&gt;Tableau1[[#This Row],[Manque (digital)]],"POD",IF(Tableau1[[#This Row],[Manque (digital)]]&gt;Tableau1[[#This Row],[Manque (physique)]],"MarketPlace",""))</f>
        <v/>
      </c>
      <c r="J452" t="s">
        <v>30</v>
      </c>
      <c r="K452" t="s">
        <v>738</v>
      </c>
      <c r="L452" t="s">
        <v>23</v>
      </c>
      <c r="M452" t="s">
        <v>23</v>
      </c>
      <c r="N452" t="s">
        <v>23</v>
      </c>
      <c r="O452" t="s">
        <v>19</v>
      </c>
      <c r="P452" t="s">
        <v>23</v>
      </c>
      <c r="Q452" t="s">
        <v>739</v>
      </c>
    </row>
    <row r="453" spans="1:17" hidden="1" x14ac:dyDescent="0.25">
      <c r="A453" t="s">
        <v>952</v>
      </c>
      <c r="B453" t="s">
        <v>14</v>
      </c>
      <c r="C453" t="s">
        <v>25</v>
      </c>
      <c r="D453" t="s">
        <v>29</v>
      </c>
      <c r="E453">
        <v>6</v>
      </c>
      <c r="F453">
        <f>MAX(-1,3-Tableau1[[#This Row],[Nb possédé (digital)]])</f>
        <v>-1</v>
      </c>
      <c r="G453">
        <v>6</v>
      </c>
      <c r="H453">
        <f>MAX(-1,3-Tableau1[[#This Row],[Possédé (physique)]])</f>
        <v>-1</v>
      </c>
      <c r="I453" t="str">
        <f>IF(Tableau1[[#This Row],[Manque (physique)]]&gt;Tableau1[[#This Row],[Manque (digital)]],"POD",IF(Tableau1[[#This Row],[Manque (digital)]]&gt;Tableau1[[#This Row],[Manque (physique)]],"MarketPlace",""))</f>
        <v/>
      </c>
      <c r="J453" t="s">
        <v>17</v>
      </c>
      <c r="K453" t="s">
        <v>824</v>
      </c>
      <c r="L453" t="s">
        <v>23</v>
      </c>
      <c r="M453" t="s">
        <v>23</v>
      </c>
      <c r="Q453" t="s">
        <v>953</v>
      </c>
    </row>
    <row r="454" spans="1:17" hidden="1" x14ac:dyDescent="0.25">
      <c r="A454" t="s">
        <v>1055</v>
      </c>
      <c r="B454" t="s">
        <v>14</v>
      </c>
      <c r="C454" t="s">
        <v>25</v>
      </c>
      <c r="D454" t="s">
        <v>29</v>
      </c>
      <c r="E454">
        <v>7</v>
      </c>
      <c r="F454">
        <f>MAX(-1,3-Tableau1[[#This Row],[Nb possédé (digital)]])</f>
        <v>-1</v>
      </c>
      <c r="G454">
        <v>7</v>
      </c>
      <c r="H454">
        <f>MAX(-1,3-Tableau1[[#This Row],[Possédé (physique)]])</f>
        <v>-1</v>
      </c>
      <c r="I454" t="str">
        <f>IF(Tableau1[[#This Row],[Manque (physique)]]&gt;Tableau1[[#This Row],[Manque (digital)]],"POD",IF(Tableau1[[#This Row],[Manque (digital)]]&gt;Tableau1[[#This Row],[Manque (physique)]],"MarketPlace",""))</f>
        <v/>
      </c>
      <c r="J454" t="s">
        <v>30</v>
      </c>
      <c r="K454" t="s">
        <v>36</v>
      </c>
      <c r="L454" t="s">
        <v>23</v>
      </c>
      <c r="M454" t="s">
        <v>23</v>
      </c>
      <c r="N454" t="s">
        <v>19</v>
      </c>
      <c r="O454" t="s">
        <v>19</v>
      </c>
      <c r="P454" t="s">
        <v>23</v>
      </c>
      <c r="Q454" t="s">
        <v>1056</v>
      </c>
    </row>
    <row r="455" spans="1:17" hidden="1" x14ac:dyDescent="0.25">
      <c r="A455" t="s">
        <v>968</v>
      </c>
      <c r="B455" t="s">
        <v>14</v>
      </c>
      <c r="C455" t="s">
        <v>25</v>
      </c>
      <c r="D455" t="s">
        <v>29</v>
      </c>
      <c r="E455">
        <v>6</v>
      </c>
      <c r="F455">
        <f>MAX(-1,3-Tableau1[[#This Row],[Nb possédé (digital)]])</f>
        <v>-1</v>
      </c>
      <c r="G455">
        <v>6</v>
      </c>
      <c r="H455">
        <f>MAX(-1,3-Tableau1[[#This Row],[Possédé (physique)]])</f>
        <v>-1</v>
      </c>
      <c r="I455" t="str">
        <f>IF(Tableau1[[#This Row],[Manque (physique)]]&gt;Tableau1[[#This Row],[Manque (digital)]],"POD",IF(Tableau1[[#This Row],[Manque (digital)]]&gt;Tableau1[[#This Row],[Manque (physique)]],"MarketPlace",""))</f>
        <v/>
      </c>
      <c r="J455" t="s">
        <v>30</v>
      </c>
      <c r="K455" t="s">
        <v>36</v>
      </c>
      <c r="L455" t="s">
        <v>23</v>
      </c>
      <c r="M455" t="s">
        <v>52</v>
      </c>
      <c r="N455" t="s">
        <v>23</v>
      </c>
      <c r="O455" t="s">
        <v>23</v>
      </c>
      <c r="P455" t="s">
        <v>23</v>
      </c>
      <c r="Q455" t="s">
        <v>969</v>
      </c>
    </row>
    <row r="456" spans="1:17" hidden="1" x14ac:dyDescent="0.25">
      <c r="A456" t="s">
        <v>462</v>
      </c>
      <c r="B456" t="s">
        <v>14</v>
      </c>
      <c r="C456" t="s">
        <v>25</v>
      </c>
      <c r="D456" t="s">
        <v>29</v>
      </c>
      <c r="E456">
        <v>7</v>
      </c>
      <c r="F456">
        <f>MAX(-1,3-Tableau1[[#This Row],[Nb possédé (digital)]])</f>
        <v>-1</v>
      </c>
      <c r="G456">
        <v>7</v>
      </c>
      <c r="H456">
        <f>MAX(-1,3-Tableau1[[#This Row],[Possédé (physique)]])</f>
        <v>-1</v>
      </c>
      <c r="I456" t="str">
        <f>IF(Tableau1[[#This Row],[Manque (physique)]]&gt;Tableau1[[#This Row],[Manque (digital)]],"POD",IF(Tableau1[[#This Row],[Manque (digital)]]&gt;Tableau1[[#This Row],[Manque (physique)]],"MarketPlace",""))</f>
        <v/>
      </c>
      <c r="J456" t="s">
        <v>30</v>
      </c>
      <c r="K456" t="s">
        <v>463</v>
      </c>
      <c r="L456" t="s">
        <v>52</v>
      </c>
      <c r="M456" t="s">
        <v>52</v>
      </c>
      <c r="N456" t="s">
        <v>20</v>
      </c>
      <c r="O456" t="s">
        <v>20</v>
      </c>
      <c r="P456" t="s">
        <v>20</v>
      </c>
      <c r="Q456" t="s">
        <v>464</v>
      </c>
    </row>
    <row r="457" spans="1:17" hidden="1" x14ac:dyDescent="0.25">
      <c r="A457" t="s">
        <v>579</v>
      </c>
      <c r="B457" t="s">
        <v>14</v>
      </c>
      <c r="C457" t="s">
        <v>25</v>
      </c>
      <c r="D457" t="s">
        <v>29</v>
      </c>
      <c r="E457">
        <v>7</v>
      </c>
      <c r="F457">
        <f>MAX(-1,3-Tableau1[[#This Row],[Nb possédé (digital)]])</f>
        <v>-1</v>
      </c>
      <c r="G457">
        <v>7</v>
      </c>
      <c r="H457">
        <f>MAX(-1,3-Tableau1[[#This Row],[Possédé (physique)]])</f>
        <v>-1</v>
      </c>
      <c r="I457" t="str">
        <f>IF(Tableau1[[#This Row],[Manque (physique)]]&gt;Tableau1[[#This Row],[Manque (digital)]],"POD",IF(Tableau1[[#This Row],[Manque (digital)]]&gt;Tableau1[[#This Row],[Manque (physique)]],"MarketPlace",""))</f>
        <v/>
      </c>
      <c r="J457" t="s">
        <v>30</v>
      </c>
      <c r="K457" t="s">
        <v>107</v>
      </c>
      <c r="L457" t="s">
        <v>52</v>
      </c>
      <c r="M457" t="s">
        <v>52</v>
      </c>
      <c r="N457" t="s">
        <v>23</v>
      </c>
      <c r="O457" t="s">
        <v>23</v>
      </c>
      <c r="P457" t="s">
        <v>23</v>
      </c>
      <c r="Q457" t="s">
        <v>580</v>
      </c>
    </row>
    <row r="458" spans="1:17" hidden="1" x14ac:dyDescent="0.25">
      <c r="A458" t="s">
        <v>795</v>
      </c>
      <c r="B458" t="s">
        <v>14</v>
      </c>
      <c r="C458" t="s">
        <v>25</v>
      </c>
      <c r="D458" t="s">
        <v>29</v>
      </c>
      <c r="E458">
        <v>6</v>
      </c>
      <c r="F458">
        <f>MAX(-1,3-Tableau1[[#This Row],[Nb possédé (digital)]])</f>
        <v>-1</v>
      </c>
      <c r="G458">
        <v>6</v>
      </c>
      <c r="H458">
        <f>MAX(-1,3-Tableau1[[#This Row],[Possédé (physique)]])</f>
        <v>-1</v>
      </c>
      <c r="I458" t="str">
        <f>IF(Tableau1[[#This Row],[Manque (physique)]]&gt;Tableau1[[#This Row],[Manque (digital)]],"POD",IF(Tableau1[[#This Row],[Manque (digital)]]&gt;Tableau1[[#This Row],[Manque (physique)]],"MarketPlace",""))</f>
        <v/>
      </c>
      <c r="J458" t="s">
        <v>268</v>
      </c>
      <c r="K458" t="s">
        <v>438</v>
      </c>
      <c r="L458" t="s">
        <v>52</v>
      </c>
      <c r="M458" t="s">
        <v>52</v>
      </c>
      <c r="Q458" t="s">
        <v>796</v>
      </c>
    </row>
    <row r="459" spans="1:17" hidden="1" x14ac:dyDescent="0.25">
      <c r="A459" t="s">
        <v>110</v>
      </c>
      <c r="B459" t="s">
        <v>14</v>
      </c>
      <c r="C459" t="s">
        <v>25</v>
      </c>
      <c r="D459" t="s">
        <v>29</v>
      </c>
      <c r="E459">
        <v>6</v>
      </c>
      <c r="F459">
        <f>MAX(-1,3-Tableau1[[#This Row],[Nb possédé (digital)]])</f>
        <v>-1</v>
      </c>
      <c r="G459">
        <v>6</v>
      </c>
      <c r="H459">
        <f>MAX(-1,3-Tableau1[[#This Row],[Possédé (physique)]])</f>
        <v>-1</v>
      </c>
      <c r="I459" t="str">
        <f>IF(Tableau1[[#This Row],[Manque (physique)]]&gt;Tableau1[[#This Row],[Manque (digital)]],"POD",IF(Tableau1[[#This Row],[Manque (digital)]]&gt;Tableau1[[#This Row],[Manque (physique)]],"MarketPlace",""))</f>
        <v/>
      </c>
      <c r="J459" t="s">
        <v>30</v>
      </c>
      <c r="K459" t="s">
        <v>111</v>
      </c>
      <c r="L459" t="s">
        <v>37</v>
      </c>
      <c r="M459" t="s">
        <v>37</v>
      </c>
      <c r="N459" t="s">
        <v>52</v>
      </c>
      <c r="O459" t="s">
        <v>52</v>
      </c>
      <c r="P459" t="s">
        <v>52</v>
      </c>
      <c r="Q459" t="s">
        <v>112</v>
      </c>
    </row>
    <row r="460" spans="1:17" hidden="1" x14ac:dyDescent="0.25">
      <c r="A460" t="s">
        <v>1002</v>
      </c>
      <c r="B460" t="s">
        <v>14</v>
      </c>
      <c r="C460" t="s">
        <v>25</v>
      </c>
      <c r="D460" t="s">
        <v>29</v>
      </c>
      <c r="E460">
        <v>6</v>
      </c>
      <c r="F460">
        <f>MAX(-1,3-Tableau1[[#This Row],[Nb possédé (digital)]])</f>
        <v>-1</v>
      </c>
      <c r="G460">
        <v>6</v>
      </c>
      <c r="H460">
        <f>MAX(-1,3-Tableau1[[#This Row],[Possédé (physique)]])</f>
        <v>-1</v>
      </c>
      <c r="I460" t="str">
        <f>IF(Tableau1[[#This Row],[Manque (physique)]]&gt;Tableau1[[#This Row],[Manque (digital)]],"POD",IF(Tableau1[[#This Row],[Manque (digital)]]&gt;Tableau1[[#This Row],[Manque (physique)]],"MarketPlace",""))</f>
        <v/>
      </c>
      <c r="J460" t="s">
        <v>30</v>
      </c>
      <c r="K460" t="s">
        <v>79</v>
      </c>
      <c r="L460" t="s">
        <v>380</v>
      </c>
      <c r="M460" t="s">
        <v>380</v>
      </c>
      <c r="N460" t="s">
        <v>52</v>
      </c>
      <c r="O460" t="s">
        <v>52</v>
      </c>
      <c r="P460" t="s">
        <v>52</v>
      </c>
      <c r="Q460" t="s">
        <v>1003</v>
      </c>
    </row>
    <row r="461" spans="1:17" hidden="1" x14ac:dyDescent="0.25">
      <c r="A461" t="s">
        <v>1183</v>
      </c>
      <c r="B461" t="s">
        <v>14</v>
      </c>
      <c r="C461" t="s">
        <v>25</v>
      </c>
      <c r="D461" t="s">
        <v>1156</v>
      </c>
      <c r="E461">
        <v>7</v>
      </c>
      <c r="F461">
        <f>MAX(-1,3-Tableau1[[#This Row],[Nb possédé (digital)]])</f>
        <v>-1</v>
      </c>
      <c r="G461">
        <v>7</v>
      </c>
      <c r="H461">
        <f>MAX(-1,3-Tableau1[[#This Row],[Possédé (physique)]])</f>
        <v>-1</v>
      </c>
      <c r="I461" t="str">
        <f>IF(Tableau1[[#This Row],[Manque (physique)]]&gt;Tableau1[[#This Row],[Manque (digital)]],"POD",IF(Tableau1[[#This Row],[Manque (digital)]]&gt;Tableau1[[#This Row],[Manque (physique)]],"MarketPlace",""))</f>
        <v/>
      </c>
      <c r="J461" t="s">
        <v>17</v>
      </c>
      <c r="K461" t="s">
        <v>201</v>
      </c>
      <c r="L461" t="s">
        <v>20</v>
      </c>
      <c r="M461" t="s">
        <v>20</v>
      </c>
      <c r="Q461" t="s">
        <v>1324</v>
      </c>
    </row>
    <row r="462" spans="1:17" hidden="1" x14ac:dyDescent="0.25">
      <c r="A462" t="s">
        <v>1212</v>
      </c>
      <c r="B462" t="s">
        <v>14</v>
      </c>
      <c r="C462" t="s">
        <v>25</v>
      </c>
      <c r="D462" t="s">
        <v>1156</v>
      </c>
      <c r="E462">
        <v>8</v>
      </c>
      <c r="F462">
        <f>MAX(-1,3-Tableau1[[#This Row],[Nb possédé (digital)]])</f>
        <v>-1</v>
      </c>
      <c r="G462">
        <v>8</v>
      </c>
      <c r="H462">
        <f>MAX(-1,3-Tableau1[[#This Row],[Possédé (physique)]])</f>
        <v>-1</v>
      </c>
      <c r="I462" t="str">
        <f>IF(Tableau1[[#This Row],[Manque (physique)]]&gt;Tableau1[[#This Row],[Manque (digital)]],"POD",IF(Tableau1[[#This Row],[Manque (digital)]]&gt;Tableau1[[#This Row],[Manque (physique)]],"MarketPlace",""))</f>
        <v/>
      </c>
      <c r="J462" t="s">
        <v>30</v>
      </c>
      <c r="K462" t="s">
        <v>79</v>
      </c>
      <c r="L462" t="s">
        <v>20</v>
      </c>
      <c r="M462" t="s">
        <v>20</v>
      </c>
      <c r="N462" t="s">
        <v>20</v>
      </c>
      <c r="O462" t="s">
        <v>89</v>
      </c>
      <c r="P462" t="s">
        <v>20</v>
      </c>
      <c r="Q462" t="s">
        <v>1382</v>
      </c>
    </row>
    <row r="463" spans="1:17" hidden="1" x14ac:dyDescent="0.25">
      <c r="A463" t="s">
        <v>1163</v>
      </c>
      <c r="B463" t="s">
        <v>14</v>
      </c>
      <c r="C463" t="s">
        <v>25</v>
      </c>
      <c r="D463" t="s">
        <v>1156</v>
      </c>
      <c r="E463">
        <v>6</v>
      </c>
      <c r="F463">
        <f>MAX(-1,3-Tableau1[[#This Row],[Nb possédé (digital)]])</f>
        <v>-1</v>
      </c>
      <c r="G463">
        <v>6</v>
      </c>
      <c r="H463">
        <f>MAX(-1,3-Tableau1[[#This Row],[Possédé (physique)]])</f>
        <v>-1</v>
      </c>
      <c r="I463" t="str">
        <f>IF(Tableau1[[#This Row],[Manque (physique)]]&gt;Tableau1[[#This Row],[Manque (digital)]],"POD",IF(Tableau1[[#This Row],[Manque (digital)]]&gt;Tableau1[[#This Row],[Manque (physique)]],"MarketPlace",""))</f>
        <v/>
      </c>
      <c r="J463" t="s">
        <v>30</v>
      </c>
      <c r="K463" t="s">
        <v>107</v>
      </c>
      <c r="L463" t="s">
        <v>19</v>
      </c>
      <c r="M463" t="s">
        <v>19</v>
      </c>
      <c r="N463" t="s">
        <v>19</v>
      </c>
      <c r="O463" t="s">
        <v>19</v>
      </c>
      <c r="P463" t="s">
        <v>20</v>
      </c>
      <c r="Q463" t="s">
        <v>1281</v>
      </c>
    </row>
    <row r="464" spans="1:17" hidden="1" x14ac:dyDescent="0.25">
      <c r="A464" t="s">
        <v>1188</v>
      </c>
      <c r="B464" t="s">
        <v>14</v>
      </c>
      <c r="C464" t="s">
        <v>25</v>
      </c>
      <c r="D464" t="s">
        <v>1156</v>
      </c>
      <c r="E464">
        <v>8</v>
      </c>
      <c r="F464">
        <f>MAX(-1,3-Tableau1[[#This Row],[Nb possédé (digital)]])</f>
        <v>-1</v>
      </c>
      <c r="G464">
        <v>8</v>
      </c>
      <c r="H464">
        <f>MAX(-1,3-Tableau1[[#This Row],[Possédé (physique)]])</f>
        <v>-1</v>
      </c>
      <c r="I464" t="str">
        <f>IF(Tableau1[[#This Row],[Manque (physique)]]&gt;Tableau1[[#This Row],[Manque (digital)]],"POD",IF(Tableau1[[#This Row],[Manque (digital)]]&gt;Tableau1[[#This Row],[Manque (physique)]],"MarketPlace",""))</f>
        <v/>
      </c>
      <c r="J464" t="s">
        <v>30</v>
      </c>
      <c r="K464" t="s">
        <v>328</v>
      </c>
      <c r="L464" t="s">
        <v>19</v>
      </c>
      <c r="M464" t="s">
        <v>19</v>
      </c>
      <c r="N464" t="s">
        <v>19</v>
      </c>
      <c r="O464" t="s">
        <v>23</v>
      </c>
      <c r="P464" t="s">
        <v>89</v>
      </c>
      <c r="Q464" t="s">
        <v>1334</v>
      </c>
    </row>
    <row r="465" spans="1:17" hidden="1" x14ac:dyDescent="0.25">
      <c r="A465" t="s">
        <v>1205</v>
      </c>
      <c r="B465" t="s">
        <v>14</v>
      </c>
      <c r="C465" t="s">
        <v>25</v>
      </c>
      <c r="D465" t="s">
        <v>1156</v>
      </c>
      <c r="E465">
        <v>7</v>
      </c>
      <c r="F465">
        <f>MAX(-1,3-Tableau1[[#This Row],[Nb possédé (digital)]])</f>
        <v>-1</v>
      </c>
      <c r="G465">
        <v>7</v>
      </c>
      <c r="H465">
        <f>MAX(-1,3-Tableau1[[#This Row],[Possédé (physique)]])</f>
        <v>-1</v>
      </c>
      <c r="I465" t="str">
        <f>IF(Tableau1[[#This Row],[Manque (physique)]]&gt;Tableau1[[#This Row],[Manque (digital)]],"POD",IF(Tableau1[[#This Row],[Manque (digital)]]&gt;Tableau1[[#This Row],[Manque (physique)]],"MarketPlace",""))</f>
        <v/>
      </c>
      <c r="J465" t="s">
        <v>268</v>
      </c>
      <c r="K465" t="s">
        <v>438</v>
      </c>
      <c r="L465" t="s">
        <v>19</v>
      </c>
      <c r="M465" t="s">
        <v>19</v>
      </c>
      <c r="Q465" t="s">
        <v>1369</v>
      </c>
    </row>
    <row r="466" spans="1:17" hidden="1" x14ac:dyDescent="0.25">
      <c r="A466" t="s">
        <v>1214</v>
      </c>
      <c r="B466" t="s">
        <v>14</v>
      </c>
      <c r="C466" t="s">
        <v>25</v>
      </c>
      <c r="D466" t="s">
        <v>1156</v>
      </c>
      <c r="E466">
        <v>5</v>
      </c>
      <c r="F466">
        <f>MAX(-1,3-Tableau1[[#This Row],[Nb possédé (digital)]])</f>
        <v>-1</v>
      </c>
      <c r="G466">
        <v>6</v>
      </c>
      <c r="H466">
        <f>MAX(-1,3-Tableau1[[#This Row],[Possédé (physique)]])</f>
        <v>-1</v>
      </c>
      <c r="I466" t="str">
        <f>IF(Tableau1[[#This Row],[Manque (physique)]]&gt;Tableau1[[#This Row],[Manque (digital)]],"POD",IF(Tableau1[[#This Row],[Manque (digital)]]&gt;Tableau1[[#This Row],[Manque (physique)]],"MarketPlace",""))</f>
        <v/>
      </c>
      <c r="J466" t="s">
        <v>268</v>
      </c>
      <c r="K466" t="s">
        <v>438</v>
      </c>
      <c r="L466" t="s">
        <v>19</v>
      </c>
      <c r="M466" t="s">
        <v>19</v>
      </c>
      <c r="Q466" t="s">
        <v>1386</v>
      </c>
    </row>
    <row r="467" spans="1:17" hidden="1" x14ac:dyDescent="0.25">
      <c r="A467" t="s">
        <v>1256</v>
      </c>
      <c r="B467" t="s">
        <v>14</v>
      </c>
      <c r="C467" t="s">
        <v>25</v>
      </c>
      <c r="D467" t="s">
        <v>1156</v>
      </c>
      <c r="E467">
        <v>6</v>
      </c>
      <c r="F467">
        <f>MAX(-1,3-Tableau1[[#This Row],[Nb possédé (digital)]])</f>
        <v>-1</v>
      </c>
      <c r="G467">
        <v>6</v>
      </c>
      <c r="H467">
        <f>MAX(-1,3-Tableau1[[#This Row],[Possédé (physique)]])</f>
        <v>-1</v>
      </c>
      <c r="I467" t="str">
        <f>IF(Tableau1[[#This Row],[Manque (physique)]]&gt;Tableau1[[#This Row],[Manque (digital)]],"POD",IF(Tableau1[[#This Row],[Manque (digital)]]&gt;Tableau1[[#This Row],[Manque (physique)]],"MarketPlace",""))</f>
        <v/>
      </c>
      <c r="J467" t="s">
        <v>30</v>
      </c>
      <c r="K467" t="s">
        <v>36</v>
      </c>
      <c r="L467" t="s">
        <v>19</v>
      </c>
      <c r="M467" t="s">
        <v>19</v>
      </c>
      <c r="N467" t="s">
        <v>19</v>
      </c>
      <c r="O467" t="s">
        <v>19</v>
      </c>
      <c r="P467" t="s">
        <v>19</v>
      </c>
      <c r="Q467" t="s">
        <v>1477</v>
      </c>
    </row>
    <row r="468" spans="1:17" hidden="1" x14ac:dyDescent="0.25">
      <c r="A468" t="s">
        <v>1247</v>
      </c>
      <c r="B468" t="s">
        <v>14</v>
      </c>
      <c r="C468" t="s">
        <v>25</v>
      </c>
      <c r="D468" t="s">
        <v>1156</v>
      </c>
      <c r="E468">
        <v>6</v>
      </c>
      <c r="F468">
        <f>MAX(-1,3-Tableau1[[#This Row],[Nb possédé (digital)]])</f>
        <v>-1</v>
      </c>
      <c r="G468">
        <v>6</v>
      </c>
      <c r="H468">
        <f>MAX(-1,3-Tableau1[[#This Row],[Possédé (physique)]])</f>
        <v>-1</v>
      </c>
      <c r="I468" t="str">
        <f>IF(Tableau1[[#This Row],[Manque (physique)]]&gt;Tableau1[[#This Row],[Manque (digital)]],"POD",IF(Tableau1[[#This Row],[Manque (digital)]]&gt;Tableau1[[#This Row],[Manque (physique)]],"MarketPlace",""))</f>
        <v/>
      </c>
      <c r="J468" t="s">
        <v>17</v>
      </c>
      <c r="K468" t="s">
        <v>97</v>
      </c>
      <c r="L468" t="s">
        <v>19</v>
      </c>
      <c r="M468" t="s">
        <v>52</v>
      </c>
      <c r="Q468" t="s">
        <v>1461</v>
      </c>
    </row>
    <row r="469" spans="1:17" hidden="1" x14ac:dyDescent="0.25">
      <c r="A469" t="s">
        <v>1264</v>
      </c>
      <c r="B469" t="s">
        <v>14</v>
      </c>
      <c r="C469" t="s">
        <v>25</v>
      </c>
      <c r="D469" t="s">
        <v>1156</v>
      </c>
      <c r="E469">
        <v>5</v>
      </c>
      <c r="F469">
        <f>MAX(-1,3-Tableau1[[#This Row],[Nb possédé (digital)]])</f>
        <v>-1</v>
      </c>
      <c r="G469">
        <v>5</v>
      </c>
      <c r="H469">
        <f>MAX(-1,3-Tableau1[[#This Row],[Possédé (physique)]])</f>
        <v>-1</v>
      </c>
      <c r="I469" t="str">
        <f>IF(Tableau1[[#This Row],[Manque (physique)]]&gt;Tableau1[[#This Row],[Manque (digital)]],"POD",IF(Tableau1[[#This Row],[Manque (digital)]]&gt;Tableau1[[#This Row],[Manque (physique)]],"MarketPlace",""))</f>
        <v/>
      </c>
      <c r="J469" t="s">
        <v>30</v>
      </c>
      <c r="K469" t="s">
        <v>557</v>
      </c>
      <c r="L469" t="s">
        <v>23</v>
      </c>
      <c r="M469" t="s">
        <v>19</v>
      </c>
      <c r="N469" t="s">
        <v>19</v>
      </c>
      <c r="O469" t="s">
        <v>19</v>
      </c>
      <c r="P469" t="s">
        <v>19</v>
      </c>
      <c r="Q469" t="s">
        <v>1491</v>
      </c>
    </row>
    <row r="470" spans="1:17" hidden="1" x14ac:dyDescent="0.25">
      <c r="A470" t="s">
        <v>1219</v>
      </c>
      <c r="B470" t="s">
        <v>14</v>
      </c>
      <c r="C470" t="s">
        <v>25</v>
      </c>
      <c r="D470" t="s">
        <v>1156</v>
      </c>
      <c r="E470">
        <v>7</v>
      </c>
      <c r="F470">
        <f>MAX(-1,3-Tableau1[[#This Row],[Nb possédé (digital)]])</f>
        <v>-1</v>
      </c>
      <c r="G470">
        <v>7</v>
      </c>
      <c r="H470">
        <f>MAX(-1,3-Tableau1[[#This Row],[Possédé (physique)]])</f>
        <v>-1</v>
      </c>
      <c r="I470" t="str">
        <f>IF(Tableau1[[#This Row],[Manque (physique)]]&gt;Tableau1[[#This Row],[Manque (digital)]],"POD",IF(Tableau1[[#This Row],[Manque (digital)]]&gt;Tableau1[[#This Row],[Manque (physique)]],"MarketPlace",""))</f>
        <v/>
      </c>
      <c r="J470" t="s">
        <v>30</v>
      </c>
      <c r="K470" t="s">
        <v>481</v>
      </c>
      <c r="L470" t="s">
        <v>23</v>
      </c>
      <c r="M470" t="s">
        <v>19</v>
      </c>
      <c r="N470" t="s">
        <v>89</v>
      </c>
      <c r="O470" t="s">
        <v>19</v>
      </c>
      <c r="P470" t="s">
        <v>23</v>
      </c>
      <c r="Q470" t="s">
        <v>1399</v>
      </c>
    </row>
    <row r="471" spans="1:17" hidden="1" x14ac:dyDescent="0.25">
      <c r="A471" t="s">
        <v>1259</v>
      </c>
      <c r="B471" t="s">
        <v>14</v>
      </c>
      <c r="C471" t="s">
        <v>25</v>
      </c>
      <c r="D471" t="s">
        <v>1156</v>
      </c>
      <c r="E471">
        <v>5</v>
      </c>
      <c r="F471">
        <f>MAX(-1,3-Tableau1[[#This Row],[Nb possédé (digital)]])</f>
        <v>-1</v>
      </c>
      <c r="G471">
        <v>6</v>
      </c>
      <c r="H471">
        <f>MAX(-1,3-Tableau1[[#This Row],[Possédé (physique)]])</f>
        <v>-1</v>
      </c>
      <c r="I471" t="str">
        <f>IF(Tableau1[[#This Row],[Manque (physique)]]&gt;Tableau1[[#This Row],[Manque (digital)]],"POD",IF(Tableau1[[#This Row],[Manque (digital)]]&gt;Tableau1[[#This Row],[Manque (physique)]],"MarketPlace",""))</f>
        <v/>
      </c>
      <c r="J471" t="s">
        <v>30</v>
      </c>
      <c r="K471" t="s">
        <v>107</v>
      </c>
      <c r="L471" t="s">
        <v>23</v>
      </c>
      <c r="M471" t="s">
        <v>19</v>
      </c>
      <c r="N471" t="s">
        <v>19</v>
      </c>
      <c r="O471" t="s">
        <v>19</v>
      </c>
      <c r="P471" t="s">
        <v>19</v>
      </c>
      <c r="Q471" t="s">
        <v>1483</v>
      </c>
    </row>
    <row r="472" spans="1:17" hidden="1" x14ac:dyDescent="0.25">
      <c r="A472" t="s">
        <v>1179</v>
      </c>
      <c r="B472" t="s">
        <v>14</v>
      </c>
      <c r="C472" t="s">
        <v>25</v>
      </c>
      <c r="D472" t="s">
        <v>1156</v>
      </c>
      <c r="E472">
        <v>7</v>
      </c>
      <c r="F472">
        <f>MAX(-1,3-Tableau1[[#This Row],[Nb possédé (digital)]])</f>
        <v>-1</v>
      </c>
      <c r="G472">
        <v>7</v>
      </c>
      <c r="H472">
        <f>MAX(-1,3-Tableau1[[#This Row],[Possédé (physique)]])</f>
        <v>-1</v>
      </c>
      <c r="I472" t="str">
        <f>IF(Tableau1[[#This Row],[Manque (physique)]]&gt;Tableau1[[#This Row],[Manque (digital)]],"POD",IF(Tableau1[[#This Row],[Manque (digital)]]&gt;Tableau1[[#This Row],[Manque (physique)]],"MarketPlace",""))</f>
        <v/>
      </c>
      <c r="J472" t="s">
        <v>30</v>
      </c>
      <c r="K472" t="s">
        <v>328</v>
      </c>
      <c r="L472" t="s">
        <v>52</v>
      </c>
      <c r="M472" t="s">
        <v>52</v>
      </c>
      <c r="N472" t="s">
        <v>89</v>
      </c>
      <c r="O472" t="s">
        <v>89</v>
      </c>
      <c r="P472" t="s">
        <v>89</v>
      </c>
      <c r="Q472" t="s">
        <v>1317</v>
      </c>
    </row>
    <row r="473" spans="1:17" hidden="1" x14ac:dyDescent="0.25">
      <c r="A473" t="s">
        <v>1198</v>
      </c>
      <c r="B473" t="s">
        <v>14</v>
      </c>
      <c r="C473" t="s">
        <v>25</v>
      </c>
      <c r="D473" t="s">
        <v>1156</v>
      </c>
      <c r="E473">
        <v>7</v>
      </c>
      <c r="F473">
        <f>MAX(-1,3-Tableau1[[#This Row],[Nb possédé (digital)]])</f>
        <v>-1</v>
      </c>
      <c r="G473">
        <v>7</v>
      </c>
      <c r="H473">
        <f>MAX(-1,3-Tableau1[[#This Row],[Possédé (physique)]])</f>
        <v>-1</v>
      </c>
      <c r="I473" t="str">
        <f>IF(Tableau1[[#This Row],[Manque (physique)]]&gt;Tableau1[[#This Row],[Manque (digital)]],"POD",IF(Tableau1[[#This Row],[Manque (digital)]]&gt;Tableau1[[#This Row],[Manque (physique)]],"MarketPlace",""))</f>
        <v/>
      </c>
      <c r="J473" t="s">
        <v>17</v>
      </c>
      <c r="K473" t="s">
        <v>153</v>
      </c>
      <c r="L473" t="s">
        <v>52</v>
      </c>
      <c r="M473" t="s">
        <v>52</v>
      </c>
      <c r="Q473" t="s">
        <v>1353</v>
      </c>
    </row>
    <row r="474" spans="1:17" hidden="1" x14ac:dyDescent="0.25">
      <c r="A474" t="s">
        <v>1261</v>
      </c>
      <c r="B474" t="s">
        <v>14</v>
      </c>
      <c r="C474" t="s">
        <v>25</v>
      </c>
      <c r="D474" t="s">
        <v>1156</v>
      </c>
      <c r="E474">
        <v>6</v>
      </c>
      <c r="F474">
        <f>MAX(-1,3-Tableau1[[#This Row],[Nb possédé (digital)]])</f>
        <v>-1</v>
      </c>
      <c r="G474">
        <v>6</v>
      </c>
      <c r="H474">
        <f>MAX(-1,3-Tableau1[[#This Row],[Possédé (physique)]])</f>
        <v>-1</v>
      </c>
      <c r="I474" t="str">
        <f>IF(Tableau1[[#This Row],[Manque (physique)]]&gt;Tableau1[[#This Row],[Manque (digital)]],"POD",IF(Tableau1[[#This Row],[Manque (digital)]]&gt;Tableau1[[#This Row],[Manque (physique)]],"MarketPlace",""))</f>
        <v/>
      </c>
      <c r="J474" t="s">
        <v>30</v>
      </c>
      <c r="K474" t="s">
        <v>1471</v>
      </c>
      <c r="L474" t="s">
        <v>37</v>
      </c>
      <c r="M474" t="s">
        <v>37</v>
      </c>
      <c r="N474" t="s">
        <v>52</v>
      </c>
      <c r="O474" t="s">
        <v>52</v>
      </c>
      <c r="P474" t="s">
        <v>52</v>
      </c>
      <c r="Q474" t="s">
        <v>1486</v>
      </c>
    </row>
    <row r="475" spans="1:17" hidden="1" x14ac:dyDescent="0.25">
      <c r="A475" t="s">
        <v>1227</v>
      </c>
      <c r="B475" t="s">
        <v>14</v>
      </c>
      <c r="C475" t="s">
        <v>25</v>
      </c>
      <c r="D475" t="s">
        <v>1156</v>
      </c>
      <c r="E475">
        <v>5</v>
      </c>
      <c r="F475">
        <f>MAX(-1,3-Tableau1[[#This Row],[Nb possédé (digital)]])</f>
        <v>-1</v>
      </c>
      <c r="G475">
        <v>5</v>
      </c>
      <c r="H475">
        <f>MAX(-1,3-Tableau1[[#This Row],[Possédé (physique)]])</f>
        <v>-1</v>
      </c>
      <c r="I475" t="str">
        <f>IF(Tableau1[[#This Row],[Manque (physique)]]&gt;Tableau1[[#This Row],[Manque (digital)]],"POD",IF(Tableau1[[#This Row],[Manque (digital)]]&gt;Tableau1[[#This Row],[Manque (physique)]],"MarketPlace",""))</f>
        <v/>
      </c>
      <c r="J475" t="s">
        <v>17</v>
      </c>
      <c r="K475" t="s">
        <v>201</v>
      </c>
      <c r="L475" t="s">
        <v>37</v>
      </c>
      <c r="M475" t="s">
        <v>39</v>
      </c>
      <c r="Q475" t="s">
        <v>1418</v>
      </c>
    </row>
    <row r="476" spans="1:17" hidden="1" x14ac:dyDescent="0.25">
      <c r="A476" t="s">
        <v>1242</v>
      </c>
      <c r="B476" t="s">
        <v>14</v>
      </c>
      <c r="C476" t="s">
        <v>25</v>
      </c>
      <c r="D476" t="s">
        <v>1156</v>
      </c>
      <c r="E476">
        <v>7</v>
      </c>
      <c r="F476">
        <f>MAX(-1,3-Tableau1[[#This Row],[Nb possédé (digital)]])</f>
        <v>-1</v>
      </c>
      <c r="G476">
        <v>7</v>
      </c>
      <c r="H476">
        <f>MAX(-1,3-Tableau1[[#This Row],[Possédé (physique)]])</f>
        <v>-1</v>
      </c>
      <c r="I476" t="str">
        <f>IF(Tableau1[[#This Row],[Manque (physique)]]&gt;Tableau1[[#This Row],[Manque (digital)]],"POD",IF(Tableau1[[#This Row],[Manque (digital)]]&gt;Tableau1[[#This Row],[Manque (physique)]],"MarketPlace",""))</f>
        <v/>
      </c>
      <c r="J476" t="s">
        <v>30</v>
      </c>
      <c r="K476" t="s">
        <v>601</v>
      </c>
      <c r="L476" t="s">
        <v>39</v>
      </c>
      <c r="M476" t="s">
        <v>39</v>
      </c>
      <c r="N476" t="s">
        <v>23</v>
      </c>
      <c r="O476" t="s">
        <v>19</v>
      </c>
      <c r="P476" t="s">
        <v>23</v>
      </c>
      <c r="Q476" t="s">
        <v>1450</v>
      </c>
    </row>
    <row r="477" spans="1:17" hidden="1" x14ac:dyDescent="0.25">
      <c r="A477" t="s">
        <v>1222</v>
      </c>
      <c r="B477" t="s">
        <v>14</v>
      </c>
      <c r="C477" t="s">
        <v>25</v>
      </c>
      <c r="D477" t="s">
        <v>1156</v>
      </c>
      <c r="E477">
        <v>6</v>
      </c>
      <c r="F477">
        <f>MAX(-1,3-Tableau1[[#This Row],[Nb possédé (digital)]])</f>
        <v>-1</v>
      </c>
      <c r="G477">
        <v>6</v>
      </c>
      <c r="H477">
        <f>MAX(-1,3-Tableau1[[#This Row],[Possédé (physique)]])</f>
        <v>-1</v>
      </c>
      <c r="I477" t="str">
        <f>IF(Tableau1[[#This Row],[Manque (physique)]]&gt;Tableau1[[#This Row],[Manque (digital)]],"POD",IF(Tableau1[[#This Row],[Manque (digital)]]&gt;Tableau1[[#This Row],[Manque (physique)]],"MarketPlace",""))</f>
        <v/>
      </c>
      <c r="J477" t="s">
        <v>30</v>
      </c>
      <c r="K477" t="s">
        <v>51</v>
      </c>
      <c r="L477" t="s">
        <v>380</v>
      </c>
      <c r="M477" t="s">
        <v>380</v>
      </c>
      <c r="N477" t="s">
        <v>23</v>
      </c>
      <c r="O477" t="s">
        <v>23</v>
      </c>
      <c r="P477" t="s">
        <v>23</v>
      </c>
      <c r="Q477" t="s">
        <v>1404</v>
      </c>
    </row>
    <row r="478" spans="1:17" hidden="1" x14ac:dyDescent="0.25">
      <c r="A478" t="s">
        <v>930</v>
      </c>
      <c r="B478" t="s">
        <v>14</v>
      </c>
      <c r="C478" t="s">
        <v>25</v>
      </c>
      <c r="E478">
        <v>35</v>
      </c>
      <c r="F478">
        <f>MAX(-1,3-Tableau1[[#This Row],[Nb possédé (digital)]])</f>
        <v>-1</v>
      </c>
      <c r="G478">
        <v>35</v>
      </c>
      <c r="H478">
        <f>MAX(-1,3-Tableau1[[#This Row],[Possédé (physique)]])</f>
        <v>-1</v>
      </c>
      <c r="I478" t="str">
        <f>IF(Tableau1[[#This Row],[Manque (physique)]]&gt;Tableau1[[#This Row],[Manque (digital)]],"POD",IF(Tableau1[[#This Row],[Manque (digital)]]&gt;Tableau1[[#This Row],[Manque (physique)]],"MarketPlace",""))</f>
        <v/>
      </c>
      <c r="J478" t="s">
        <v>197</v>
      </c>
      <c r="K478" t="s">
        <v>36</v>
      </c>
      <c r="L478" t="s">
        <v>89</v>
      </c>
      <c r="M478" t="s">
        <v>89</v>
      </c>
      <c r="N478" t="s">
        <v>20</v>
      </c>
      <c r="O478" t="s">
        <v>20</v>
      </c>
      <c r="P478" t="s">
        <v>20</v>
      </c>
      <c r="Q478" t="s">
        <v>199</v>
      </c>
    </row>
    <row r="479" spans="1:17" hidden="1" x14ac:dyDescent="0.25">
      <c r="A479" t="s">
        <v>930</v>
      </c>
      <c r="B479" t="s">
        <v>14</v>
      </c>
      <c r="C479" t="s">
        <v>25</v>
      </c>
      <c r="E479">
        <v>5</v>
      </c>
      <c r="F479">
        <f>MAX(-1,3-Tableau1[[#This Row],[Nb possédé (digital)]])</f>
        <v>-1</v>
      </c>
      <c r="G479">
        <v>5</v>
      </c>
      <c r="H479">
        <f>MAX(-1,3-Tableau1[[#This Row],[Possédé (physique)]])</f>
        <v>-1</v>
      </c>
      <c r="I479" t="str">
        <f>IF(Tableau1[[#This Row],[Manque (physique)]]&gt;Tableau1[[#This Row],[Manque (digital)]],"POD",IF(Tableau1[[#This Row],[Manque (digital)]]&gt;Tableau1[[#This Row],[Manque (physique)]],"MarketPlace",""))</f>
        <v/>
      </c>
      <c r="J479" t="s">
        <v>197</v>
      </c>
      <c r="K479" t="s">
        <v>36</v>
      </c>
      <c r="L479" t="s">
        <v>89</v>
      </c>
      <c r="M479" t="s">
        <v>89</v>
      </c>
      <c r="N479" t="s">
        <v>20</v>
      </c>
      <c r="O479" t="s">
        <v>20</v>
      </c>
      <c r="P479" t="s">
        <v>20</v>
      </c>
      <c r="Q479" t="s">
        <v>199</v>
      </c>
    </row>
    <row r="480" spans="1:17" hidden="1" x14ac:dyDescent="0.25">
      <c r="A480" t="s">
        <v>522</v>
      </c>
      <c r="B480" t="s">
        <v>14</v>
      </c>
      <c r="C480" t="s">
        <v>25</v>
      </c>
      <c r="E480">
        <v>20</v>
      </c>
      <c r="F480">
        <f>MAX(-1,3-Tableau1[[#This Row],[Nb possédé (digital)]])</f>
        <v>-1</v>
      </c>
      <c r="G480">
        <v>20</v>
      </c>
      <c r="H480">
        <f>MAX(-1,3-Tableau1[[#This Row],[Possédé (physique)]])</f>
        <v>-1</v>
      </c>
      <c r="I480" t="str">
        <f>IF(Tableau1[[#This Row],[Manque (physique)]]&gt;Tableau1[[#This Row],[Manque (digital)]],"POD",IF(Tableau1[[#This Row],[Manque (digital)]]&gt;Tableau1[[#This Row],[Manque (physique)]],"MarketPlace",""))</f>
        <v/>
      </c>
      <c r="J480" t="s">
        <v>48</v>
      </c>
      <c r="Q480" t="s">
        <v>523</v>
      </c>
    </row>
    <row r="481" spans="1:17" hidden="1" x14ac:dyDescent="0.25">
      <c r="A481" t="s">
        <v>1553</v>
      </c>
      <c r="B481" t="s">
        <v>14</v>
      </c>
      <c r="C481" t="s">
        <v>25</v>
      </c>
      <c r="E481">
        <v>10</v>
      </c>
      <c r="F481">
        <f>MAX(-1,3-Tableau1[[#This Row],[Nb possédé (digital)]])</f>
        <v>-1</v>
      </c>
      <c r="G481">
        <v>10</v>
      </c>
      <c r="H481">
        <f>MAX(-1,3-Tableau1[[#This Row],[Possédé (physique)]])</f>
        <v>-1</v>
      </c>
      <c r="I481" t="str">
        <f>IF(Tableau1[[#This Row],[Manque (physique)]]&gt;Tableau1[[#This Row],[Manque (digital)]],"POD",IF(Tableau1[[#This Row],[Manque (digital)]]&gt;Tableau1[[#This Row],[Manque (physique)]],"MarketPlace",""))</f>
        <v/>
      </c>
      <c r="J481" t="s">
        <v>48</v>
      </c>
      <c r="Q481" t="s">
        <v>1720</v>
      </c>
    </row>
    <row r="482" spans="1:17" hidden="1" x14ac:dyDescent="0.25">
      <c r="A482" t="s">
        <v>1000</v>
      </c>
      <c r="B482" t="s">
        <v>14</v>
      </c>
      <c r="C482" t="s">
        <v>25</v>
      </c>
      <c r="E482">
        <v>15</v>
      </c>
      <c r="F482">
        <f>MAX(-1,3-Tableau1[[#This Row],[Nb possédé (digital)]])</f>
        <v>-1</v>
      </c>
      <c r="G482">
        <v>15</v>
      </c>
      <c r="H482">
        <f>MAX(-1,3-Tableau1[[#This Row],[Possédé (physique)]])</f>
        <v>-1</v>
      </c>
      <c r="I482" t="str">
        <f>IF(Tableau1[[#This Row],[Manque (physique)]]&gt;Tableau1[[#This Row],[Manque (digital)]],"POD",IF(Tableau1[[#This Row],[Manque (digital)]]&gt;Tableau1[[#This Row],[Manque (physique)]],"MarketPlace",""))</f>
        <v/>
      </c>
      <c r="J482" t="s">
        <v>48</v>
      </c>
      <c r="Q482" t="s">
        <v>1001</v>
      </c>
    </row>
    <row r="483" spans="1:17" hidden="1" x14ac:dyDescent="0.25">
      <c r="A483" t="s">
        <v>1123</v>
      </c>
      <c r="B483" t="s">
        <v>14</v>
      </c>
      <c r="C483" t="s">
        <v>25</v>
      </c>
      <c r="E483">
        <v>15</v>
      </c>
      <c r="F483">
        <f>MAX(-1,3-Tableau1[[#This Row],[Nb possédé (digital)]])</f>
        <v>-1</v>
      </c>
      <c r="G483">
        <v>15</v>
      </c>
      <c r="H483">
        <f>MAX(-1,3-Tableau1[[#This Row],[Possédé (physique)]])</f>
        <v>-1</v>
      </c>
      <c r="I483" t="str">
        <f>IF(Tableau1[[#This Row],[Manque (physique)]]&gt;Tableau1[[#This Row],[Manque (digital)]],"POD",IF(Tableau1[[#This Row],[Manque (digital)]]&gt;Tableau1[[#This Row],[Manque (physique)]],"MarketPlace",""))</f>
        <v/>
      </c>
      <c r="J483" t="s">
        <v>48</v>
      </c>
      <c r="K483" t="s">
        <v>1124</v>
      </c>
      <c r="Q483" t="s">
        <v>1125</v>
      </c>
    </row>
    <row r="484" spans="1:17" hidden="1" x14ac:dyDescent="0.25">
      <c r="A484" t="s">
        <v>1263</v>
      </c>
      <c r="B484" t="s">
        <v>14</v>
      </c>
      <c r="C484" t="s">
        <v>25</v>
      </c>
      <c r="E484">
        <v>5</v>
      </c>
      <c r="F484">
        <f>MAX(-1,3-Tableau1[[#This Row],[Nb possédé (digital)]])</f>
        <v>-1</v>
      </c>
      <c r="G484">
        <v>5</v>
      </c>
      <c r="H484">
        <f>MAX(-1,3-Tableau1[[#This Row],[Possédé (physique)]])</f>
        <v>-1</v>
      </c>
      <c r="I484" t="str">
        <f>IF(Tableau1[[#This Row],[Manque (physique)]]&gt;Tableau1[[#This Row],[Manque (digital)]],"POD",IF(Tableau1[[#This Row],[Manque (digital)]]&gt;Tableau1[[#This Row],[Manque (physique)]],"MarketPlace",""))</f>
        <v/>
      </c>
      <c r="J484" t="s">
        <v>48</v>
      </c>
      <c r="Q484" t="s">
        <v>1490</v>
      </c>
    </row>
    <row r="485" spans="1:17" hidden="1" x14ac:dyDescent="0.25">
      <c r="A485" t="s">
        <v>320</v>
      </c>
      <c r="B485" t="s">
        <v>14</v>
      </c>
      <c r="C485" t="s">
        <v>45</v>
      </c>
      <c r="D485" t="s">
        <v>16</v>
      </c>
      <c r="E485">
        <v>5</v>
      </c>
      <c r="F485">
        <f>MAX(-1,3-Tableau1[[#This Row],[Nb possédé (digital)]])</f>
        <v>-1</v>
      </c>
      <c r="G485">
        <v>5</v>
      </c>
      <c r="H485">
        <f>MAX(-1,3-Tableau1[[#This Row],[Possédé (physique)]])</f>
        <v>-1</v>
      </c>
      <c r="I485" t="str">
        <f>IF(Tableau1[[#This Row],[Manque (physique)]]&gt;Tableau1[[#This Row],[Manque (digital)]],"POD",IF(Tableau1[[#This Row],[Manque (digital)]]&gt;Tableau1[[#This Row],[Manque (physique)]],"MarketPlace",""))</f>
        <v/>
      </c>
      <c r="J485" t="s">
        <v>30</v>
      </c>
      <c r="K485" t="s">
        <v>321</v>
      </c>
      <c r="L485" t="s">
        <v>20</v>
      </c>
      <c r="M485" t="s">
        <v>20</v>
      </c>
      <c r="N485" t="s">
        <v>89</v>
      </c>
      <c r="O485" t="s">
        <v>20</v>
      </c>
      <c r="P485" t="s">
        <v>20</v>
      </c>
      <c r="Q485" t="s">
        <v>322</v>
      </c>
    </row>
    <row r="486" spans="1:17" hidden="1" x14ac:dyDescent="0.25">
      <c r="A486" t="s">
        <v>807</v>
      </c>
      <c r="B486" t="s">
        <v>14</v>
      </c>
      <c r="C486" t="s">
        <v>45</v>
      </c>
      <c r="D486" t="s">
        <v>16</v>
      </c>
      <c r="E486">
        <v>6</v>
      </c>
      <c r="F486">
        <f>MAX(-1,3-Tableau1[[#This Row],[Nb possédé (digital)]])</f>
        <v>-1</v>
      </c>
      <c r="G486">
        <v>6</v>
      </c>
      <c r="H486">
        <f>MAX(-1,3-Tableau1[[#This Row],[Possédé (physique)]])</f>
        <v>-1</v>
      </c>
      <c r="I486" t="str">
        <f>IF(Tableau1[[#This Row],[Manque (physique)]]&gt;Tableau1[[#This Row],[Manque (digital)]],"POD",IF(Tableau1[[#This Row],[Manque (digital)]]&gt;Tableau1[[#This Row],[Manque (physique)]],"MarketPlace",""))</f>
        <v/>
      </c>
      <c r="J486" t="s">
        <v>30</v>
      </c>
      <c r="K486" t="s">
        <v>103</v>
      </c>
      <c r="L486" t="s">
        <v>20</v>
      </c>
      <c r="M486" t="s">
        <v>20</v>
      </c>
      <c r="N486" t="s">
        <v>20</v>
      </c>
      <c r="O486" t="s">
        <v>89</v>
      </c>
      <c r="P486" t="s">
        <v>20</v>
      </c>
      <c r="Q486" t="s">
        <v>808</v>
      </c>
    </row>
    <row r="487" spans="1:17" hidden="1" x14ac:dyDescent="0.25">
      <c r="A487" t="s">
        <v>403</v>
      </c>
      <c r="B487" t="s">
        <v>14</v>
      </c>
      <c r="C487" t="s">
        <v>45</v>
      </c>
      <c r="D487" t="s">
        <v>16</v>
      </c>
      <c r="E487">
        <v>5</v>
      </c>
      <c r="F487">
        <f>MAX(-1,3-Tableau1[[#This Row],[Nb possédé (digital)]])</f>
        <v>-1</v>
      </c>
      <c r="G487">
        <v>5</v>
      </c>
      <c r="H487">
        <f>MAX(-1,3-Tableau1[[#This Row],[Possédé (physique)]])</f>
        <v>-1</v>
      </c>
      <c r="I487" t="str">
        <f>IF(Tableau1[[#This Row],[Manque (physique)]]&gt;Tableau1[[#This Row],[Manque (digital)]],"POD",IF(Tableau1[[#This Row],[Manque (digital)]]&gt;Tableau1[[#This Row],[Manque (physique)]],"MarketPlace",""))</f>
        <v/>
      </c>
      <c r="J487" t="s">
        <v>17</v>
      </c>
      <c r="K487" t="s">
        <v>97</v>
      </c>
      <c r="L487" t="s">
        <v>20</v>
      </c>
      <c r="M487" t="s">
        <v>23</v>
      </c>
      <c r="Q487" t="s">
        <v>404</v>
      </c>
    </row>
    <row r="488" spans="1:17" hidden="1" x14ac:dyDescent="0.25">
      <c r="A488" t="s">
        <v>147</v>
      </c>
      <c r="B488" t="s">
        <v>14</v>
      </c>
      <c r="C488" t="s">
        <v>45</v>
      </c>
      <c r="D488" t="s">
        <v>16</v>
      </c>
      <c r="E488">
        <v>5</v>
      </c>
      <c r="F488">
        <f>MAX(-1,3-Tableau1[[#This Row],[Nb possédé (digital)]])</f>
        <v>-1</v>
      </c>
      <c r="G488">
        <v>5</v>
      </c>
      <c r="H488">
        <f>MAX(-1,3-Tableau1[[#This Row],[Possédé (physique)]])</f>
        <v>-1</v>
      </c>
      <c r="I488" t="str">
        <f>IF(Tableau1[[#This Row],[Manque (physique)]]&gt;Tableau1[[#This Row],[Manque (digital)]],"POD",IF(Tableau1[[#This Row],[Manque (digital)]]&gt;Tableau1[[#This Row],[Manque (physique)]],"MarketPlace",""))</f>
        <v/>
      </c>
      <c r="J488" t="s">
        <v>30</v>
      </c>
      <c r="K488" t="s">
        <v>148</v>
      </c>
      <c r="L488" t="s">
        <v>19</v>
      </c>
      <c r="M488" t="s">
        <v>20</v>
      </c>
      <c r="N488" t="s">
        <v>20</v>
      </c>
      <c r="O488" t="s">
        <v>19</v>
      </c>
      <c r="P488" t="s">
        <v>20</v>
      </c>
    </row>
    <row r="489" spans="1:17" hidden="1" x14ac:dyDescent="0.25">
      <c r="A489" t="s">
        <v>773</v>
      </c>
      <c r="B489" t="s">
        <v>14</v>
      </c>
      <c r="C489" t="s">
        <v>45</v>
      </c>
      <c r="D489" t="s">
        <v>16</v>
      </c>
      <c r="E489">
        <v>5</v>
      </c>
      <c r="F489">
        <f>MAX(-1,3-Tableau1[[#This Row],[Nb possédé (digital)]])</f>
        <v>-1</v>
      </c>
      <c r="G489">
        <v>5</v>
      </c>
      <c r="H489">
        <f>MAX(-1,3-Tableau1[[#This Row],[Possédé (physique)]])</f>
        <v>-1</v>
      </c>
      <c r="I489" t="str">
        <f>IF(Tableau1[[#This Row],[Manque (physique)]]&gt;Tableau1[[#This Row],[Manque (digital)]],"POD",IF(Tableau1[[#This Row],[Manque (digital)]]&gt;Tableau1[[#This Row],[Manque (physique)]],"MarketPlace",""))</f>
        <v/>
      </c>
      <c r="J489" t="s">
        <v>30</v>
      </c>
      <c r="K489" t="s">
        <v>774</v>
      </c>
      <c r="L489" t="s">
        <v>19</v>
      </c>
      <c r="M489" t="s">
        <v>20</v>
      </c>
      <c r="N489" t="s">
        <v>20</v>
      </c>
      <c r="O489" t="s">
        <v>20</v>
      </c>
      <c r="P489" t="s">
        <v>20</v>
      </c>
      <c r="Q489" t="s">
        <v>775</v>
      </c>
    </row>
    <row r="490" spans="1:17" hidden="1" x14ac:dyDescent="0.25">
      <c r="A490" t="s">
        <v>310</v>
      </c>
      <c r="B490" t="s">
        <v>14</v>
      </c>
      <c r="C490" t="s">
        <v>45</v>
      </c>
      <c r="D490" t="s">
        <v>16</v>
      </c>
      <c r="E490">
        <v>5</v>
      </c>
      <c r="F490">
        <f>MAX(-1,3-Tableau1[[#This Row],[Nb possédé (digital)]])</f>
        <v>-1</v>
      </c>
      <c r="G490">
        <v>5</v>
      </c>
      <c r="H490">
        <f>MAX(-1,3-Tableau1[[#This Row],[Possédé (physique)]])</f>
        <v>-1</v>
      </c>
      <c r="I490" t="str">
        <f>IF(Tableau1[[#This Row],[Manque (physique)]]&gt;Tableau1[[#This Row],[Manque (digital)]],"POD",IF(Tableau1[[#This Row],[Manque (digital)]]&gt;Tableau1[[#This Row],[Manque (physique)]],"MarketPlace",""))</f>
        <v/>
      </c>
      <c r="J490" t="s">
        <v>30</v>
      </c>
      <c r="K490" t="s">
        <v>311</v>
      </c>
      <c r="L490" t="s">
        <v>19</v>
      </c>
      <c r="M490" t="s">
        <v>19</v>
      </c>
      <c r="N490" t="s">
        <v>20</v>
      </c>
      <c r="O490" t="s">
        <v>20</v>
      </c>
      <c r="P490" t="s">
        <v>23</v>
      </c>
    </row>
    <row r="491" spans="1:17" hidden="1" x14ac:dyDescent="0.25">
      <c r="A491" t="s">
        <v>331</v>
      </c>
      <c r="B491" t="s">
        <v>14</v>
      </c>
      <c r="C491" t="s">
        <v>45</v>
      </c>
      <c r="D491" t="s">
        <v>16</v>
      </c>
      <c r="E491">
        <v>6</v>
      </c>
      <c r="F491">
        <f>MAX(-1,3-Tableau1[[#This Row],[Nb possédé (digital)]])</f>
        <v>-1</v>
      </c>
      <c r="G491">
        <v>6</v>
      </c>
      <c r="H491">
        <f>MAX(-1,3-Tableau1[[#This Row],[Possédé (physique)]])</f>
        <v>-1</v>
      </c>
      <c r="I491" t="str">
        <f>IF(Tableau1[[#This Row],[Manque (physique)]]&gt;Tableau1[[#This Row],[Manque (digital)]],"POD",IF(Tableau1[[#This Row],[Manque (digital)]]&gt;Tableau1[[#This Row],[Manque (physique)]],"MarketPlace",""))</f>
        <v/>
      </c>
      <c r="J491" t="s">
        <v>17</v>
      </c>
      <c r="K491" t="s">
        <v>97</v>
      </c>
      <c r="L491" t="s">
        <v>19</v>
      </c>
      <c r="M491" t="s">
        <v>19</v>
      </c>
      <c r="Q491" t="s">
        <v>332</v>
      </c>
    </row>
    <row r="492" spans="1:17" hidden="1" x14ac:dyDescent="0.25">
      <c r="A492" t="s">
        <v>421</v>
      </c>
      <c r="B492" t="s">
        <v>14</v>
      </c>
      <c r="C492" t="s">
        <v>45</v>
      </c>
      <c r="D492" t="s">
        <v>16</v>
      </c>
      <c r="E492">
        <v>6</v>
      </c>
      <c r="F492">
        <f>MAX(-1,3-Tableau1[[#This Row],[Nb possédé (digital)]])</f>
        <v>-1</v>
      </c>
      <c r="G492">
        <v>6</v>
      </c>
      <c r="H492">
        <f>MAX(-1,3-Tableau1[[#This Row],[Possédé (physique)]])</f>
        <v>-1</v>
      </c>
      <c r="I492" t="str">
        <f>IF(Tableau1[[#This Row],[Manque (physique)]]&gt;Tableau1[[#This Row],[Manque (digital)]],"POD",IF(Tableau1[[#This Row],[Manque (digital)]]&gt;Tableau1[[#This Row],[Manque (physique)]],"MarketPlace",""))</f>
        <v/>
      </c>
      <c r="J492" t="s">
        <v>17</v>
      </c>
      <c r="K492" t="s">
        <v>153</v>
      </c>
      <c r="L492" t="s">
        <v>19</v>
      </c>
      <c r="M492" t="s">
        <v>19</v>
      </c>
      <c r="Q492" t="s">
        <v>422</v>
      </c>
    </row>
    <row r="493" spans="1:17" hidden="1" x14ac:dyDescent="0.25">
      <c r="A493" t="s">
        <v>483</v>
      </c>
      <c r="B493" t="s">
        <v>14</v>
      </c>
      <c r="C493" t="s">
        <v>45</v>
      </c>
      <c r="D493" t="s">
        <v>16</v>
      </c>
      <c r="E493">
        <v>5</v>
      </c>
      <c r="F493">
        <f>MAX(-1,3-Tableau1[[#This Row],[Nb possédé (digital)]])</f>
        <v>-1</v>
      </c>
      <c r="G493">
        <v>5</v>
      </c>
      <c r="H493">
        <f>MAX(-1,3-Tableau1[[#This Row],[Possédé (physique)]])</f>
        <v>-1</v>
      </c>
      <c r="I493" t="str">
        <f>IF(Tableau1[[#This Row],[Manque (physique)]]&gt;Tableau1[[#This Row],[Manque (digital)]],"POD",IF(Tableau1[[#This Row],[Manque (digital)]]&gt;Tableau1[[#This Row],[Manque (physique)]],"MarketPlace",""))</f>
        <v/>
      </c>
      <c r="J493" t="s">
        <v>30</v>
      </c>
      <c r="K493" t="s">
        <v>481</v>
      </c>
      <c r="L493" t="s">
        <v>19</v>
      </c>
      <c r="M493" t="s">
        <v>19</v>
      </c>
      <c r="N493" t="s">
        <v>20</v>
      </c>
      <c r="O493" t="s">
        <v>20</v>
      </c>
      <c r="P493" t="s">
        <v>20</v>
      </c>
      <c r="Q493" t="s">
        <v>215</v>
      </c>
    </row>
    <row r="494" spans="1:17" hidden="1" x14ac:dyDescent="0.25">
      <c r="A494" t="s">
        <v>1132</v>
      </c>
      <c r="B494" t="s">
        <v>14</v>
      </c>
      <c r="C494" t="s">
        <v>45</v>
      </c>
      <c r="D494" t="s">
        <v>16</v>
      </c>
      <c r="E494">
        <v>6</v>
      </c>
      <c r="F494">
        <f>MAX(-1,3-Tableau1[[#This Row],[Nb possédé (digital)]])</f>
        <v>-1</v>
      </c>
      <c r="G494">
        <v>6</v>
      </c>
      <c r="H494">
        <f>MAX(-1,3-Tableau1[[#This Row],[Possédé (physique)]])</f>
        <v>-1</v>
      </c>
      <c r="I494" t="str">
        <f>IF(Tableau1[[#This Row],[Manque (physique)]]&gt;Tableau1[[#This Row],[Manque (digital)]],"POD",IF(Tableau1[[#This Row],[Manque (digital)]]&gt;Tableau1[[#This Row],[Manque (physique)]],"MarketPlace",""))</f>
        <v/>
      </c>
      <c r="J494" t="s">
        <v>17</v>
      </c>
      <c r="K494" t="s">
        <v>153</v>
      </c>
      <c r="L494" t="s">
        <v>19</v>
      </c>
      <c r="M494" t="s">
        <v>52</v>
      </c>
      <c r="Q494" t="s">
        <v>1133</v>
      </c>
    </row>
    <row r="495" spans="1:17" hidden="1" x14ac:dyDescent="0.25">
      <c r="A495" t="s">
        <v>62</v>
      </c>
      <c r="B495" t="s">
        <v>14</v>
      </c>
      <c r="C495" t="s">
        <v>45</v>
      </c>
      <c r="D495" t="s">
        <v>16</v>
      </c>
      <c r="E495">
        <v>8</v>
      </c>
      <c r="F495">
        <f>MAX(-1,3-Tableau1[[#This Row],[Nb possédé (digital)]])</f>
        <v>-1</v>
      </c>
      <c r="G495">
        <v>8</v>
      </c>
      <c r="H495">
        <f>MAX(-1,3-Tableau1[[#This Row],[Possédé (physique)]])</f>
        <v>-1</v>
      </c>
      <c r="I495" t="str">
        <f>IF(Tableau1[[#This Row],[Manque (physique)]]&gt;Tableau1[[#This Row],[Manque (digital)]],"POD",IF(Tableau1[[#This Row],[Manque (digital)]]&gt;Tableau1[[#This Row],[Manque (physique)]],"MarketPlace",""))</f>
        <v/>
      </c>
      <c r="J495" t="s">
        <v>30</v>
      </c>
      <c r="K495" t="s">
        <v>63</v>
      </c>
      <c r="L495" t="s">
        <v>23</v>
      </c>
      <c r="M495" t="s">
        <v>20</v>
      </c>
      <c r="N495" t="s">
        <v>20</v>
      </c>
      <c r="O495" t="s">
        <v>20</v>
      </c>
      <c r="P495" t="s">
        <v>20</v>
      </c>
      <c r="Q495" t="s">
        <v>64</v>
      </c>
    </row>
    <row r="496" spans="1:17" hidden="1" x14ac:dyDescent="0.25">
      <c r="A496" t="s">
        <v>160</v>
      </c>
      <c r="B496" t="s">
        <v>14</v>
      </c>
      <c r="C496" t="s">
        <v>45</v>
      </c>
      <c r="D496" t="s">
        <v>16</v>
      </c>
      <c r="E496">
        <v>7</v>
      </c>
      <c r="F496">
        <f>MAX(-1,3-Tableau1[[#This Row],[Nb possédé (digital)]])</f>
        <v>-1</v>
      </c>
      <c r="G496">
        <v>7</v>
      </c>
      <c r="H496">
        <f>MAX(-1,3-Tableau1[[#This Row],[Possédé (physique)]])</f>
        <v>-1</v>
      </c>
      <c r="I496" t="str">
        <f>IF(Tableau1[[#This Row],[Manque (physique)]]&gt;Tableau1[[#This Row],[Manque (digital)]],"POD",IF(Tableau1[[#This Row],[Manque (digital)]]&gt;Tableau1[[#This Row],[Manque (physique)]],"MarketPlace",""))</f>
        <v/>
      </c>
      <c r="J496" t="s">
        <v>30</v>
      </c>
      <c r="K496" t="s">
        <v>124</v>
      </c>
      <c r="L496" t="s">
        <v>23</v>
      </c>
      <c r="M496" t="s">
        <v>19</v>
      </c>
      <c r="N496" t="s">
        <v>19</v>
      </c>
      <c r="O496" t="s">
        <v>20</v>
      </c>
      <c r="P496" t="s">
        <v>19</v>
      </c>
      <c r="Q496" t="s">
        <v>161</v>
      </c>
    </row>
    <row r="497" spans="1:17" hidden="1" x14ac:dyDescent="0.25">
      <c r="A497" t="s">
        <v>67</v>
      </c>
      <c r="B497" t="s">
        <v>14</v>
      </c>
      <c r="C497" t="s">
        <v>45</v>
      </c>
      <c r="D497" t="s">
        <v>16</v>
      </c>
      <c r="E497">
        <v>6</v>
      </c>
      <c r="F497">
        <f>MAX(-1,3-Tableau1[[#This Row],[Nb possédé (digital)]])</f>
        <v>-1</v>
      </c>
      <c r="G497">
        <v>6</v>
      </c>
      <c r="H497">
        <f>MAX(-1,3-Tableau1[[#This Row],[Possédé (physique)]])</f>
        <v>-1</v>
      </c>
      <c r="I497" t="str">
        <f>IF(Tableau1[[#This Row],[Manque (physique)]]&gt;Tableau1[[#This Row],[Manque (digital)]],"POD",IF(Tableau1[[#This Row],[Manque (digital)]]&gt;Tableau1[[#This Row],[Manque (physique)]],"MarketPlace",""))</f>
        <v/>
      </c>
      <c r="J497" t="s">
        <v>30</v>
      </c>
      <c r="K497" t="s">
        <v>68</v>
      </c>
      <c r="L497" t="s">
        <v>23</v>
      </c>
      <c r="M497" t="s">
        <v>23</v>
      </c>
      <c r="N497" t="s">
        <v>19</v>
      </c>
      <c r="O497" t="s">
        <v>19</v>
      </c>
      <c r="P497" t="s">
        <v>52</v>
      </c>
      <c r="Q497" t="s">
        <v>69</v>
      </c>
    </row>
    <row r="498" spans="1:17" hidden="1" x14ac:dyDescent="0.25">
      <c r="A498" t="s">
        <v>628</v>
      </c>
      <c r="B498" t="s">
        <v>14</v>
      </c>
      <c r="C498" t="s">
        <v>45</v>
      </c>
      <c r="D498" t="s">
        <v>16</v>
      </c>
      <c r="E498">
        <v>5</v>
      </c>
      <c r="F498">
        <f>MAX(-1,3-Tableau1[[#This Row],[Nb possédé (digital)]])</f>
        <v>-1</v>
      </c>
      <c r="G498">
        <v>5</v>
      </c>
      <c r="H498">
        <f>MAX(-1,3-Tableau1[[#This Row],[Possédé (physique)]])</f>
        <v>-1</v>
      </c>
      <c r="I498" t="str">
        <f>IF(Tableau1[[#This Row],[Manque (physique)]]&gt;Tableau1[[#This Row],[Manque (digital)]],"POD",IF(Tableau1[[#This Row],[Manque (digital)]]&gt;Tableau1[[#This Row],[Manque (physique)]],"MarketPlace",""))</f>
        <v/>
      </c>
      <c r="J498" t="s">
        <v>217</v>
      </c>
      <c r="K498" t="s">
        <v>218</v>
      </c>
      <c r="L498" t="s">
        <v>23</v>
      </c>
      <c r="M498" t="s">
        <v>23</v>
      </c>
      <c r="Q498" t="s">
        <v>629</v>
      </c>
    </row>
    <row r="499" spans="1:17" hidden="1" x14ac:dyDescent="0.25">
      <c r="A499" t="s">
        <v>979</v>
      </c>
      <c r="B499" t="s">
        <v>14</v>
      </c>
      <c r="C499" t="s">
        <v>45</v>
      </c>
      <c r="D499" t="s">
        <v>16</v>
      </c>
      <c r="E499">
        <v>7</v>
      </c>
      <c r="F499">
        <f>MAX(-1,3-Tableau1[[#This Row],[Nb possédé (digital)]])</f>
        <v>-1</v>
      </c>
      <c r="G499">
        <v>7</v>
      </c>
      <c r="H499">
        <f>MAX(-1,3-Tableau1[[#This Row],[Possédé (physique)]])</f>
        <v>-1</v>
      </c>
      <c r="I499" t="str">
        <f>IF(Tableau1[[#This Row],[Manque (physique)]]&gt;Tableau1[[#This Row],[Manque (digital)]],"POD",IF(Tableau1[[#This Row],[Manque (digital)]]&gt;Tableau1[[#This Row],[Manque (physique)]],"MarketPlace",""))</f>
        <v/>
      </c>
      <c r="J499" t="s">
        <v>17</v>
      </c>
      <c r="K499" t="s">
        <v>97</v>
      </c>
      <c r="L499" t="s">
        <v>23</v>
      </c>
      <c r="M499" t="s">
        <v>37</v>
      </c>
      <c r="Q499" t="s">
        <v>980</v>
      </c>
    </row>
    <row r="500" spans="1:17" hidden="1" x14ac:dyDescent="0.25">
      <c r="A500" t="s">
        <v>162</v>
      </c>
      <c r="B500" t="s">
        <v>14</v>
      </c>
      <c r="C500" t="s">
        <v>45</v>
      </c>
      <c r="D500" t="s">
        <v>16</v>
      </c>
      <c r="E500">
        <v>7</v>
      </c>
      <c r="F500">
        <f>MAX(-1,3-Tableau1[[#This Row],[Nb possédé (digital)]])</f>
        <v>-1</v>
      </c>
      <c r="G500">
        <v>7</v>
      </c>
      <c r="H500">
        <f>MAX(-1,3-Tableau1[[#This Row],[Possédé (physique)]])</f>
        <v>-1</v>
      </c>
      <c r="I500" t="str">
        <f>IF(Tableau1[[#This Row],[Manque (physique)]]&gt;Tableau1[[#This Row],[Manque (digital)]],"POD",IF(Tableau1[[#This Row],[Manque (digital)]]&gt;Tableau1[[#This Row],[Manque (physique)]],"MarketPlace",""))</f>
        <v/>
      </c>
      <c r="J500" t="s">
        <v>30</v>
      </c>
      <c r="K500" t="s">
        <v>103</v>
      </c>
      <c r="L500" t="s">
        <v>52</v>
      </c>
      <c r="M500" t="s">
        <v>19</v>
      </c>
      <c r="N500" t="s">
        <v>19</v>
      </c>
      <c r="O500" t="s">
        <v>19</v>
      </c>
      <c r="P500" t="s">
        <v>19</v>
      </c>
      <c r="Q500" t="s">
        <v>163</v>
      </c>
    </row>
    <row r="501" spans="1:17" hidden="1" x14ac:dyDescent="0.25">
      <c r="A501" t="s">
        <v>465</v>
      </c>
      <c r="B501" t="s">
        <v>14</v>
      </c>
      <c r="C501" t="s">
        <v>45</v>
      </c>
      <c r="D501" t="s">
        <v>16</v>
      </c>
      <c r="E501">
        <v>5</v>
      </c>
      <c r="F501">
        <f>MAX(-1,3-Tableau1[[#This Row],[Nb possédé (digital)]])</f>
        <v>-1</v>
      </c>
      <c r="G501">
        <v>5</v>
      </c>
      <c r="H501">
        <f>MAX(-1,3-Tableau1[[#This Row],[Possédé (physique)]])</f>
        <v>-1</v>
      </c>
      <c r="I501" t="str">
        <f>IF(Tableau1[[#This Row],[Manque (physique)]]&gt;Tableau1[[#This Row],[Manque (digital)]],"POD",IF(Tableau1[[#This Row],[Manque (digital)]]&gt;Tableau1[[#This Row],[Manque (physique)]],"MarketPlace",""))</f>
        <v/>
      </c>
      <c r="J501" t="s">
        <v>30</v>
      </c>
      <c r="K501" t="s">
        <v>63</v>
      </c>
      <c r="L501" t="s">
        <v>52</v>
      </c>
      <c r="M501" t="s">
        <v>23</v>
      </c>
      <c r="N501" t="s">
        <v>52</v>
      </c>
      <c r="O501" t="s">
        <v>23</v>
      </c>
      <c r="P501" t="s">
        <v>23</v>
      </c>
      <c r="Q501" t="s">
        <v>466</v>
      </c>
    </row>
    <row r="502" spans="1:17" hidden="1" x14ac:dyDescent="0.25">
      <c r="A502" t="s">
        <v>618</v>
      </c>
      <c r="B502" t="s">
        <v>14</v>
      </c>
      <c r="C502" t="s">
        <v>45</v>
      </c>
      <c r="D502" t="s">
        <v>16</v>
      </c>
      <c r="E502">
        <v>5</v>
      </c>
      <c r="F502">
        <f>MAX(-1,3-Tableau1[[#This Row],[Nb possédé (digital)]])</f>
        <v>-1</v>
      </c>
      <c r="G502">
        <v>5</v>
      </c>
      <c r="H502">
        <f>MAX(-1,3-Tableau1[[#This Row],[Possédé (physique)]])</f>
        <v>-1</v>
      </c>
      <c r="I502" t="str">
        <f>IF(Tableau1[[#This Row],[Manque (physique)]]&gt;Tableau1[[#This Row],[Manque (digital)]],"POD",IF(Tableau1[[#This Row],[Manque (digital)]]&gt;Tableau1[[#This Row],[Manque (physique)]],"MarketPlace",""))</f>
        <v/>
      </c>
      <c r="J502" t="s">
        <v>30</v>
      </c>
      <c r="K502" t="s">
        <v>124</v>
      </c>
      <c r="L502" t="s">
        <v>52</v>
      </c>
      <c r="M502" t="s">
        <v>52</v>
      </c>
      <c r="N502" t="s">
        <v>37</v>
      </c>
      <c r="O502" t="s">
        <v>37</v>
      </c>
      <c r="P502" t="s">
        <v>37</v>
      </c>
      <c r="Q502" t="s">
        <v>619</v>
      </c>
    </row>
    <row r="503" spans="1:17" hidden="1" x14ac:dyDescent="0.25">
      <c r="A503" t="s">
        <v>886</v>
      </c>
      <c r="B503" t="s">
        <v>14</v>
      </c>
      <c r="C503" t="s">
        <v>45</v>
      </c>
      <c r="D503" t="s">
        <v>16</v>
      </c>
      <c r="E503">
        <v>5</v>
      </c>
      <c r="F503">
        <f>MAX(-1,3-Tableau1[[#This Row],[Nb possédé (digital)]])</f>
        <v>-1</v>
      </c>
      <c r="G503">
        <v>5</v>
      </c>
      <c r="H503">
        <f>MAX(-1,3-Tableau1[[#This Row],[Possédé (physique)]])</f>
        <v>-1</v>
      </c>
      <c r="I503" t="str">
        <f>IF(Tableau1[[#This Row],[Manque (physique)]]&gt;Tableau1[[#This Row],[Manque (digital)]],"POD",IF(Tableau1[[#This Row],[Manque (digital)]]&gt;Tableau1[[#This Row],[Manque (physique)]],"MarketPlace",""))</f>
        <v/>
      </c>
      <c r="J503" t="s">
        <v>17</v>
      </c>
      <c r="K503" t="s">
        <v>153</v>
      </c>
      <c r="L503" t="s">
        <v>52</v>
      </c>
      <c r="M503" t="s">
        <v>52</v>
      </c>
      <c r="Q503" t="s">
        <v>887</v>
      </c>
    </row>
    <row r="504" spans="1:17" hidden="1" x14ac:dyDescent="0.25">
      <c r="A504" t="s">
        <v>338</v>
      </c>
      <c r="B504" t="s">
        <v>14</v>
      </c>
      <c r="C504" t="s">
        <v>45</v>
      </c>
      <c r="D504" t="s">
        <v>16</v>
      </c>
      <c r="E504">
        <v>6</v>
      </c>
      <c r="F504">
        <f>MAX(-1,3-Tableau1[[#This Row],[Nb possédé (digital)]])</f>
        <v>-1</v>
      </c>
      <c r="G504">
        <v>6</v>
      </c>
      <c r="H504">
        <f>MAX(-1,3-Tableau1[[#This Row],[Possédé (physique)]])</f>
        <v>-1</v>
      </c>
      <c r="I504" t="str">
        <f>IF(Tableau1[[#This Row],[Manque (physique)]]&gt;Tableau1[[#This Row],[Manque (digital)]],"POD",IF(Tableau1[[#This Row],[Manque (digital)]]&gt;Tableau1[[#This Row],[Manque (physique)]],"MarketPlace",""))</f>
        <v/>
      </c>
      <c r="J504" t="s">
        <v>30</v>
      </c>
      <c r="K504" t="s">
        <v>68</v>
      </c>
      <c r="L504" t="s">
        <v>37</v>
      </c>
      <c r="M504" t="s">
        <v>23</v>
      </c>
      <c r="N504" t="s">
        <v>23</v>
      </c>
      <c r="O504" t="s">
        <v>19</v>
      </c>
      <c r="P504" t="s">
        <v>19</v>
      </c>
      <c r="Q504" t="s">
        <v>339</v>
      </c>
    </row>
    <row r="505" spans="1:17" hidden="1" x14ac:dyDescent="0.25">
      <c r="A505" t="s">
        <v>471</v>
      </c>
      <c r="B505" t="s">
        <v>14</v>
      </c>
      <c r="C505" t="s">
        <v>45</v>
      </c>
      <c r="D505" t="s">
        <v>16</v>
      </c>
      <c r="E505">
        <v>4</v>
      </c>
      <c r="F505">
        <f>MAX(-1,3-Tableau1[[#This Row],[Nb possédé (digital)]])</f>
        <v>-1</v>
      </c>
      <c r="G505">
        <v>4</v>
      </c>
      <c r="H505">
        <f>MAX(-1,3-Tableau1[[#This Row],[Possédé (physique)]])</f>
        <v>-1</v>
      </c>
      <c r="I505" t="str">
        <f>IF(Tableau1[[#This Row],[Manque (physique)]]&gt;Tableau1[[#This Row],[Manque (digital)]],"POD",IF(Tableau1[[#This Row],[Manque (digital)]]&gt;Tableau1[[#This Row],[Manque (physique)]],"MarketPlace",""))</f>
        <v/>
      </c>
      <c r="J505" t="s">
        <v>217</v>
      </c>
      <c r="K505" t="s">
        <v>218</v>
      </c>
      <c r="L505" t="s">
        <v>37</v>
      </c>
      <c r="M505" t="s">
        <v>37</v>
      </c>
      <c r="Q505" t="s">
        <v>472</v>
      </c>
    </row>
    <row r="506" spans="1:17" hidden="1" x14ac:dyDescent="0.25">
      <c r="A506" t="s">
        <v>477</v>
      </c>
      <c r="B506" t="s">
        <v>14</v>
      </c>
      <c r="C506" t="s">
        <v>45</v>
      </c>
      <c r="D506" t="s">
        <v>16</v>
      </c>
      <c r="E506">
        <v>7</v>
      </c>
      <c r="F506">
        <f>MAX(-1,3-Tableau1[[#This Row],[Nb possédé (digital)]])</f>
        <v>-1</v>
      </c>
      <c r="G506">
        <v>7</v>
      </c>
      <c r="H506">
        <f>MAX(-1,3-Tableau1[[#This Row],[Possédé (physique)]])</f>
        <v>-1</v>
      </c>
      <c r="I506" t="str">
        <f>IF(Tableau1[[#This Row],[Manque (physique)]]&gt;Tableau1[[#This Row],[Manque (digital)]],"POD",IF(Tableau1[[#This Row],[Manque (digital)]]&gt;Tableau1[[#This Row],[Manque (physique)]],"MarketPlace",""))</f>
        <v/>
      </c>
      <c r="J506" t="s">
        <v>17</v>
      </c>
      <c r="K506" t="s">
        <v>153</v>
      </c>
      <c r="L506" t="s">
        <v>37</v>
      </c>
      <c r="M506" t="s">
        <v>37</v>
      </c>
      <c r="Q506" t="s">
        <v>478</v>
      </c>
    </row>
    <row r="507" spans="1:17" hidden="1" x14ac:dyDescent="0.25">
      <c r="A507" t="s">
        <v>873</v>
      </c>
      <c r="B507" t="s">
        <v>14</v>
      </c>
      <c r="C507" t="s">
        <v>45</v>
      </c>
      <c r="D507" t="s">
        <v>16</v>
      </c>
      <c r="E507">
        <v>7</v>
      </c>
      <c r="F507">
        <f>MAX(-1,3-Tableau1[[#This Row],[Nb possédé (digital)]])</f>
        <v>-1</v>
      </c>
      <c r="G507">
        <v>7</v>
      </c>
      <c r="H507">
        <f>MAX(-1,3-Tableau1[[#This Row],[Possédé (physique)]])</f>
        <v>-1</v>
      </c>
      <c r="I507" t="str">
        <f>IF(Tableau1[[#This Row],[Manque (physique)]]&gt;Tableau1[[#This Row],[Manque (digital)]],"POD",IF(Tableau1[[#This Row],[Manque (digital)]]&gt;Tableau1[[#This Row],[Manque (physique)]],"MarketPlace",""))</f>
        <v/>
      </c>
      <c r="J507" t="s">
        <v>17</v>
      </c>
      <c r="K507" t="s">
        <v>201</v>
      </c>
      <c r="L507" t="s">
        <v>39</v>
      </c>
      <c r="M507" t="s">
        <v>39</v>
      </c>
      <c r="Q507" t="s">
        <v>874</v>
      </c>
    </row>
    <row r="508" spans="1:17" hidden="1" x14ac:dyDescent="0.25">
      <c r="A508" t="s">
        <v>972</v>
      </c>
      <c r="B508" t="s">
        <v>14</v>
      </c>
      <c r="C508" t="s">
        <v>45</v>
      </c>
      <c r="D508" t="s">
        <v>16</v>
      </c>
      <c r="E508">
        <v>5</v>
      </c>
      <c r="F508">
        <f>MAX(-1,3-Tableau1[[#This Row],[Nb possédé (digital)]])</f>
        <v>-1</v>
      </c>
      <c r="G508">
        <v>5</v>
      </c>
      <c r="H508">
        <f>MAX(-1,3-Tableau1[[#This Row],[Possédé (physique)]])</f>
        <v>-1</v>
      </c>
      <c r="I508" t="str">
        <f>IF(Tableau1[[#This Row],[Manque (physique)]]&gt;Tableau1[[#This Row],[Manque (digital)]],"POD",IF(Tableau1[[#This Row],[Manque (digital)]]&gt;Tableau1[[#This Row],[Manque (physique)]],"MarketPlace",""))</f>
        <v/>
      </c>
      <c r="J508" t="s">
        <v>30</v>
      </c>
      <c r="K508" t="s">
        <v>51</v>
      </c>
      <c r="L508" t="s">
        <v>380</v>
      </c>
      <c r="M508" t="s">
        <v>52</v>
      </c>
      <c r="N508" t="s">
        <v>52</v>
      </c>
      <c r="O508" t="s">
        <v>52</v>
      </c>
      <c r="P508" t="s">
        <v>52</v>
      </c>
      <c r="Q508" t="s">
        <v>973</v>
      </c>
    </row>
    <row r="509" spans="1:17" hidden="1" x14ac:dyDescent="0.25">
      <c r="A509" t="s">
        <v>434</v>
      </c>
      <c r="B509" t="s">
        <v>14</v>
      </c>
      <c r="C509" t="s">
        <v>45</v>
      </c>
      <c r="D509" t="s">
        <v>16</v>
      </c>
      <c r="E509">
        <v>6</v>
      </c>
      <c r="F509">
        <f>MAX(-1,3-Tableau1[[#This Row],[Nb possédé (digital)]])</f>
        <v>-1</v>
      </c>
      <c r="G509">
        <v>6</v>
      </c>
      <c r="H509">
        <f>MAX(-1,3-Tableau1[[#This Row],[Possédé (physique)]])</f>
        <v>-1</v>
      </c>
      <c r="I509" t="str">
        <f>IF(Tableau1[[#This Row],[Manque (physique)]]&gt;Tableau1[[#This Row],[Manque (digital)]],"POD",IF(Tableau1[[#This Row],[Manque (digital)]]&gt;Tableau1[[#This Row],[Manque (physique)]],"MarketPlace",""))</f>
        <v/>
      </c>
      <c r="J509" t="s">
        <v>17</v>
      </c>
      <c r="K509" t="s">
        <v>153</v>
      </c>
      <c r="L509" t="s">
        <v>380</v>
      </c>
      <c r="M509" t="s">
        <v>380</v>
      </c>
      <c r="Q509" t="s">
        <v>435</v>
      </c>
    </row>
    <row r="510" spans="1:17" hidden="1" x14ac:dyDescent="0.25">
      <c r="A510" t="s">
        <v>695</v>
      </c>
      <c r="B510" t="s">
        <v>14</v>
      </c>
      <c r="C510" t="s">
        <v>45</v>
      </c>
      <c r="D510" t="s">
        <v>16</v>
      </c>
      <c r="E510">
        <v>6</v>
      </c>
      <c r="F510">
        <f>MAX(-1,3-Tableau1[[#This Row],[Nb possédé (digital)]])</f>
        <v>-1</v>
      </c>
      <c r="G510">
        <v>6</v>
      </c>
      <c r="H510">
        <f>MAX(-1,3-Tableau1[[#This Row],[Possédé (physique)]])</f>
        <v>-1</v>
      </c>
      <c r="I510" t="str">
        <f>IF(Tableau1[[#This Row],[Manque (physique)]]&gt;Tableau1[[#This Row],[Manque (digital)]],"POD",IF(Tableau1[[#This Row],[Manque (digital)]]&gt;Tableau1[[#This Row],[Manque (physique)]],"MarketPlace",""))</f>
        <v/>
      </c>
      <c r="J510" t="s">
        <v>30</v>
      </c>
      <c r="K510" t="s">
        <v>601</v>
      </c>
      <c r="L510" t="s">
        <v>380</v>
      </c>
      <c r="M510" t="s">
        <v>380</v>
      </c>
      <c r="N510" t="s">
        <v>89</v>
      </c>
      <c r="O510" t="s">
        <v>89</v>
      </c>
      <c r="P510" t="s">
        <v>101</v>
      </c>
      <c r="Q510" t="s">
        <v>696</v>
      </c>
    </row>
    <row r="511" spans="1:17" hidden="1" x14ac:dyDescent="0.25">
      <c r="A511" t="s">
        <v>692</v>
      </c>
      <c r="B511" t="s">
        <v>14</v>
      </c>
      <c r="C511" t="s">
        <v>45</v>
      </c>
      <c r="D511" t="s">
        <v>16</v>
      </c>
      <c r="E511">
        <v>6</v>
      </c>
      <c r="F511">
        <f>MAX(-1,3-Tableau1[[#This Row],[Nb possédé (digital)]])</f>
        <v>-1</v>
      </c>
      <c r="G511">
        <v>6</v>
      </c>
      <c r="H511">
        <f>MAX(-1,3-Tableau1[[#This Row],[Possédé (physique)]])</f>
        <v>-1</v>
      </c>
      <c r="I511" t="str">
        <f>IF(Tableau1[[#This Row],[Manque (physique)]]&gt;Tableau1[[#This Row],[Manque (digital)]],"POD",IF(Tableau1[[#This Row],[Manque (digital)]]&gt;Tableau1[[#This Row],[Manque (physique)]],"MarketPlace",""))</f>
        <v/>
      </c>
      <c r="J511" t="s">
        <v>217</v>
      </c>
      <c r="K511" t="s">
        <v>218</v>
      </c>
      <c r="L511" t="s">
        <v>101</v>
      </c>
      <c r="M511" t="s">
        <v>101</v>
      </c>
      <c r="Q511" t="s">
        <v>693</v>
      </c>
    </row>
    <row r="512" spans="1:17" hidden="1" x14ac:dyDescent="0.25">
      <c r="A512" t="s">
        <v>679</v>
      </c>
      <c r="B512" t="s">
        <v>14</v>
      </c>
      <c r="C512" t="s">
        <v>45</v>
      </c>
      <c r="D512" t="s">
        <v>58</v>
      </c>
      <c r="E512">
        <v>3</v>
      </c>
      <c r="F512">
        <f>MAX(-1,3-Tableau1[[#This Row],[Nb possédé (digital)]])</f>
        <v>0</v>
      </c>
      <c r="G512">
        <v>3</v>
      </c>
      <c r="H512">
        <f>MAX(-1,3-Tableau1[[#This Row],[Possédé (physique)]])</f>
        <v>0</v>
      </c>
      <c r="I512" t="str">
        <f>IF(Tableau1[[#This Row],[Manque (physique)]]&gt;Tableau1[[#This Row],[Manque (digital)]],"POD",IF(Tableau1[[#This Row],[Manque (digital)]]&gt;Tableau1[[#This Row],[Manque (physique)]],"MarketPlace",""))</f>
        <v/>
      </c>
      <c r="J512" t="s">
        <v>30</v>
      </c>
      <c r="K512" t="s">
        <v>79</v>
      </c>
      <c r="L512" t="s">
        <v>20</v>
      </c>
      <c r="M512" t="s">
        <v>20</v>
      </c>
      <c r="N512" t="s">
        <v>20</v>
      </c>
      <c r="O512" t="s">
        <v>89</v>
      </c>
      <c r="P512" t="s">
        <v>20</v>
      </c>
      <c r="Q512" t="s">
        <v>680</v>
      </c>
    </row>
    <row r="513" spans="1:17" hidden="1" x14ac:dyDescent="0.25">
      <c r="A513" t="s">
        <v>507</v>
      </c>
      <c r="B513" t="s">
        <v>14</v>
      </c>
      <c r="C513" t="s">
        <v>45</v>
      </c>
      <c r="D513" t="s">
        <v>58</v>
      </c>
      <c r="E513">
        <v>3</v>
      </c>
      <c r="F513">
        <f>MAX(-1,3-Tableau1[[#This Row],[Nb possédé (digital)]])</f>
        <v>0</v>
      </c>
      <c r="G513">
        <v>3</v>
      </c>
      <c r="H513">
        <f>MAX(-1,3-Tableau1[[#This Row],[Possédé (physique)]])</f>
        <v>0</v>
      </c>
      <c r="I513" t="str">
        <f>IF(Tableau1[[#This Row],[Manque (physique)]]&gt;Tableau1[[#This Row],[Manque (digital)]],"POD",IF(Tableau1[[#This Row],[Manque (digital)]]&gt;Tableau1[[#This Row],[Manque (physique)]],"MarketPlace",""))</f>
        <v/>
      </c>
      <c r="J513" t="s">
        <v>17</v>
      </c>
      <c r="K513" t="s">
        <v>153</v>
      </c>
      <c r="L513" t="s">
        <v>20</v>
      </c>
      <c r="M513" t="s">
        <v>19</v>
      </c>
      <c r="Q513" t="s">
        <v>508</v>
      </c>
    </row>
    <row r="514" spans="1:17" hidden="1" x14ac:dyDescent="0.25">
      <c r="A514" t="s">
        <v>257</v>
      </c>
      <c r="B514" t="s">
        <v>14</v>
      </c>
      <c r="C514" t="s">
        <v>45</v>
      </c>
      <c r="D514" t="s">
        <v>58</v>
      </c>
      <c r="E514">
        <v>3</v>
      </c>
      <c r="F514">
        <f>MAX(-1,3-Tableau1[[#This Row],[Nb possédé (digital)]])</f>
        <v>0</v>
      </c>
      <c r="G514">
        <v>3</v>
      </c>
      <c r="H514">
        <f>MAX(-1,3-Tableau1[[#This Row],[Possédé (physique)]])</f>
        <v>0</v>
      </c>
      <c r="I514" t="str">
        <f>IF(Tableau1[[#This Row],[Manque (physique)]]&gt;Tableau1[[#This Row],[Manque (digital)]],"POD",IF(Tableau1[[#This Row],[Manque (digital)]]&gt;Tableau1[[#This Row],[Manque (physique)]],"MarketPlace",""))</f>
        <v/>
      </c>
      <c r="J514" t="s">
        <v>30</v>
      </c>
      <c r="K514" t="s">
        <v>79</v>
      </c>
      <c r="L514" t="s">
        <v>19</v>
      </c>
      <c r="M514" t="s">
        <v>19</v>
      </c>
      <c r="N514" t="s">
        <v>19</v>
      </c>
      <c r="O514" t="s">
        <v>20</v>
      </c>
      <c r="P514" t="s">
        <v>19</v>
      </c>
      <c r="Q514" t="s">
        <v>258</v>
      </c>
    </row>
    <row r="515" spans="1:17" hidden="1" x14ac:dyDescent="0.25">
      <c r="A515" t="s">
        <v>849</v>
      </c>
      <c r="B515" t="s">
        <v>14</v>
      </c>
      <c r="C515" t="s">
        <v>45</v>
      </c>
      <c r="D515" t="s">
        <v>58</v>
      </c>
      <c r="E515">
        <v>5</v>
      </c>
      <c r="F515">
        <f>MAX(-1,3-Tableau1[[#This Row],[Nb possédé (digital)]])</f>
        <v>-1</v>
      </c>
      <c r="G515">
        <v>5</v>
      </c>
      <c r="H515">
        <f>MAX(-1,3-Tableau1[[#This Row],[Possédé (physique)]])</f>
        <v>-1</v>
      </c>
      <c r="I515" t="str">
        <f>IF(Tableau1[[#This Row],[Manque (physique)]]&gt;Tableau1[[#This Row],[Manque (digital)]],"POD",IF(Tableau1[[#This Row],[Manque (digital)]]&gt;Tableau1[[#This Row],[Manque (physique)]],"MarketPlace",""))</f>
        <v/>
      </c>
      <c r="J515" t="s">
        <v>30</v>
      </c>
      <c r="K515" t="s">
        <v>59</v>
      </c>
      <c r="L515" t="s">
        <v>19</v>
      </c>
      <c r="M515" t="s">
        <v>19</v>
      </c>
      <c r="N515" t="s">
        <v>89</v>
      </c>
      <c r="O515" t="s">
        <v>23</v>
      </c>
      <c r="P515" t="s">
        <v>19</v>
      </c>
      <c r="Q515" t="s">
        <v>850</v>
      </c>
    </row>
    <row r="516" spans="1:17" hidden="1" x14ac:dyDescent="0.25">
      <c r="A516" t="s">
        <v>182</v>
      </c>
      <c r="B516" t="s">
        <v>14</v>
      </c>
      <c r="C516" t="s">
        <v>45</v>
      </c>
      <c r="D516" t="s">
        <v>58</v>
      </c>
      <c r="E516">
        <v>5</v>
      </c>
      <c r="F516">
        <f>MAX(-1,3-Tableau1[[#This Row],[Nb possédé (digital)]])</f>
        <v>-1</v>
      </c>
      <c r="G516">
        <v>5</v>
      </c>
      <c r="H516">
        <f>MAX(-1,3-Tableau1[[#This Row],[Possédé (physique)]])</f>
        <v>-1</v>
      </c>
      <c r="I516" t="str">
        <f>IF(Tableau1[[#This Row],[Manque (physique)]]&gt;Tableau1[[#This Row],[Manque (digital)]],"POD",IF(Tableau1[[#This Row],[Manque (digital)]]&gt;Tableau1[[#This Row],[Manque (physique)]],"MarketPlace",""))</f>
        <v/>
      </c>
      <c r="J516" t="s">
        <v>30</v>
      </c>
      <c r="K516" t="s">
        <v>79</v>
      </c>
      <c r="L516" t="s">
        <v>23</v>
      </c>
      <c r="M516" t="s">
        <v>19</v>
      </c>
      <c r="N516" t="s">
        <v>23</v>
      </c>
      <c r="O516" t="s">
        <v>89</v>
      </c>
      <c r="P516" t="s">
        <v>23</v>
      </c>
      <c r="Q516" t="s">
        <v>183</v>
      </c>
    </row>
    <row r="517" spans="1:17" hidden="1" x14ac:dyDescent="0.25">
      <c r="A517" t="s">
        <v>584</v>
      </c>
      <c r="B517" t="s">
        <v>14</v>
      </c>
      <c r="C517" t="s">
        <v>45</v>
      </c>
      <c r="D517" t="s">
        <v>58</v>
      </c>
      <c r="E517">
        <v>4</v>
      </c>
      <c r="F517">
        <f>MAX(-1,3-Tableau1[[#This Row],[Nb possédé (digital)]])</f>
        <v>-1</v>
      </c>
      <c r="G517">
        <v>4</v>
      </c>
      <c r="H517">
        <f>MAX(-1,3-Tableau1[[#This Row],[Possédé (physique)]])</f>
        <v>-1</v>
      </c>
      <c r="I517" t="str">
        <f>IF(Tableau1[[#This Row],[Manque (physique)]]&gt;Tableau1[[#This Row],[Manque (digital)]],"POD",IF(Tableau1[[#This Row],[Manque (digital)]]&gt;Tableau1[[#This Row],[Manque (physique)]],"MarketPlace",""))</f>
        <v/>
      </c>
      <c r="J517" t="s">
        <v>17</v>
      </c>
      <c r="K517" t="s">
        <v>201</v>
      </c>
      <c r="L517" t="s">
        <v>23</v>
      </c>
      <c r="M517" t="s">
        <v>19</v>
      </c>
      <c r="Q517" t="s">
        <v>585</v>
      </c>
    </row>
    <row r="518" spans="1:17" hidden="1" x14ac:dyDescent="0.25">
      <c r="A518" t="s">
        <v>674</v>
      </c>
      <c r="B518" t="s">
        <v>14</v>
      </c>
      <c r="C518" t="s">
        <v>45</v>
      </c>
      <c r="D518" t="s">
        <v>58</v>
      </c>
      <c r="E518">
        <v>3</v>
      </c>
      <c r="F518">
        <f>MAX(-1,3-Tableau1[[#This Row],[Nb possédé (digital)]])</f>
        <v>0</v>
      </c>
      <c r="G518">
        <v>3</v>
      </c>
      <c r="H518">
        <f>MAX(-1,3-Tableau1[[#This Row],[Possédé (physique)]])</f>
        <v>0</v>
      </c>
      <c r="I518" t="str">
        <f>IF(Tableau1[[#This Row],[Manque (physique)]]&gt;Tableau1[[#This Row],[Manque (digital)]],"POD",IF(Tableau1[[#This Row],[Manque (digital)]]&gt;Tableau1[[#This Row],[Manque (physique)]],"MarketPlace",""))</f>
        <v/>
      </c>
      <c r="J518" t="s">
        <v>116</v>
      </c>
      <c r="K518" t="s">
        <v>117</v>
      </c>
      <c r="L518" t="s">
        <v>23</v>
      </c>
      <c r="M518" t="s">
        <v>19</v>
      </c>
      <c r="Q518" t="s">
        <v>675</v>
      </c>
    </row>
    <row r="519" spans="1:17" hidden="1" x14ac:dyDescent="0.25">
      <c r="A519" t="s">
        <v>123</v>
      </c>
      <c r="B519" t="s">
        <v>14</v>
      </c>
      <c r="C519" t="s">
        <v>45</v>
      </c>
      <c r="D519" t="s">
        <v>58</v>
      </c>
      <c r="E519">
        <v>5</v>
      </c>
      <c r="F519">
        <f>MAX(-1,3-Tableau1[[#This Row],[Nb possédé (digital)]])</f>
        <v>-1</v>
      </c>
      <c r="G519">
        <v>5</v>
      </c>
      <c r="H519">
        <f>MAX(-1,3-Tableau1[[#This Row],[Possédé (physique)]])</f>
        <v>-1</v>
      </c>
      <c r="I519" t="str">
        <f>IF(Tableau1[[#This Row],[Manque (physique)]]&gt;Tableau1[[#This Row],[Manque (digital)]],"POD",IF(Tableau1[[#This Row],[Manque (digital)]]&gt;Tableau1[[#This Row],[Manque (physique)]],"MarketPlace",""))</f>
        <v/>
      </c>
      <c r="J519" t="s">
        <v>30</v>
      </c>
      <c r="K519" t="s">
        <v>124</v>
      </c>
      <c r="L519" t="s">
        <v>52</v>
      </c>
      <c r="M519" t="s">
        <v>23</v>
      </c>
      <c r="N519" t="s">
        <v>23</v>
      </c>
      <c r="O519" t="s">
        <v>23</v>
      </c>
      <c r="P519" t="s">
        <v>52</v>
      </c>
      <c r="Q519" t="s">
        <v>125</v>
      </c>
    </row>
    <row r="520" spans="1:17" hidden="1" x14ac:dyDescent="0.25">
      <c r="A520" t="s">
        <v>267</v>
      </c>
      <c r="B520" t="s">
        <v>14</v>
      </c>
      <c r="C520" t="s">
        <v>45</v>
      </c>
      <c r="D520" t="s">
        <v>58</v>
      </c>
      <c r="E520">
        <v>4</v>
      </c>
      <c r="F520">
        <f>MAX(-1,3-Tableau1[[#This Row],[Nb possédé (digital)]])</f>
        <v>-1</v>
      </c>
      <c r="G520">
        <v>4</v>
      </c>
      <c r="H520">
        <f>MAX(-1,3-Tableau1[[#This Row],[Possédé (physique)]])</f>
        <v>-1</v>
      </c>
      <c r="I520" t="str">
        <f>IF(Tableau1[[#This Row],[Manque (physique)]]&gt;Tableau1[[#This Row],[Manque (digital)]],"POD",IF(Tableau1[[#This Row],[Manque (digital)]]&gt;Tableau1[[#This Row],[Manque (physique)]],"MarketPlace",""))</f>
        <v/>
      </c>
      <c r="J520" t="s">
        <v>268</v>
      </c>
      <c r="K520" t="s">
        <v>269</v>
      </c>
      <c r="L520" t="s">
        <v>52</v>
      </c>
      <c r="M520" t="s">
        <v>52</v>
      </c>
      <c r="Q520" t="s">
        <v>270</v>
      </c>
    </row>
    <row r="521" spans="1:17" hidden="1" x14ac:dyDescent="0.25">
      <c r="A521" t="s">
        <v>493</v>
      </c>
      <c r="B521" t="s">
        <v>14</v>
      </c>
      <c r="C521" t="s">
        <v>45</v>
      </c>
      <c r="D521" t="s">
        <v>58</v>
      </c>
      <c r="E521">
        <v>5</v>
      </c>
      <c r="F521">
        <f>MAX(-1,3-Tableau1[[#This Row],[Nb possédé (digital)]])</f>
        <v>-1</v>
      </c>
      <c r="G521">
        <v>5</v>
      </c>
      <c r="H521">
        <f>MAX(-1,3-Tableau1[[#This Row],[Possédé (physique)]])</f>
        <v>-1</v>
      </c>
      <c r="I521" t="str">
        <f>IF(Tableau1[[#This Row],[Manque (physique)]]&gt;Tableau1[[#This Row],[Manque (digital)]],"POD",IF(Tableau1[[#This Row],[Manque (digital)]]&gt;Tableau1[[#This Row],[Manque (physique)]],"MarketPlace",""))</f>
        <v/>
      </c>
      <c r="J521" t="s">
        <v>17</v>
      </c>
      <c r="K521" t="s">
        <v>153</v>
      </c>
      <c r="L521" t="s">
        <v>52</v>
      </c>
      <c r="M521" t="s">
        <v>52</v>
      </c>
      <c r="Q521" t="s">
        <v>494</v>
      </c>
    </row>
    <row r="522" spans="1:17" hidden="1" x14ac:dyDescent="0.25">
      <c r="A522" t="s">
        <v>712</v>
      </c>
      <c r="B522" t="s">
        <v>14</v>
      </c>
      <c r="C522" t="s">
        <v>45</v>
      </c>
      <c r="D522" t="s">
        <v>58</v>
      </c>
      <c r="E522">
        <v>3</v>
      </c>
      <c r="F522">
        <f>MAX(-1,3-Tableau1[[#This Row],[Nb possédé (digital)]])</f>
        <v>0</v>
      </c>
      <c r="G522">
        <v>3</v>
      </c>
      <c r="H522">
        <f>MAX(-1,3-Tableau1[[#This Row],[Possédé (physique)]])</f>
        <v>0</v>
      </c>
      <c r="I522" t="str">
        <f>IF(Tableau1[[#This Row],[Manque (physique)]]&gt;Tableau1[[#This Row],[Manque (digital)]],"POD",IF(Tableau1[[#This Row],[Manque (digital)]]&gt;Tableau1[[#This Row],[Manque (physique)]],"MarketPlace",""))</f>
        <v/>
      </c>
      <c r="J522" t="s">
        <v>268</v>
      </c>
      <c r="K522" t="s">
        <v>269</v>
      </c>
      <c r="L522" t="s">
        <v>52</v>
      </c>
      <c r="M522" t="s">
        <v>52</v>
      </c>
      <c r="Q522" t="s">
        <v>713</v>
      </c>
    </row>
    <row r="523" spans="1:17" hidden="1" x14ac:dyDescent="0.25">
      <c r="A523" t="s">
        <v>192</v>
      </c>
      <c r="B523" t="s">
        <v>14</v>
      </c>
      <c r="C523" t="s">
        <v>45</v>
      </c>
      <c r="D523" t="s">
        <v>58</v>
      </c>
      <c r="E523">
        <v>4</v>
      </c>
      <c r="F523">
        <f>MAX(-1,3-Tableau1[[#This Row],[Nb possédé (digital)]])</f>
        <v>-1</v>
      </c>
      <c r="G523">
        <v>4</v>
      </c>
      <c r="H523">
        <f>MAX(-1,3-Tableau1[[#This Row],[Possédé (physique)]])</f>
        <v>-1</v>
      </c>
      <c r="I523" t="str">
        <f>IF(Tableau1[[#This Row],[Manque (physique)]]&gt;Tableau1[[#This Row],[Manque (digital)]],"POD",IF(Tableau1[[#This Row],[Manque (digital)]]&gt;Tableau1[[#This Row],[Manque (physique)]],"MarketPlace",""))</f>
        <v/>
      </c>
      <c r="J523" t="s">
        <v>17</v>
      </c>
      <c r="K523" t="s">
        <v>153</v>
      </c>
      <c r="L523" t="s">
        <v>37</v>
      </c>
      <c r="M523" t="s">
        <v>37</v>
      </c>
      <c r="Q523" t="s">
        <v>193</v>
      </c>
    </row>
    <row r="524" spans="1:17" hidden="1" x14ac:dyDescent="0.25">
      <c r="A524" t="s">
        <v>827</v>
      </c>
      <c r="B524" t="s">
        <v>14</v>
      </c>
      <c r="C524" t="s">
        <v>45</v>
      </c>
      <c r="D524" t="s">
        <v>58</v>
      </c>
      <c r="E524">
        <v>4</v>
      </c>
      <c r="F524">
        <f>MAX(-1,3-Tableau1[[#This Row],[Nb possédé (digital)]])</f>
        <v>-1</v>
      </c>
      <c r="G524">
        <v>4</v>
      </c>
      <c r="H524">
        <f>MAX(-1,3-Tableau1[[#This Row],[Possédé (physique)]])</f>
        <v>-1</v>
      </c>
      <c r="I524" t="str">
        <f>IF(Tableau1[[#This Row],[Manque (physique)]]&gt;Tableau1[[#This Row],[Manque (digital)]],"POD",IF(Tableau1[[#This Row],[Manque (digital)]]&gt;Tableau1[[#This Row],[Manque (physique)]],"MarketPlace",""))</f>
        <v/>
      </c>
      <c r="J524" t="s">
        <v>17</v>
      </c>
      <c r="K524" t="s">
        <v>201</v>
      </c>
      <c r="L524" t="s">
        <v>39</v>
      </c>
      <c r="M524" t="s">
        <v>39</v>
      </c>
      <c r="Q524" t="s">
        <v>828</v>
      </c>
    </row>
    <row r="525" spans="1:17" hidden="1" x14ac:dyDescent="0.25">
      <c r="A525" t="s">
        <v>656</v>
      </c>
      <c r="B525" t="s">
        <v>14</v>
      </c>
      <c r="C525" t="s">
        <v>45</v>
      </c>
      <c r="D525" t="s">
        <v>58</v>
      </c>
      <c r="E525">
        <v>5</v>
      </c>
      <c r="F525">
        <f>MAX(-1,3-Tableau1[[#This Row],[Nb possédé (digital)]])</f>
        <v>-1</v>
      </c>
      <c r="G525">
        <v>5</v>
      </c>
      <c r="H525">
        <f>MAX(-1,3-Tableau1[[#This Row],[Possédé (physique)]])</f>
        <v>-1</v>
      </c>
      <c r="I525" t="str">
        <f>IF(Tableau1[[#This Row],[Manque (physique)]]&gt;Tableau1[[#This Row],[Manque (digital)]],"POD",IF(Tableau1[[#This Row],[Manque (digital)]]&gt;Tableau1[[#This Row],[Manque (physique)]],"MarketPlace",""))</f>
        <v/>
      </c>
      <c r="J525" t="s">
        <v>30</v>
      </c>
      <c r="K525" t="s">
        <v>657</v>
      </c>
      <c r="L525" t="s">
        <v>380</v>
      </c>
      <c r="M525" t="s">
        <v>380</v>
      </c>
      <c r="N525" t="s">
        <v>23</v>
      </c>
      <c r="O525" t="s">
        <v>23</v>
      </c>
      <c r="P525" t="s">
        <v>23</v>
      </c>
      <c r="Q525" t="s">
        <v>658</v>
      </c>
    </row>
    <row r="526" spans="1:17" hidden="1" x14ac:dyDescent="0.25">
      <c r="A526" t="s">
        <v>823</v>
      </c>
      <c r="B526" t="s">
        <v>14</v>
      </c>
      <c r="C526" t="s">
        <v>45</v>
      </c>
      <c r="D526" t="s">
        <v>58</v>
      </c>
      <c r="E526">
        <v>3</v>
      </c>
      <c r="F526">
        <f>MAX(-1,3-Tableau1[[#This Row],[Nb possédé (digital)]])</f>
        <v>0</v>
      </c>
      <c r="G526">
        <v>3</v>
      </c>
      <c r="H526">
        <f>MAX(-1,3-Tableau1[[#This Row],[Possédé (physique)]])</f>
        <v>0</v>
      </c>
      <c r="I526" t="str">
        <f>IF(Tableau1[[#This Row],[Manque (physique)]]&gt;Tableau1[[#This Row],[Manque (digital)]],"POD",IF(Tableau1[[#This Row],[Manque (digital)]]&gt;Tableau1[[#This Row],[Manque (physique)]],"MarketPlace",""))</f>
        <v/>
      </c>
      <c r="J526" t="s">
        <v>17</v>
      </c>
      <c r="K526" t="s">
        <v>824</v>
      </c>
      <c r="L526" t="s">
        <v>101</v>
      </c>
      <c r="M526" t="s">
        <v>101</v>
      </c>
      <c r="Q526" t="s">
        <v>825</v>
      </c>
    </row>
    <row r="527" spans="1:17" hidden="1" x14ac:dyDescent="0.25">
      <c r="A527" t="s">
        <v>1559</v>
      </c>
      <c r="B527" t="s">
        <v>14</v>
      </c>
      <c r="C527" t="s">
        <v>45</v>
      </c>
      <c r="D527" t="s">
        <v>1496</v>
      </c>
      <c r="E527">
        <v>14</v>
      </c>
      <c r="F527">
        <f>MAX(-1,3-Tableau1[[#This Row],[Nb possédé (digital)]])</f>
        <v>-1</v>
      </c>
      <c r="G527">
        <v>14</v>
      </c>
      <c r="H527">
        <f>MAX(-1,3-Tableau1[[#This Row],[Possédé (physique)]])</f>
        <v>-1</v>
      </c>
      <c r="I527" t="str">
        <f>IF(Tableau1[[#This Row],[Manque (physique)]]&gt;Tableau1[[#This Row],[Manque (digital)]],"POD",IF(Tableau1[[#This Row],[Manque (digital)]]&gt;Tableau1[[#This Row],[Manque (physique)]],"MarketPlace",""))</f>
        <v/>
      </c>
      <c r="J527" t="s">
        <v>30</v>
      </c>
      <c r="K527" t="s">
        <v>148</v>
      </c>
      <c r="L527" t="s">
        <v>20</v>
      </c>
      <c r="M527" t="s">
        <v>20</v>
      </c>
      <c r="N527" t="s">
        <v>89</v>
      </c>
      <c r="O527" t="s">
        <v>89</v>
      </c>
      <c r="P527" t="s">
        <v>20</v>
      </c>
      <c r="Q527" t="s">
        <v>1734</v>
      </c>
    </row>
    <row r="528" spans="1:17" hidden="1" x14ac:dyDescent="0.25">
      <c r="A528" t="s">
        <v>1530</v>
      </c>
      <c r="B528" t="s">
        <v>14</v>
      </c>
      <c r="C528" t="s">
        <v>45</v>
      </c>
      <c r="D528" t="s">
        <v>1496</v>
      </c>
      <c r="E528">
        <v>9</v>
      </c>
      <c r="F528">
        <f>MAX(-1,3-Tableau1[[#This Row],[Nb possédé (digital)]])</f>
        <v>-1</v>
      </c>
      <c r="G528">
        <v>9</v>
      </c>
      <c r="H528">
        <f>MAX(-1,3-Tableau1[[#This Row],[Possédé (physique)]])</f>
        <v>-1</v>
      </c>
      <c r="I528" t="str">
        <f>IF(Tableau1[[#This Row],[Manque (physique)]]&gt;Tableau1[[#This Row],[Manque (digital)]],"POD",IF(Tableau1[[#This Row],[Manque (digital)]]&gt;Tableau1[[#This Row],[Manque (physique)]],"MarketPlace",""))</f>
        <v/>
      </c>
      <c r="J528" t="s">
        <v>30</v>
      </c>
      <c r="K528" t="s">
        <v>1043</v>
      </c>
      <c r="L528" t="s">
        <v>19</v>
      </c>
      <c r="M528" t="s">
        <v>20</v>
      </c>
      <c r="N528" t="s">
        <v>20</v>
      </c>
      <c r="O528" t="s">
        <v>20</v>
      </c>
      <c r="P528" t="s">
        <v>89</v>
      </c>
      <c r="Q528" t="s">
        <v>1672</v>
      </c>
    </row>
    <row r="529" spans="1:17" hidden="1" x14ac:dyDescent="0.25">
      <c r="A529" t="s">
        <v>1577</v>
      </c>
      <c r="B529" t="s">
        <v>14</v>
      </c>
      <c r="C529" t="s">
        <v>45</v>
      </c>
      <c r="D529" t="s">
        <v>1496</v>
      </c>
      <c r="E529">
        <v>10</v>
      </c>
      <c r="F529">
        <f>MAX(-1,3-Tableau1[[#This Row],[Nb possédé (digital)]])</f>
        <v>-1</v>
      </c>
      <c r="G529">
        <v>10</v>
      </c>
      <c r="H529">
        <f>MAX(-1,3-Tableau1[[#This Row],[Possédé (physique)]])</f>
        <v>-1</v>
      </c>
      <c r="I529" t="str">
        <f>IF(Tableau1[[#This Row],[Manque (physique)]]&gt;Tableau1[[#This Row],[Manque (digital)]],"POD",IF(Tableau1[[#This Row],[Manque (digital)]]&gt;Tableau1[[#This Row],[Manque (physique)]],"MarketPlace",""))</f>
        <v/>
      </c>
      <c r="J529" t="s">
        <v>30</v>
      </c>
      <c r="K529" t="s">
        <v>1618</v>
      </c>
      <c r="L529" t="s">
        <v>19</v>
      </c>
      <c r="M529" t="s">
        <v>20</v>
      </c>
      <c r="N529" t="s">
        <v>20</v>
      </c>
      <c r="O529" t="s">
        <v>20</v>
      </c>
      <c r="P529" t="s">
        <v>20</v>
      </c>
      <c r="Q529" t="s">
        <v>1773</v>
      </c>
    </row>
    <row r="530" spans="1:17" hidden="1" x14ac:dyDescent="0.25">
      <c r="A530" t="s">
        <v>1499</v>
      </c>
      <c r="B530" t="s">
        <v>14</v>
      </c>
      <c r="C530" t="s">
        <v>45</v>
      </c>
      <c r="D530" t="s">
        <v>1496</v>
      </c>
      <c r="E530">
        <v>5</v>
      </c>
      <c r="F530">
        <f>MAX(-1,3-Tableau1[[#This Row],[Nb possédé (digital)]])</f>
        <v>-1</v>
      </c>
      <c r="G530">
        <v>5</v>
      </c>
      <c r="H530">
        <f>MAX(-1,3-Tableau1[[#This Row],[Possédé (physique)]])</f>
        <v>-1</v>
      </c>
      <c r="I530" t="str">
        <f>IF(Tableau1[[#This Row],[Manque (physique)]]&gt;Tableau1[[#This Row],[Manque (digital)]],"POD",IF(Tableau1[[#This Row],[Manque (digital)]]&gt;Tableau1[[#This Row],[Manque (physique)]],"MarketPlace",""))</f>
        <v/>
      </c>
      <c r="J530" t="s">
        <v>116</v>
      </c>
      <c r="K530" t="s">
        <v>117</v>
      </c>
      <c r="L530" t="s">
        <v>19</v>
      </c>
      <c r="M530" t="s">
        <v>19</v>
      </c>
      <c r="Q530" t="s">
        <v>1604</v>
      </c>
    </row>
    <row r="531" spans="1:17" hidden="1" x14ac:dyDescent="0.25">
      <c r="A531" t="s">
        <v>1551</v>
      </c>
      <c r="B531" t="s">
        <v>14</v>
      </c>
      <c r="C531" t="s">
        <v>45</v>
      </c>
      <c r="D531" t="s">
        <v>1496</v>
      </c>
      <c r="E531">
        <v>11</v>
      </c>
      <c r="F531">
        <f>MAX(-1,3-Tableau1[[#This Row],[Nb possédé (digital)]])</f>
        <v>-1</v>
      </c>
      <c r="G531">
        <v>11</v>
      </c>
      <c r="H531">
        <f>MAX(-1,3-Tableau1[[#This Row],[Possédé (physique)]])</f>
        <v>-1</v>
      </c>
      <c r="I531" t="str">
        <f>IF(Tableau1[[#This Row],[Manque (physique)]]&gt;Tableau1[[#This Row],[Manque (digital)]],"POD",IF(Tableau1[[#This Row],[Manque (digital)]]&gt;Tableau1[[#This Row],[Manque (physique)]],"MarketPlace",""))</f>
        <v/>
      </c>
      <c r="J531" t="s">
        <v>30</v>
      </c>
      <c r="K531" t="s">
        <v>171</v>
      </c>
      <c r="L531" t="s">
        <v>19</v>
      </c>
      <c r="M531" t="s">
        <v>19</v>
      </c>
      <c r="N531" t="s">
        <v>20</v>
      </c>
      <c r="O531" t="s">
        <v>20</v>
      </c>
      <c r="P531" t="s">
        <v>19</v>
      </c>
      <c r="Q531" t="s">
        <v>1715</v>
      </c>
    </row>
    <row r="532" spans="1:17" hidden="1" x14ac:dyDescent="0.25">
      <c r="A532" t="s">
        <v>1571</v>
      </c>
      <c r="B532" t="s">
        <v>14</v>
      </c>
      <c r="C532" t="s">
        <v>45</v>
      </c>
      <c r="D532" t="s">
        <v>1496</v>
      </c>
      <c r="E532">
        <v>12</v>
      </c>
      <c r="F532">
        <f>MAX(-1,3-Tableau1[[#This Row],[Nb possédé (digital)]])</f>
        <v>-1</v>
      </c>
      <c r="G532">
        <v>12</v>
      </c>
      <c r="H532">
        <f>MAX(-1,3-Tableau1[[#This Row],[Possédé (physique)]])</f>
        <v>-1</v>
      </c>
      <c r="I532" t="str">
        <f>IF(Tableau1[[#This Row],[Manque (physique)]]&gt;Tableau1[[#This Row],[Manque (digital)]],"POD",IF(Tableau1[[#This Row],[Manque (digital)]]&gt;Tableau1[[#This Row],[Manque (physique)]],"MarketPlace",""))</f>
        <v/>
      </c>
      <c r="J532" t="s">
        <v>17</v>
      </c>
      <c r="K532" t="s">
        <v>1756</v>
      </c>
      <c r="L532" t="s">
        <v>19</v>
      </c>
      <c r="M532" t="s">
        <v>52</v>
      </c>
      <c r="Q532" t="s">
        <v>1759</v>
      </c>
    </row>
    <row r="533" spans="1:17" hidden="1" x14ac:dyDescent="0.25">
      <c r="A533" t="s">
        <v>1505</v>
      </c>
      <c r="B533" t="s">
        <v>14</v>
      </c>
      <c r="C533" t="s">
        <v>45</v>
      </c>
      <c r="D533" t="s">
        <v>1496</v>
      </c>
      <c r="E533">
        <v>7</v>
      </c>
      <c r="F533">
        <f>MAX(-1,3-Tableau1[[#This Row],[Nb possédé (digital)]])</f>
        <v>-1</v>
      </c>
      <c r="G533">
        <v>7</v>
      </c>
      <c r="H533">
        <f>MAX(-1,3-Tableau1[[#This Row],[Possédé (physique)]])</f>
        <v>-1</v>
      </c>
      <c r="I533" t="str">
        <f>IF(Tableau1[[#This Row],[Manque (physique)]]&gt;Tableau1[[#This Row],[Manque (digital)]],"POD",IF(Tableau1[[#This Row],[Manque (digital)]]&gt;Tableau1[[#This Row],[Manque (physique)]],"MarketPlace",""))</f>
        <v/>
      </c>
      <c r="J533" t="s">
        <v>30</v>
      </c>
      <c r="K533" t="s">
        <v>1618</v>
      </c>
      <c r="L533" t="s">
        <v>23</v>
      </c>
      <c r="M533" t="s">
        <v>19</v>
      </c>
      <c r="N533" t="s">
        <v>23</v>
      </c>
      <c r="O533" t="s">
        <v>23</v>
      </c>
      <c r="P533" t="s">
        <v>89</v>
      </c>
      <c r="Q533" t="s">
        <v>1619</v>
      </c>
    </row>
    <row r="534" spans="1:17" hidden="1" x14ac:dyDescent="0.25">
      <c r="A534" t="s">
        <v>1582</v>
      </c>
      <c r="B534" t="s">
        <v>14</v>
      </c>
      <c r="C534" t="s">
        <v>45</v>
      </c>
      <c r="D534" t="s">
        <v>1496</v>
      </c>
      <c r="E534">
        <v>11</v>
      </c>
      <c r="F534">
        <f>MAX(-1,3-Tableau1[[#This Row],[Nb possédé (digital)]])</f>
        <v>-1</v>
      </c>
      <c r="G534">
        <v>11</v>
      </c>
      <c r="H534">
        <f>MAX(-1,3-Tableau1[[#This Row],[Possédé (physique)]])</f>
        <v>-1</v>
      </c>
      <c r="I534" t="str">
        <f>IF(Tableau1[[#This Row],[Manque (physique)]]&gt;Tableau1[[#This Row],[Manque (digital)]],"POD",IF(Tableau1[[#This Row],[Manque (digital)]]&gt;Tableau1[[#This Row],[Manque (physique)]],"MarketPlace",""))</f>
        <v/>
      </c>
      <c r="J534" t="s">
        <v>30</v>
      </c>
      <c r="K534" t="s">
        <v>68</v>
      </c>
      <c r="L534" t="s">
        <v>23</v>
      </c>
      <c r="M534" t="s">
        <v>19</v>
      </c>
      <c r="N534" t="s">
        <v>19</v>
      </c>
      <c r="O534" t="s">
        <v>19</v>
      </c>
      <c r="P534" t="s">
        <v>19</v>
      </c>
      <c r="Q534" t="s">
        <v>1787</v>
      </c>
    </row>
    <row r="535" spans="1:17" hidden="1" x14ac:dyDescent="0.25">
      <c r="A535" t="s">
        <v>1539</v>
      </c>
      <c r="B535" t="s">
        <v>14</v>
      </c>
      <c r="C535" t="s">
        <v>45</v>
      </c>
      <c r="D535" t="s">
        <v>1496</v>
      </c>
      <c r="E535">
        <v>9</v>
      </c>
      <c r="F535">
        <f>MAX(-1,3-Tableau1[[#This Row],[Nb possédé (digital)]])</f>
        <v>-1</v>
      </c>
      <c r="G535">
        <v>9</v>
      </c>
      <c r="H535">
        <f>MAX(-1,3-Tableau1[[#This Row],[Possédé (physique)]])</f>
        <v>-1</v>
      </c>
      <c r="I535" t="str">
        <f>IF(Tableau1[[#This Row],[Manque (physique)]]&gt;Tableau1[[#This Row],[Manque (digital)]],"POD",IF(Tableau1[[#This Row],[Manque (digital)]]&gt;Tableau1[[#This Row],[Manque (physique)]],"MarketPlace",""))</f>
        <v/>
      </c>
      <c r="J535" t="s">
        <v>268</v>
      </c>
      <c r="K535" t="s">
        <v>269</v>
      </c>
      <c r="L535" t="s">
        <v>23</v>
      </c>
      <c r="M535" t="s">
        <v>23</v>
      </c>
      <c r="Q535" t="s">
        <v>1688</v>
      </c>
    </row>
    <row r="536" spans="1:17" hidden="1" x14ac:dyDescent="0.25">
      <c r="A536" t="s">
        <v>1555</v>
      </c>
      <c r="B536" t="s">
        <v>14</v>
      </c>
      <c r="C536" t="s">
        <v>45</v>
      </c>
      <c r="D536" t="s">
        <v>1496</v>
      </c>
      <c r="E536">
        <v>7</v>
      </c>
      <c r="F536">
        <f>MAX(-1,3-Tableau1[[#This Row],[Nb possédé (digital)]])</f>
        <v>-1</v>
      </c>
      <c r="G536">
        <v>7</v>
      </c>
      <c r="H536">
        <f>MAX(-1,3-Tableau1[[#This Row],[Possédé (physique)]])</f>
        <v>-1</v>
      </c>
      <c r="I536" t="str">
        <f>IF(Tableau1[[#This Row],[Manque (physique)]]&gt;Tableau1[[#This Row],[Manque (digital)]],"POD",IF(Tableau1[[#This Row],[Manque (digital)]]&gt;Tableau1[[#This Row],[Manque (physique)]],"MarketPlace",""))</f>
        <v/>
      </c>
      <c r="J536" t="s">
        <v>30</v>
      </c>
      <c r="K536" t="s">
        <v>1724</v>
      </c>
      <c r="L536" t="s">
        <v>23</v>
      </c>
      <c r="M536" t="s">
        <v>23</v>
      </c>
      <c r="N536" t="s">
        <v>23</v>
      </c>
      <c r="O536" t="s">
        <v>23</v>
      </c>
      <c r="P536" t="s">
        <v>23</v>
      </c>
      <c r="Q536" t="s">
        <v>1725</v>
      </c>
    </row>
    <row r="537" spans="1:17" hidden="1" x14ac:dyDescent="0.25">
      <c r="A537" t="s">
        <v>1584</v>
      </c>
      <c r="B537" t="s">
        <v>14</v>
      </c>
      <c r="C537" t="s">
        <v>45</v>
      </c>
      <c r="D537" t="s">
        <v>1496</v>
      </c>
      <c r="E537">
        <v>10</v>
      </c>
      <c r="F537">
        <f>MAX(-1,3-Tableau1[[#This Row],[Nb possédé (digital)]])</f>
        <v>-1</v>
      </c>
      <c r="G537">
        <v>10</v>
      </c>
      <c r="H537">
        <f>MAX(-1,3-Tableau1[[#This Row],[Possédé (physique)]])</f>
        <v>-1</v>
      </c>
      <c r="I537" t="str">
        <f>IF(Tableau1[[#This Row],[Manque (physique)]]&gt;Tableau1[[#This Row],[Manque (digital)]],"POD",IF(Tableau1[[#This Row],[Manque (digital)]]&gt;Tableau1[[#This Row],[Manque (physique)]],"MarketPlace",""))</f>
        <v/>
      </c>
      <c r="J537" t="s">
        <v>17</v>
      </c>
      <c r="K537" t="s">
        <v>824</v>
      </c>
      <c r="L537" t="s">
        <v>23</v>
      </c>
      <c r="M537" t="s">
        <v>23</v>
      </c>
      <c r="Q537" t="s">
        <v>1791</v>
      </c>
    </row>
    <row r="538" spans="1:17" hidden="1" x14ac:dyDescent="0.25">
      <c r="A538" t="s">
        <v>1587</v>
      </c>
      <c r="B538" t="s">
        <v>14</v>
      </c>
      <c r="C538" t="s">
        <v>45</v>
      </c>
      <c r="D538" t="s">
        <v>1496</v>
      </c>
      <c r="E538">
        <v>8</v>
      </c>
      <c r="F538">
        <f>MAX(-1,3-Tableau1[[#This Row],[Nb possédé (digital)]])</f>
        <v>-1</v>
      </c>
      <c r="G538">
        <v>8</v>
      </c>
      <c r="H538">
        <f>MAX(-1,3-Tableau1[[#This Row],[Possédé (physique)]])</f>
        <v>-1</v>
      </c>
      <c r="I538" t="str">
        <f>IF(Tableau1[[#This Row],[Manque (physique)]]&gt;Tableau1[[#This Row],[Manque (digital)]],"POD",IF(Tableau1[[#This Row],[Manque (digital)]]&gt;Tableau1[[#This Row],[Manque (physique)]],"MarketPlace",""))</f>
        <v/>
      </c>
      <c r="J538" t="s">
        <v>17</v>
      </c>
      <c r="K538" t="s">
        <v>824</v>
      </c>
      <c r="L538" t="s">
        <v>52</v>
      </c>
      <c r="M538" t="s">
        <v>52</v>
      </c>
      <c r="Q538" t="s">
        <v>1799</v>
      </c>
    </row>
    <row r="539" spans="1:17" hidden="1" x14ac:dyDescent="0.25">
      <c r="A539" t="s">
        <v>1562</v>
      </c>
      <c r="B539" t="s">
        <v>14</v>
      </c>
      <c r="C539" t="s">
        <v>45</v>
      </c>
      <c r="D539" t="s">
        <v>1496</v>
      </c>
      <c r="E539">
        <v>9</v>
      </c>
      <c r="F539">
        <f>MAX(-1,3-Tableau1[[#This Row],[Nb possédé (digital)]])</f>
        <v>-1</v>
      </c>
      <c r="G539">
        <v>9</v>
      </c>
      <c r="H539">
        <f>MAX(-1,3-Tableau1[[#This Row],[Possédé (physique)]])</f>
        <v>-1</v>
      </c>
      <c r="I539" t="str">
        <f>IF(Tableau1[[#This Row],[Manque (physique)]]&gt;Tableau1[[#This Row],[Manque (digital)]],"POD",IF(Tableau1[[#This Row],[Manque (digital)]]&gt;Tableau1[[#This Row],[Manque (physique)]],"MarketPlace",""))</f>
        <v/>
      </c>
      <c r="J539" t="s">
        <v>17</v>
      </c>
      <c r="K539" t="s">
        <v>97</v>
      </c>
      <c r="L539" t="s">
        <v>52</v>
      </c>
      <c r="M539" t="s">
        <v>37</v>
      </c>
      <c r="Q539" t="s">
        <v>1742</v>
      </c>
    </row>
    <row r="540" spans="1:17" hidden="1" x14ac:dyDescent="0.25">
      <c r="A540" t="s">
        <v>1498</v>
      </c>
      <c r="B540" t="s">
        <v>14</v>
      </c>
      <c r="C540" t="s">
        <v>45</v>
      </c>
      <c r="D540" t="s">
        <v>1496</v>
      </c>
      <c r="E540">
        <v>6</v>
      </c>
      <c r="F540">
        <f>MAX(-1,3-Tableau1[[#This Row],[Nb possédé (digital)]])</f>
        <v>-1</v>
      </c>
      <c r="G540">
        <v>6</v>
      </c>
      <c r="H540">
        <f>MAX(-1,3-Tableau1[[#This Row],[Possédé (physique)]])</f>
        <v>-1</v>
      </c>
      <c r="I540" t="str">
        <f>IF(Tableau1[[#This Row],[Manque (physique)]]&gt;Tableau1[[#This Row],[Manque (digital)]],"POD",IF(Tableau1[[#This Row],[Manque (digital)]]&gt;Tableau1[[#This Row],[Manque (physique)]],"MarketPlace",""))</f>
        <v/>
      </c>
      <c r="J540" t="s">
        <v>30</v>
      </c>
      <c r="K540" t="s">
        <v>1601</v>
      </c>
      <c r="L540" t="s">
        <v>37</v>
      </c>
      <c r="M540" t="s">
        <v>23</v>
      </c>
      <c r="N540" t="s">
        <v>19</v>
      </c>
      <c r="O540" t="s">
        <v>52</v>
      </c>
      <c r="P540" t="s">
        <v>19</v>
      </c>
      <c r="Q540" t="s">
        <v>1602</v>
      </c>
    </row>
    <row r="541" spans="1:17" hidden="1" x14ac:dyDescent="0.25">
      <c r="A541" t="s">
        <v>1509</v>
      </c>
      <c r="B541" t="s">
        <v>14</v>
      </c>
      <c r="C541" t="s">
        <v>45</v>
      </c>
      <c r="D541" t="s">
        <v>1496</v>
      </c>
      <c r="E541">
        <v>9</v>
      </c>
      <c r="F541">
        <f>MAX(-1,3-Tableau1[[#This Row],[Nb possédé (digital)]])</f>
        <v>-1</v>
      </c>
      <c r="G541">
        <v>9</v>
      </c>
      <c r="H541">
        <f>MAX(-1,3-Tableau1[[#This Row],[Possédé (physique)]])</f>
        <v>-1</v>
      </c>
      <c r="I541" t="str">
        <f>IF(Tableau1[[#This Row],[Manque (physique)]]&gt;Tableau1[[#This Row],[Manque (digital)]],"POD",IF(Tableau1[[#This Row],[Manque (digital)]]&gt;Tableau1[[#This Row],[Manque (physique)]],"MarketPlace",""))</f>
        <v/>
      </c>
      <c r="J541" t="s">
        <v>17</v>
      </c>
      <c r="K541" t="s">
        <v>824</v>
      </c>
      <c r="L541" t="s">
        <v>380</v>
      </c>
      <c r="M541" t="s">
        <v>380</v>
      </c>
      <c r="Q541" t="s">
        <v>1628</v>
      </c>
    </row>
    <row r="542" spans="1:17" hidden="1" x14ac:dyDescent="0.25">
      <c r="A542" t="s">
        <v>517</v>
      </c>
      <c r="B542" t="s">
        <v>14</v>
      </c>
      <c r="C542" t="s">
        <v>45</v>
      </c>
      <c r="D542" t="s">
        <v>29</v>
      </c>
      <c r="E542">
        <v>7</v>
      </c>
      <c r="F542">
        <f>MAX(-1,3-Tableau1[[#This Row],[Nb possédé (digital)]])</f>
        <v>-1</v>
      </c>
      <c r="G542">
        <v>7</v>
      </c>
      <c r="H542">
        <f>MAX(-1,3-Tableau1[[#This Row],[Possédé (physique)]])</f>
        <v>-1</v>
      </c>
      <c r="I542" t="str">
        <f>IF(Tableau1[[#This Row],[Manque (physique)]]&gt;Tableau1[[#This Row],[Manque (digital)]],"POD",IF(Tableau1[[#This Row],[Manque (digital)]]&gt;Tableau1[[#This Row],[Manque (physique)]],"MarketPlace",""))</f>
        <v/>
      </c>
      <c r="J542" t="s">
        <v>30</v>
      </c>
      <c r="K542" t="s">
        <v>79</v>
      </c>
      <c r="L542" t="s">
        <v>20</v>
      </c>
      <c r="M542" t="s">
        <v>19</v>
      </c>
      <c r="N542" t="s">
        <v>20</v>
      </c>
      <c r="O542" t="s">
        <v>20</v>
      </c>
      <c r="P542" t="s">
        <v>20</v>
      </c>
    </row>
    <row r="543" spans="1:17" hidden="1" x14ac:dyDescent="0.25">
      <c r="A543" t="s">
        <v>726</v>
      </c>
      <c r="B543" t="s">
        <v>14</v>
      </c>
      <c r="C543" t="s">
        <v>45</v>
      </c>
      <c r="D543" t="s">
        <v>29</v>
      </c>
      <c r="E543">
        <v>6</v>
      </c>
      <c r="F543">
        <f>MAX(-1,3-Tableau1[[#This Row],[Nb possédé (digital)]])</f>
        <v>-1</v>
      </c>
      <c r="G543">
        <v>6</v>
      </c>
      <c r="H543">
        <f>MAX(-1,3-Tableau1[[#This Row],[Possédé (physique)]])</f>
        <v>-1</v>
      </c>
      <c r="I543" t="str">
        <f>IF(Tableau1[[#This Row],[Manque (physique)]]&gt;Tableau1[[#This Row],[Manque (digital)]],"POD",IF(Tableau1[[#This Row],[Manque (digital)]]&gt;Tableau1[[#This Row],[Manque (physique)]],"MarketPlace",""))</f>
        <v/>
      </c>
      <c r="J543" t="s">
        <v>268</v>
      </c>
      <c r="K543" t="s">
        <v>269</v>
      </c>
      <c r="L543" t="s">
        <v>19</v>
      </c>
      <c r="M543" t="s">
        <v>19</v>
      </c>
      <c r="Q543" t="s">
        <v>727</v>
      </c>
    </row>
    <row r="544" spans="1:17" hidden="1" x14ac:dyDescent="0.25">
      <c r="A544" t="s">
        <v>742</v>
      </c>
      <c r="B544" t="s">
        <v>14</v>
      </c>
      <c r="C544" t="s">
        <v>45</v>
      </c>
      <c r="D544" t="s">
        <v>29</v>
      </c>
      <c r="E544">
        <v>6</v>
      </c>
      <c r="F544">
        <f>MAX(-1,3-Tableau1[[#This Row],[Nb possédé (digital)]])</f>
        <v>-1</v>
      </c>
      <c r="G544">
        <v>6</v>
      </c>
      <c r="H544">
        <f>MAX(-1,3-Tableau1[[#This Row],[Possédé (physique)]])</f>
        <v>-1</v>
      </c>
      <c r="I544" t="str">
        <f>IF(Tableau1[[#This Row],[Manque (physique)]]&gt;Tableau1[[#This Row],[Manque (digital)]],"POD",IF(Tableau1[[#This Row],[Manque (digital)]]&gt;Tableau1[[#This Row],[Manque (physique)]],"MarketPlace",""))</f>
        <v/>
      </c>
      <c r="J544" t="s">
        <v>268</v>
      </c>
      <c r="K544" t="s">
        <v>438</v>
      </c>
      <c r="L544" t="s">
        <v>19</v>
      </c>
      <c r="M544" t="s">
        <v>19</v>
      </c>
      <c r="Q544" t="s">
        <v>743</v>
      </c>
    </row>
    <row r="545" spans="1:17" hidden="1" x14ac:dyDescent="0.25">
      <c r="A545" t="s">
        <v>854</v>
      </c>
      <c r="B545" t="s">
        <v>14</v>
      </c>
      <c r="C545" t="s">
        <v>45</v>
      </c>
      <c r="D545" t="s">
        <v>29</v>
      </c>
      <c r="E545">
        <v>7</v>
      </c>
      <c r="F545">
        <f>MAX(-1,3-Tableau1[[#This Row],[Nb possédé (digital)]])</f>
        <v>-1</v>
      </c>
      <c r="G545">
        <v>7</v>
      </c>
      <c r="H545">
        <f>MAX(-1,3-Tableau1[[#This Row],[Possédé (physique)]])</f>
        <v>-1</v>
      </c>
      <c r="I545" t="str">
        <f>IF(Tableau1[[#This Row],[Manque (physique)]]&gt;Tableau1[[#This Row],[Manque (digital)]],"POD",IF(Tableau1[[#This Row],[Manque (digital)]]&gt;Tableau1[[#This Row],[Manque (physique)]],"MarketPlace",""))</f>
        <v/>
      </c>
      <c r="J545" t="s">
        <v>30</v>
      </c>
      <c r="K545" t="s">
        <v>846</v>
      </c>
      <c r="L545" t="s">
        <v>19</v>
      </c>
      <c r="M545" t="s">
        <v>19</v>
      </c>
      <c r="N545" t="s">
        <v>89</v>
      </c>
      <c r="O545" t="s">
        <v>89</v>
      </c>
      <c r="P545" t="s">
        <v>89</v>
      </c>
      <c r="Q545" t="s">
        <v>855</v>
      </c>
    </row>
    <row r="546" spans="1:17" hidden="1" x14ac:dyDescent="0.25">
      <c r="A546" t="s">
        <v>572</v>
      </c>
      <c r="B546" t="s">
        <v>14</v>
      </c>
      <c r="C546" t="s">
        <v>45</v>
      </c>
      <c r="D546" t="s">
        <v>29</v>
      </c>
      <c r="E546">
        <v>6</v>
      </c>
      <c r="F546">
        <f>MAX(-1,3-Tableau1[[#This Row],[Nb possédé (digital)]])</f>
        <v>-1</v>
      </c>
      <c r="G546">
        <v>6</v>
      </c>
      <c r="H546">
        <f>MAX(-1,3-Tableau1[[#This Row],[Possédé (physique)]])</f>
        <v>-1</v>
      </c>
      <c r="I546" t="str">
        <f>IF(Tableau1[[#This Row],[Manque (physique)]]&gt;Tableau1[[#This Row],[Manque (digital)]],"POD",IF(Tableau1[[#This Row],[Manque (digital)]]&gt;Tableau1[[#This Row],[Manque (physique)]],"MarketPlace",""))</f>
        <v/>
      </c>
      <c r="J546" t="s">
        <v>17</v>
      </c>
      <c r="K546" t="s">
        <v>18</v>
      </c>
      <c r="L546" t="s">
        <v>19</v>
      </c>
      <c r="M546" t="s">
        <v>23</v>
      </c>
      <c r="Q546" t="s">
        <v>573</v>
      </c>
    </row>
    <row r="547" spans="1:17" hidden="1" x14ac:dyDescent="0.25">
      <c r="A547" t="s">
        <v>1042</v>
      </c>
      <c r="B547" t="s">
        <v>14</v>
      </c>
      <c r="C547" t="s">
        <v>45</v>
      </c>
      <c r="D547" t="s">
        <v>29</v>
      </c>
      <c r="E547">
        <v>6</v>
      </c>
      <c r="F547">
        <f>MAX(-1,3-Tableau1[[#This Row],[Nb possédé (digital)]])</f>
        <v>-1</v>
      </c>
      <c r="G547">
        <v>6</v>
      </c>
      <c r="H547">
        <f>MAX(-1,3-Tableau1[[#This Row],[Possédé (physique)]])</f>
        <v>-1</v>
      </c>
      <c r="I547" t="str">
        <f>IF(Tableau1[[#This Row],[Manque (physique)]]&gt;Tableau1[[#This Row],[Manque (digital)]],"POD",IF(Tableau1[[#This Row],[Manque (digital)]]&gt;Tableau1[[#This Row],[Manque (physique)]],"MarketPlace",""))</f>
        <v/>
      </c>
      <c r="J547" t="s">
        <v>30</v>
      </c>
      <c r="K547" t="s">
        <v>1043</v>
      </c>
      <c r="L547" t="s">
        <v>19</v>
      </c>
      <c r="M547" t="s">
        <v>23</v>
      </c>
      <c r="N547" t="s">
        <v>19</v>
      </c>
      <c r="O547" t="s">
        <v>19</v>
      </c>
      <c r="P547" t="s">
        <v>89</v>
      </c>
      <c r="Q547" t="s">
        <v>1044</v>
      </c>
    </row>
    <row r="548" spans="1:17" hidden="1" x14ac:dyDescent="0.25">
      <c r="A548" t="s">
        <v>1144</v>
      </c>
      <c r="B548" t="s">
        <v>14</v>
      </c>
      <c r="C548" t="s">
        <v>45</v>
      </c>
      <c r="D548" t="s">
        <v>29</v>
      </c>
      <c r="E548">
        <v>7</v>
      </c>
      <c r="F548">
        <f>MAX(-1,3-Tableau1[[#This Row],[Nb possédé (digital)]])</f>
        <v>-1</v>
      </c>
      <c r="G548">
        <v>7</v>
      </c>
      <c r="H548">
        <f>MAX(-1,3-Tableau1[[#This Row],[Possédé (physique)]])</f>
        <v>-1</v>
      </c>
      <c r="I548" t="str">
        <f>IF(Tableau1[[#This Row],[Manque (physique)]]&gt;Tableau1[[#This Row],[Manque (digital)]],"POD",IF(Tableau1[[#This Row],[Manque (digital)]]&gt;Tableau1[[#This Row],[Manque (physique)]],"MarketPlace",""))</f>
        <v/>
      </c>
      <c r="J548" t="s">
        <v>17</v>
      </c>
      <c r="K548" t="s">
        <v>153</v>
      </c>
      <c r="L548" t="s">
        <v>19</v>
      </c>
      <c r="M548" t="s">
        <v>52</v>
      </c>
      <c r="Q548" t="s">
        <v>1145</v>
      </c>
    </row>
    <row r="549" spans="1:17" hidden="1" x14ac:dyDescent="0.25">
      <c r="A549" t="s">
        <v>564</v>
      </c>
      <c r="B549" t="s">
        <v>14</v>
      </c>
      <c r="C549" t="s">
        <v>45</v>
      </c>
      <c r="D549" t="s">
        <v>29</v>
      </c>
      <c r="E549">
        <v>6</v>
      </c>
      <c r="F549">
        <f>MAX(-1,3-Tableau1[[#This Row],[Nb possédé (digital)]])</f>
        <v>-1</v>
      </c>
      <c r="G549">
        <v>6</v>
      </c>
      <c r="H549">
        <f>MAX(-1,3-Tableau1[[#This Row],[Possédé (physique)]])</f>
        <v>-1</v>
      </c>
      <c r="I549" t="str">
        <f>IF(Tableau1[[#This Row],[Manque (physique)]]&gt;Tableau1[[#This Row],[Manque (digital)]],"POD",IF(Tableau1[[#This Row],[Manque (digital)]]&gt;Tableau1[[#This Row],[Manque (physique)]],"MarketPlace",""))</f>
        <v/>
      </c>
      <c r="J549" t="s">
        <v>30</v>
      </c>
      <c r="K549" t="s">
        <v>565</v>
      </c>
      <c r="L549" t="s">
        <v>23</v>
      </c>
      <c r="M549" t="s">
        <v>19</v>
      </c>
      <c r="N549" t="s">
        <v>19</v>
      </c>
      <c r="O549" t="s">
        <v>23</v>
      </c>
      <c r="P549" t="s">
        <v>19</v>
      </c>
      <c r="Q549" t="s">
        <v>566</v>
      </c>
    </row>
    <row r="550" spans="1:17" hidden="1" x14ac:dyDescent="0.25">
      <c r="A550" t="s">
        <v>568</v>
      </c>
      <c r="B550" t="s">
        <v>14</v>
      </c>
      <c r="C550" t="s">
        <v>45</v>
      </c>
      <c r="D550" t="s">
        <v>29</v>
      </c>
      <c r="E550">
        <v>7</v>
      </c>
      <c r="F550">
        <f>MAX(-1,3-Tableau1[[#This Row],[Nb possédé (digital)]])</f>
        <v>-1</v>
      </c>
      <c r="G550">
        <v>7</v>
      </c>
      <c r="H550">
        <f>MAX(-1,3-Tableau1[[#This Row],[Possédé (physique)]])</f>
        <v>-1</v>
      </c>
      <c r="I550" t="str">
        <f>IF(Tableau1[[#This Row],[Manque (physique)]]&gt;Tableau1[[#This Row],[Manque (digital)]],"POD",IF(Tableau1[[#This Row],[Manque (digital)]]&gt;Tableau1[[#This Row],[Manque (physique)]],"MarketPlace",""))</f>
        <v/>
      </c>
      <c r="J550" t="s">
        <v>30</v>
      </c>
      <c r="K550" t="s">
        <v>124</v>
      </c>
      <c r="L550" t="s">
        <v>23</v>
      </c>
      <c r="M550" t="s">
        <v>19</v>
      </c>
      <c r="N550" t="s">
        <v>19</v>
      </c>
      <c r="O550" t="s">
        <v>19</v>
      </c>
      <c r="P550" t="s">
        <v>19</v>
      </c>
      <c r="Q550" t="s">
        <v>569</v>
      </c>
    </row>
    <row r="551" spans="1:17" hidden="1" x14ac:dyDescent="0.25">
      <c r="A551" t="s">
        <v>811</v>
      </c>
      <c r="B551" t="s">
        <v>14</v>
      </c>
      <c r="C551" t="s">
        <v>45</v>
      </c>
      <c r="D551" t="s">
        <v>29</v>
      </c>
      <c r="E551">
        <v>7</v>
      </c>
      <c r="F551">
        <f>MAX(-1,3-Tableau1[[#This Row],[Nb possédé (digital)]])</f>
        <v>-1</v>
      </c>
      <c r="G551">
        <v>7</v>
      </c>
      <c r="H551">
        <f>MAX(-1,3-Tableau1[[#This Row],[Possédé (physique)]])</f>
        <v>-1</v>
      </c>
      <c r="I551" t="str">
        <f>IF(Tableau1[[#This Row],[Manque (physique)]]&gt;Tableau1[[#This Row],[Manque (digital)]],"POD",IF(Tableau1[[#This Row],[Manque (digital)]]&gt;Tableau1[[#This Row],[Manque (physique)]],"MarketPlace",""))</f>
        <v/>
      </c>
      <c r="J551" t="s">
        <v>17</v>
      </c>
      <c r="K551" t="s">
        <v>153</v>
      </c>
      <c r="L551" t="s">
        <v>23</v>
      </c>
      <c r="M551" t="s">
        <v>23</v>
      </c>
      <c r="Q551" t="s">
        <v>812</v>
      </c>
    </row>
    <row r="552" spans="1:17" hidden="1" x14ac:dyDescent="0.25">
      <c r="A552" t="s">
        <v>446</v>
      </c>
      <c r="B552" t="s">
        <v>14</v>
      </c>
      <c r="C552" t="s">
        <v>45</v>
      </c>
      <c r="D552" t="s">
        <v>29</v>
      </c>
      <c r="E552">
        <v>7</v>
      </c>
      <c r="F552">
        <f>MAX(-1,3-Tableau1[[#This Row],[Nb possédé (digital)]])</f>
        <v>-1</v>
      </c>
      <c r="G552">
        <v>7</v>
      </c>
      <c r="H552">
        <f>MAX(-1,3-Tableau1[[#This Row],[Possédé (physique)]])</f>
        <v>-1</v>
      </c>
      <c r="I552" t="str">
        <f>IF(Tableau1[[#This Row],[Manque (physique)]]&gt;Tableau1[[#This Row],[Manque (digital)]],"POD",IF(Tableau1[[#This Row],[Manque (digital)]]&gt;Tableau1[[#This Row],[Manque (physique)]],"MarketPlace",""))</f>
        <v/>
      </c>
      <c r="J552" t="s">
        <v>17</v>
      </c>
      <c r="K552" t="s">
        <v>447</v>
      </c>
      <c r="L552" t="s">
        <v>23</v>
      </c>
      <c r="M552" t="s">
        <v>37</v>
      </c>
      <c r="Q552" t="s">
        <v>448</v>
      </c>
    </row>
    <row r="553" spans="1:17" hidden="1" x14ac:dyDescent="0.25">
      <c r="A553" t="s">
        <v>398</v>
      </c>
      <c r="B553" t="s">
        <v>14</v>
      </c>
      <c r="C553" t="s">
        <v>45</v>
      </c>
      <c r="D553" t="s">
        <v>29</v>
      </c>
      <c r="E553">
        <v>6</v>
      </c>
      <c r="F553">
        <f>MAX(-1,3-Tableau1[[#This Row],[Nb possédé (digital)]])</f>
        <v>-1</v>
      </c>
      <c r="G553">
        <v>6</v>
      </c>
      <c r="H553">
        <f>MAX(-1,3-Tableau1[[#This Row],[Possédé (physique)]])</f>
        <v>-1</v>
      </c>
      <c r="I553" t="str">
        <f>IF(Tableau1[[#This Row],[Manque (physique)]]&gt;Tableau1[[#This Row],[Manque (digital)]],"POD",IF(Tableau1[[#This Row],[Manque (digital)]]&gt;Tableau1[[#This Row],[Manque (physique)]],"MarketPlace",""))</f>
        <v/>
      </c>
      <c r="J553" t="s">
        <v>30</v>
      </c>
      <c r="K553" t="s">
        <v>124</v>
      </c>
      <c r="L553" t="s">
        <v>52</v>
      </c>
      <c r="M553" t="s">
        <v>19</v>
      </c>
      <c r="N553" t="s">
        <v>19</v>
      </c>
      <c r="O553" t="s">
        <v>19</v>
      </c>
      <c r="P553" t="s">
        <v>19</v>
      </c>
      <c r="Q553" t="s">
        <v>399</v>
      </c>
    </row>
    <row r="554" spans="1:17" hidden="1" x14ac:dyDescent="0.25">
      <c r="A554" t="s">
        <v>1029</v>
      </c>
      <c r="B554" t="s">
        <v>14</v>
      </c>
      <c r="C554" t="s">
        <v>45</v>
      </c>
      <c r="D554" t="s">
        <v>29</v>
      </c>
      <c r="E554">
        <v>6</v>
      </c>
      <c r="F554">
        <f>MAX(-1,3-Tableau1[[#This Row],[Nb possédé (digital)]])</f>
        <v>-1</v>
      </c>
      <c r="G554">
        <v>6</v>
      </c>
      <c r="H554">
        <f>MAX(-1,3-Tableau1[[#This Row],[Possédé (physique)]])</f>
        <v>-1</v>
      </c>
      <c r="I554" t="str">
        <f>IF(Tableau1[[#This Row],[Manque (physique)]]&gt;Tableau1[[#This Row],[Manque (digital)]],"POD",IF(Tableau1[[#This Row],[Manque (digital)]]&gt;Tableau1[[#This Row],[Manque (physique)]],"MarketPlace",""))</f>
        <v/>
      </c>
      <c r="J554" t="s">
        <v>30</v>
      </c>
      <c r="K554" t="s">
        <v>124</v>
      </c>
      <c r="L554" t="s">
        <v>52</v>
      </c>
      <c r="M554" t="s">
        <v>37</v>
      </c>
      <c r="N554" t="s">
        <v>19</v>
      </c>
      <c r="O554" t="s">
        <v>52</v>
      </c>
      <c r="P554" t="s">
        <v>52</v>
      </c>
      <c r="Q554" t="s">
        <v>1030</v>
      </c>
    </row>
    <row r="555" spans="1:17" hidden="1" x14ac:dyDescent="0.25">
      <c r="A555" t="s">
        <v>792</v>
      </c>
      <c r="B555" t="s">
        <v>14</v>
      </c>
      <c r="C555" t="s">
        <v>45</v>
      </c>
      <c r="D555" t="s">
        <v>29</v>
      </c>
      <c r="E555">
        <v>6</v>
      </c>
      <c r="F555">
        <f>MAX(-1,3-Tableau1[[#This Row],[Nb possédé (digital)]])</f>
        <v>-1</v>
      </c>
      <c r="G555">
        <v>6</v>
      </c>
      <c r="H555">
        <f>MAX(-1,3-Tableau1[[#This Row],[Possédé (physique)]])</f>
        <v>-1</v>
      </c>
      <c r="I555" t="str">
        <f>IF(Tableau1[[#This Row],[Manque (physique)]]&gt;Tableau1[[#This Row],[Manque (digital)]],"POD",IF(Tableau1[[#This Row],[Manque (digital)]]&gt;Tableau1[[#This Row],[Manque (physique)]],"MarketPlace",""))</f>
        <v/>
      </c>
      <c r="J555" t="s">
        <v>30</v>
      </c>
      <c r="K555" t="s">
        <v>124</v>
      </c>
      <c r="L555" t="s">
        <v>39</v>
      </c>
      <c r="M555" t="s">
        <v>23</v>
      </c>
      <c r="N555" t="s">
        <v>23</v>
      </c>
      <c r="O555" t="s">
        <v>23</v>
      </c>
      <c r="P555" t="s">
        <v>23</v>
      </c>
      <c r="Q555" t="s">
        <v>793</v>
      </c>
    </row>
    <row r="556" spans="1:17" hidden="1" x14ac:dyDescent="0.25">
      <c r="A556" t="s">
        <v>621</v>
      </c>
      <c r="B556" t="s">
        <v>14</v>
      </c>
      <c r="C556" t="s">
        <v>45</v>
      </c>
      <c r="D556" t="s">
        <v>29</v>
      </c>
      <c r="E556">
        <v>6</v>
      </c>
      <c r="F556">
        <f>MAX(-1,3-Tableau1[[#This Row],[Nb possédé (digital)]])</f>
        <v>-1</v>
      </c>
      <c r="G556">
        <v>6</v>
      </c>
      <c r="H556">
        <f>MAX(-1,3-Tableau1[[#This Row],[Possédé (physique)]])</f>
        <v>-1</v>
      </c>
      <c r="I556" t="str">
        <f>IF(Tableau1[[#This Row],[Manque (physique)]]&gt;Tableau1[[#This Row],[Manque (digital)]],"POD",IF(Tableau1[[#This Row],[Manque (digital)]]&gt;Tableau1[[#This Row],[Manque (physique)]],"MarketPlace",""))</f>
        <v/>
      </c>
      <c r="J556" t="s">
        <v>30</v>
      </c>
      <c r="K556" t="s">
        <v>103</v>
      </c>
      <c r="L556" t="s">
        <v>98</v>
      </c>
      <c r="M556" t="s">
        <v>23</v>
      </c>
      <c r="N556" t="s">
        <v>23</v>
      </c>
      <c r="O556" t="s">
        <v>23</v>
      </c>
      <c r="P556" t="s">
        <v>23</v>
      </c>
      <c r="Q556" t="s">
        <v>622</v>
      </c>
    </row>
    <row r="557" spans="1:17" hidden="1" x14ac:dyDescent="0.25">
      <c r="A557" t="s">
        <v>1229</v>
      </c>
      <c r="B557" t="s">
        <v>14</v>
      </c>
      <c r="C557" t="s">
        <v>45</v>
      </c>
      <c r="D557" t="s">
        <v>1156</v>
      </c>
      <c r="E557">
        <v>6</v>
      </c>
      <c r="F557">
        <f>MAX(-1,3-Tableau1[[#This Row],[Nb possédé (digital)]])</f>
        <v>-1</v>
      </c>
      <c r="G557">
        <v>6</v>
      </c>
      <c r="H557">
        <f>MAX(-1,3-Tableau1[[#This Row],[Possédé (physique)]])</f>
        <v>-1</v>
      </c>
      <c r="I557" t="str">
        <f>IF(Tableau1[[#This Row],[Manque (physique)]]&gt;Tableau1[[#This Row],[Manque (digital)]],"POD",IF(Tableau1[[#This Row],[Manque (digital)]]&gt;Tableau1[[#This Row],[Manque (physique)]],"MarketPlace",""))</f>
        <v/>
      </c>
      <c r="J557" t="s">
        <v>30</v>
      </c>
      <c r="K557" t="s">
        <v>328</v>
      </c>
      <c r="L557" t="s">
        <v>20</v>
      </c>
      <c r="M557" t="s">
        <v>20</v>
      </c>
      <c r="N557" t="s">
        <v>89</v>
      </c>
      <c r="O557" t="s">
        <v>89</v>
      </c>
      <c r="P557" t="s">
        <v>20</v>
      </c>
      <c r="Q557" t="s">
        <v>313</v>
      </c>
    </row>
    <row r="558" spans="1:17" hidden="1" x14ac:dyDescent="0.25">
      <c r="A558" t="s">
        <v>1155</v>
      </c>
      <c r="B558" t="s">
        <v>14</v>
      </c>
      <c r="C558" t="s">
        <v>45</v>
      </c>
      <c r="D558" t="s">
        <v>1156</v>
      </c>
      <c r="E558">
        <v>7</v>
      </c>
      <c r="F558">
        <f>MAX(-1,3-Tableau1[[#This Row],[Nb possédé (digital)]])</f>
        <v>-1</v>
      </c>
      <c r="G558">
        <v>7</v>
      </c>
      <c r="H558">
        <f>MAX(-1,3-Tableau1[[#This Row],[Possédé (physique)]])</f>
        <v>-1</v>
      </c>
      <c r="I558" t="str">
        <f>IF(Tableau1[[#This Row],[Manque (physique)]]&gt;Tableau1[[#This Row],[Manque (digital)]],"POD",IF(Tableau1[[#This Row],[Manque (digital)]]&gt;Tableau1[[#This Row],[Manque (physique)]],"MarketPlace",""))</f>
        <v/>
      </c>
      <c r="J558" t="s">
        <v>30</v>
      </c>
      <c r="K558" t="s">
        <v>124</v>
      </c>
      <c r="L558" t="s">
        <v>19</v>
      </c>
      <c r="M558" t="s">
        <v>20</v>
      </c>
      <c r="N558" t="s">
        <v>20</v>
      </c>
      <c r="O558" t="s">
        <v>20</v>
      </c>
      <c r="P558" t="s">
        <v>20</v>
      </c>
      <c r="Q558" t="s">
        <v>1266</v>
      </c>
    </row>
    <row r="559" spans="1:17" hidden="1" x14ac:dyDescent="0.25">
      <c r="A559" t="s">
        <v>1160</v>
      </c>
      <c r="B559" t="s">
        <v>14</v>
      </c>
      <c r="C559" t="s">
        <v>45</v>
      </c>
      <c r="D559" t="s">
        <v>1156</v>
      </c>
      <c r="E559">
        <v>7</v>
      </c>
      <c r="F559">
        <f>MAX(-1,3-Tableau1[[#This Row],[Nb possédé (digital)]])</f>
        <v>-1</v>
      </c>
      <c r="G559">
        <v>7</v>
      </c>
      <c r="H559">
        <f>MAX(-1,3-Tableau1[[#This Row],[Possédé (physique)]])</f>
        <v>-1</v>
      </c>
      <c r="I559" t="str">
        <f>IF(Tableau1[[#This Row],[Manque (physique)]]&gt;Tableau1[[#This Row],[Manque (digital)]],"POD",IF(Tableau1[[#This Row],[Manque (digital)]]&gt;Tableau1[[#This Row],[Manque (physique)]],"MarketPlace",""))</f>
        <v/>
      </c>
      <c r="J559" t="s">
        <v>17</v>
      </c>
      <c r="K559" t="s">
        <v>201</v>
      </c>
      <c r="L559" t="s">
        <v>19</v>
      </c>
      <c r="M559" t="s">
        <v>19</v>
      </c>
      <c r="Q559" t="s">
        <v>1274</v>
      </c>
    </row>
    <row r="560" spans="1:17" hidden="1" x14ac:dyDescent="0.25">
      <c r="A560" t="s">
        <v>1199</v>
      </c>
      <c r="B560" t="s">
        <v>14</v>
      </c>
      <c r="C560" t="s">
        <v>45</v>
      </c>
      <c r="D560" t="s">
        <v>1156</v>
      </c>
      <c r="E560">
        <v>8</v>
      </c>
      <c r="F560">
        <f>MAX(-1,3-Tableau1[[#This Row],[Nb possédé (digital)]])</f>
        <v>-1</v>
      </c>
      <c r="G560">
        <v>8</v>
      </c>
      <c r="H560">
        <f>MAX(-1,3-Tableau1[[#This Row],[Possédé (physique)]])</f>
        <v>-1</v>
      </c>
      <c r="I560" t="str">
        <f>IF(Tableau1[[#This Row],[Manque (physique)]]&gt;Tableau1[[#This Row],[Manque (digital)]],"POD",IF(Tableau1[[#This Row],[Manque (digital)]]&gt;Tableau1[[#This Row],[Manque (physique)]],"MarketPlace",""))</f>
        <v/>
      </c>
      <c r="J560" t="s">
        <v>30</v>
      </c>
      <c r="K560" t="s">
        <v>51</v>
      </c>
      <c r="L560" t="s">
        <v>19</v>
      </c>
      <c r="M560" t="s">
        <v>19</v>
      </c>
      <c r="N560" t="s">
        <v>23</v>
      </c>
      <c r="O560" t="s">
        <v>19</v>
      </c>
      <c r="P560" t="s">
        <v>19</v>
      </c>
      <c r="Q560" t="s">
        <v>1356</v>
      </c>
    </row>
    <row r="561" spans="1:17" hidden="1" x14ac:dyDescent="0.25">
      <c r="A561" t="s">
        <v>1207</v>
      </c>
      <c r="B561" t="s">
        <v>14</v>
      </c>
      <c r="C561" t="s">
        <v>45</v>
      </c>
      <c r="D561" t="s">
        <v>1156</v>
      </c>
      <c r="E561">
        <v>6</v>
      </c>
      <c r="F561">
        <f>MAX(-1,3-Tableau1[[#This Row],[Nb possédé (digital)]])</f>
        <v>-1</v>
      </c>
      <c r="G561">
        <v>6</v>
      </c>
      <c r="H561">
        <f>MAX(-1,3-Tableau1[[#This Row],[Possédé (physique)]])</f>
        <v>-1</v>
      </c>
      <c r="I561" t="str">
        <f>IF(Tableau1[[#This Row],[Manque (physique)]]&gt;Tableau1[[#This Row],[Manque (digital)]],"POD",IF(Tableau1[[#This Row],[Manque (digital)]]&gt;Tableau1[[#This Row],[Manque (physique)]],"MarketPlace",""))</f>
        <v/>
      </c>
      <c r="J561" t="s">
        <v>30</v>
      </c>
      <c r="K561" t="s">
        <v>79</v>
      </c>
      <c r="L561" t="s">
        <v>19</v>
      </c>
      <c r="M561" t="s">
        <v>19</v>
      </c>
      <c r="N561" t="s">
        <v>89</v>
      </c>
      <c r="O561" t="s">
        <v>89</v>
      </c>
      <c r="P561" t="s">
        <v>23</v>
      </c>
      <c r="Q561" t="s">
        <v>69</v>
      </c>
    </row>
    <row r="562" spans="1:17" hidden="1" x14ac:dyDescent="0.25">
      <c r="A562" t="s">
        <v>1211</v>
      </c>
      <c r="B562" t="s">
        <v>14</v>
      </c>
      <c r="C562" t="s">
        <v>45</v>
      </c>
      <c r="D562" t="s">
        <v>1156</v>
      </c>
      <c r="E562">
        <v>7</v>
      </c>
      <c r="F562">
        <f>MAX(-1,3-Tableau1[[#This Row],[Nb possédé (digital)]])</f>
        <v>-1</v>
      </c>
      <c r="G562">
        <v>7</v>
      </c>
      <c r="H562">
        <f>MAX(-1,3-Tableau1[[#This Row],[Possédé (physique)]])</f>
        <v>-1</v>
      </c>
      <c r="I562" t="str">
        <f>IF(Tableau1[[#This Row],[Manque (physique)]]&gt;Tableau1[[#This Row],[Manque (digital)]],"POD",IF(Tableau1[[#This Row],[Manque (digital)]]&gt;Tableau1[[#This Row],[Manque (physique)]],"MarketPlace",""))</f>
        <v/>
      </c>
      <c r="J562" t="s">
        <v>268</v>
      </c>
      <c r="K562" t="s">
        <v>269</v>
      </c>
      <c r="L562" t="s">
        <v>19</v>
      </c>
      <c r="M562" t="s">
        <v>19</v>
      </c>
      <c r="Q562" t="s">
        <v>1380</v>
      </c>
    </row>
    <row r="563" spans="1:17" hidden="1" x14ac:dyDescent="0.25">
      <c r="A563" t="s">
        <v>1248</v>
      </c>
      <c r="B563" t="s">
        <v>14</v>
      </c>
      <c r="C563" t="s">
        <v>45</v>
      </c>
      <c r="D563" t="s">
        <v>1156</v>
      </c>
      <c r="E563">
        <v>7</v>
      </c>
      <c r="F563">
        <f>MAX(-1,3-Tableau1[[#This Row],[Nb possédé (digital)]])</f>
        <v>-1</v>
      </c>
      <c r="G563">
        <v>7</v>
      </c>
      <c r="H563">
        <f>MAX(-1,3-Tableau1[[#This Row],[Possédé (physique)]])</f>
        <v>-1</v>
      </c>
      <c r="I563" t="str">
        <f>IF(Tableau1[[#This Row],[Manque (physique)]]&gt;Tableau1[[#This Row],[Manque (digital)]],"POD",IF(Tableau1[[#This Row],[Manque (digital)]]&gt;Tableau1[[#This Row],[Manque (physique)]],"MarketPlace",""))</f>
        <v/>
      </c>
      <c r="J563" t="s">
        <v>17</v>
      </c>
      <c r="K563" t="s">
        <v>97</v>
      </c>
      <c r="L563" t="s">
        <v>19</v>
      </c>
      <c r="M563" t="s">
        <v>52</v>
      </c>
      <c r="Q563" t="s">
        <v>1463</v>
      </c>
    </row>
    <row r="564" spans="1:17" hidden="1" x14ac:dyDescent="0.25">
      <c r="A564" t="s">
        <v>1165</v>
      </c>
      <c r="B564" t="s">
        <v>14</v>
      </c>
      <c r="C564" t="s">
        <v>45</v>
      </c>
      <c r="D564" t="s">
        <v>1156</v>
      </c>
      <c r="E564">
        <v>6</v>
      </c>
      <c r="F564">
        <f>MAX(-1,3-Tableau1[[#This Row],[Nb possédé (digital)]])</f>
        <v>-1</v>
      </c>
      <c r="G564">
        <v>6</v>
      </c>
      <c r="H564">
        <f>MAX(-1,3-Tableau1[[#This Row],[Possédé (physique)]])</f>
        <v>-1</v>
      </c>
      <c r="I564" t="str">
        <f>IF(Tableau1[[#This Row],[Manque (physique)]]&gt;Tableau1[[#This Row],[Manque (digital)]],"POD",IF(Tableau1[[#This Row],[Manque (digital)]]&gt;Tableau1[[#This Row],[Manque (physique)]],"MarketPlace",""))</f>
        <v/>
      </c>
      <c r="J564" t="s">
        <v>30</v>
      </c>
      <c r="K564" t="s">
        <v>79</v>
      </c>
      <c r="L564" t="s">
        <v>23</v>
      </c>
      <c r="M564" t="s">
        <v>20</v>
      </c>
      <c r="N564" t="s">
        <v>20</v>
      </c>
      <c r="O564" t="s">
        <v>20</v>
      </c>
      <c r="P564" t="s">
        <v>19</v>
      </c>
      <c r="Q564" t="s">
        <v>1285</v>
      </c>
    </row>
    <row r="565" spans="1:17" hidden="1" x14ac:dyDescent="0.25">
      <c r="A565" t="s">
        <v>1250</v>
      </c>
      <c r="B565" t="s">
        <v>14</v>
      </c>
      <c r="C565" t="s">
        <v>45</v>
      </c>
      <c r="D565" t="s">
        <v>1156</v>
      </c>
      <c r="E565">
        <v>6</v>
      </c>
      <c r="F565">
        <f>MAX(-1,3-Tableau1[[#This Row],[Nb possédé (digital)]])</f>
        <v>-1</v>
      </c>
      <c r="G565">
        <v>6</v>
      </c>
      <c r="H565">
        <f>MAX(-1,3-Tableau1[[#This Row],[Possédé (physique)]])</f>
        <v>-1</v>
      </c>
      <c r="I565" t="str">
        <f>IF(Tableau1[[#This Row],[Manque (physique)]]&gt;Tableau1[[#This Row],[Manque (digital)]],"POD",IF(Tableau1[[#This Row],[Manque (digital)]]&gt;Tableau1[[#This Row],[Manque (physique)]],"MarketPlace",""))</f>
        <v/>
      </c>
      <c r="J565" t="s">
        <v>30</v>
      </c>
      <c r="K565" t="s">
        <v>79</v>
      </c>
      <c r="L565" t="s">
        <v>23</v>
      </c>
      <c r="M565" t="s">
        <v>20</v>
      </c>
      <c r="N565" t="s">
        <v>89</v>
      </c>
      <c r="O565" t="s">
        <v>19</v>
      </c>
      <c r="P565" t="s">
        <v>89</v>
      </c>
      <c r="Q565" t="s">
        <v>1466</v>
      </c>
    </row>
    <row r="566" spans="1:17" hidden="1" x14ac:dyDescent="0.25">
      <c r="A566" t="s">
        <v>1253</v>
      </c>
      <c r="B566" t="s">
        <v>14</v>
      </c>
      <c r="C566" t="s">
        <v>45</v>
      </c>
      <c r="D566" t="s">
        <v>1156</v>
      </c>
      <c r="E566">
        <v>8</v>
      </c>
      <c r="F566">
        <f>MAX(-1,3-Tableau1[[#This Row],[Nb possédé (digital)]])</f>
        <v>-1</v>
      </c>
      <c r="G566">
        <v>8</v>
      </c>
      <c r="H566">
        <f>MAX(-1,3-Tableau1[[#This Row],[Possédé (physique)]])</f>
        <v>-1</v>
      </c>
      <c r="I566" t="str">
        <f>IF(Tableau1[[#This Row],[Manque (physique)]]&gt;Tableau1[[#This Row],[Manque (digital)]],"POD",IF(Tableau1[[#This Row],[Manque (digital)]]&gt;Tableau1[[#This Row],[Manque (physique)]],"MarketPlace",""))</f>
        <v/>
      </c>
      <c r="J566" t="s">
        <v>30</v>
      </c>
      <c r="K566" t="s">
        <v>1471</v>
      </c>
      <c r="L566" t="s">
        <v>23</v>
      </c>
      <c r="M566" t="s">
        <v>20</v>
      </c>
      <c r="N566" t="s">
        <v>20</v>
      </c>
      <c r="O566" t="s">
        <v>20</v>
      </c>
      <c r="P566" t="s">
        <v>89</v>
      </c>
      <c r="Q566" t="s">
        <v>1472</v>
      </c>
    </row>
    <row r="567" spans="1:17" hidden="1" x14ac:dyDescent="0.25">
      <c r="A567" t="s">
        <v>1249</v>
      </c>
      <c r="B567" t="s">
        <v>14</v>
      </c>
      <c r="C567" t="s">
        <v>45</v>
      </c>
      <c r="D567" t="s">
        <v>1156</v>
      </c>
      <c r="E567">
        <v>8</v>
      </c>
      <c r="F567">
        <f>MAX(-1,3-Tableau1[[#This Row],[Nb possédé (digital)]])</f>
        <v>-1</v>
      </c>
      <c r="G567">
        <v>8</v>
      </c>
      <c r="H567">
        <f>MAX(-1,3-Tableau1[[#This Row],[Possédé (physique)]])</f>
        <v>-1</v>
      </c>
      <c r="I567" t="str">
        <f>IF(Tableau1[[#This Row],[Manque (physique)]]&gt;Tableau1[[#This Row],[Manque (digital)]],"POD",IF(Tableau1[[#This Row],[Manque (digital)]]&gt;Tableau1[[#This Row],[Manque (physique)]],"MarketPlace",""))</f>
        <v/>
      </c>
      <c r="J567" t="s">
        <v>30</v>
      </c>
      <c r="K567" t="s">
        <v>51</v>
      </c>
      <c r="L567" t="s">
        <v>52</v>
      </c>
      <c r="M567" t="s">
        <v>19</v>
      </c>
      <c r="N567" t="s">
        <v>19</v>
      </c>
      <c r="O567" t="s">
        <v>19</v>
      </c>
      <c r="P567" t="s">
        <v>19</v>
      </c>
      <c r="Q567" t="s">
        <v>1465</v>
      </c>
    </row>
    <row r="568" spans="1:17" hidden="1" x14ac:dyDescent="0.25">
      <c r="A568" t="s">
        <v>1171</v>
      </c>
      <c r="B568" t="s">
        <v>14</v>
      </c>
      <c r="C568" t="s">
        <v>45</v>
      </c>
      <c r="D568" t="s">
        <v>1156</v>
      </c>
      <c r="E568">
        <v>7</v>
      </c>
      <c r="F568">
        <f>MAX(-1,3-Tableau1[[#This Row],[Nb possédé (digital)]])</f>
        <v>-1</v>
      </c>
      <c r="G568">
        <v>7</v>
      </c>
      <c r="H568">
        <f>MAX(-1,3-Tableau1[[#This Row],[Possédé (physique)]])</f>
        <v>-1</v>
      </c>
      <c r="I568" t="str">
        <f>IF(Tableau1[[#This Row],[Manque (physique)]]&gt;Tableau1[[#This Row],[Manque (digital)]],"POD",IF(Tableau1[[#This Row],[Manque (digital)]]&gt;Tableau1[[#This Row],[Manque (physique)]],"MarketPlace",""))</f>
        <v/>
      </c>
      <c r="J568" t="s">
        <v>17</v>
      </c>
      <c r="K568" t="s">
        <v>153</v>
      </c>
      <c r="L568" t="s">
        <v>52</v>
      </c>
      <c r="M568" t="s">
        <v>52</v>
      </c>
      <c r="Q568" t="s">
        <v>1297</v>
      </c>
    </row>
    <row r="569" spans="1:17" hidden="1" x14ac:dyDescent="0.25">
      <c r="A569" t="s">
        <v>1208</v>
      </c>
      <c r="B569" t="s">
        <v>14</v>
      </c>
      <c r="C569" t="s">
        <v>45</v>
      </c>
      <c r="D569" t="s">
        <v>1156</v>
      </c>
      <c r="E569">
        <v>7</v>
      </c>
      <c r="F569">
        <f>MAX(-1,3-Tableau1[[#This Row],[Nb possédé (digital)]])</f>
        <v>-1</v>
      </c>
      <c r="G569">
        <v>7</v>
      </c>
      <c r="H569">
        <f>MAX(-1,3-Tableau1[[#This Row],[Possédé (physique)]])</f>
        <v>-1</v>
      </c>
      <c r="I569" t="str">
        <f>IF(Tableau1[[#This Row],[Manque (physique)]]&gt;Tableau1[[#This Row],[Manque (digital)]],"POD",IF(Tableau1[[#This Row],[Manque (digital)]]&gt;Tableau1[[#This Row],[Manque (physique)]],"MarketPlace",""))</f>
        <v/>
      </c>
      <c r="J569" t="s">
        <v>17</v>
      </c>
      <c r="K569" t="s">
        <v>153</v>
      </c>
      <c r="L569" t="s">
        <v>52</v>
      </c>
      <c r="M569" t="s">
        <v>52</v>
      </c>
      <c r="Q569" t="s">
        <v>1375</v>
      </c>
    </row>
    <row r="570" spans="1:17" hidden="1" x14ac:dyDescent="0.25">
      <c r="A570" t="s">
        <v>1159</v>
      </c>
      <c r="B570" t="s">
        <v>14</v>
      </c>
      <c r="C570" t="s">
        <v>45</v>
      </c>
      <c r="D570" t="s">
        <v>1156</v>
      </c>
      <c r="E570">
        <v>8</v>
      </c>
      <c r="F570">
        <f>MAX(-1,3-Tableau1[[#This Row],[Nb possédé (digital)]])</f>
        <v>-1</v>
      </c>
      <c r="G570">
        <v>8</v>
      </c>
      <c r="H570">
        <f>MAX(-1,3-Tableau1[[#This Row],[Possédé (physique)]])</f>
        <v>-1</v>
      </c>
      <c r="I570" t="str">
        <f>IF(Tableau1[[#This Row],[Manque (physique)]]&gt;Tableau1[[#This Row],[Manque (digital)]],"POD",IF(Tableau1[[#This Row],[Manque (digital)]]&gt;Tableau1[[#This Row],[Manque (physique)]],"MarketPlace",""))</f>
        <v/>
      </c>
      <c r="J570" t="s">
        <v>17</v>
      </c>
      <c r="K570" t="s">
        <v>1271</v>
      </c>
      <c r="L570" t="s">
        <v>52</v>
      </c>
      <c r="M570" t="s">
        <v>37</v>
      </c>
      <c r="Q570" t="s">
        <v>1272</v>
      </c>
    </row>
    <row r="571" spans="1:17" hidden="1" x14ac:dyDescent="0.25">
      <c r="A571" t="s">
        <v>1158</v>
      </c>
      <c r="B571" t="s">
        <v>14</v>
      </c>
      <c r="C571" t="s">
        <v>45</v>
      </c>
      <c r="D571" t="s">
        <v>1156</v>
      </c>
      <c r="E571">
        <v>8</v>
      </c>
      <c r="F571">
        <f>MAX(-1,3-Tableau1[[#This Row],[Nb possédé (digital)]])</f>
        <v>-1</v>
      </c>
      <c r="G571">
        <v>8</v>
      </c>
      <c r="H571">
        <f>MAX(-1,3-Tableau1[[#This Row],[Possédé (physique)]])</f>
        <v>-1</v>
      </c>
      <c r="I571" t="str">
        <f>IF(Tableau1[[#This Row],[Manque (physique)]]&gt;Tableau1[[#This Row],[Manque (digital)]],"POD",IF(Tableau1[[#This Row],[Manque (digital)]]&gt;Tableau1[[#This Row],[Manque (physique)]],"MarketPlace",""))</f>
        <v/>
      </c>
      <c r="J571" t="s">
        <v>30</v>
      </c>
      <c r="K571" t="s">
        <v>601</v>
      </c>
      <c r="L571" t="s">
        <v>37</v>
      </c>
      <c r="M571" t="s">
        <v>37</v>
      </c>
      <c r="N571" t="s">
        <v>19</v>
      </c>
      <c r="O571" t="s">
        <v>19</v>
      </c>
      <c r="P571" t="s">
        <v>19</v>
      </c>
      <c r="Q571" t="s">
        <v>1269</v>
      </c>
    </row>
    <row r="572" spans="1:17" hidden="1" x14ac:dyDescent="0.25">
      <c r="A572" t="s">
        <v>1187</v>
      </c>
      <c r="B572" t="s">
        <v>14</v>
      </c>
      <c r="C572" t="s">
        <v>45</v>
      </c>
      <c r="D572" t="s">
        <v>1156</v>
      </c>
      <c r="E572">
        <v>6</v>
      </c>
      <c r="F572">
        <f>MAX(-1,3-Tableau1[[#This Row],[Nb possédé (digital)]])</f>
        <v>-1</v>
      </c>
      <c r="G572">
        <v>6</v>
      </c>
      <c r="H572">
        <f>MAX(-1,3-Tableau1[[#This Row],[Possédé (physique)]])</f>
        <v>-1</v>
      </c>
      <c r="I572" t="str">
        <f>IF(Tableau1[[#This Row],[Manque (physique)]]&gt;Tableau1[[#This Row],[Manque (digital)]],"POD",IF(Tableau1[[#This Row],[Manque (digital)]]&gt;Tableau1[[#This Row],[Manque (physique)]],"MarketPlace",""))</f>
        <v/>
      </c>
      <c r="J572" t="s">
        <v>17</v>
      </c>
      <c r="K572" t="s">
        <v>201</v>
      </c>
      <c r="L572" t="s">
        <v>37</v>
      </c>
      <c r="M572" t="s">
        <v>37</v>
      </c>
      <c r="Q572" t="s">
        <v>1332</v>
      </c>
    </row>
    <row r="573" spans="1:17" hidden="1" x14ac:dyDescent="0.25">
      <c r="A573" t="s">
        <v>1255</v>
      </c>
      <c r="B573" t="s">
        <v>14</v>
      </c>
      <c r="C573" t="s">
        <v>45</v>
      </c>
      <c r="D573" t="s">
        <v>1156</v>
      </c>
      <c r="E573">
        <v>5</v>
      </c>
      <c r="F573">
        <f>MAX(-1,3-Tableau1[[#This Row],[Nb possédé (digital)]])</f>
        <v>-1</v>
      </c>
      <c r="G573">
        <v>5</v>
      </c>
      <c r="H573">
        <f>MAX(-1,3-Tableau1[[#This Row],[Possédé (physique)]])</f>
        <v>-1</v>
      </c>
      <c r="I573" t="str">
        <f>IF(Tableau1[[#This Row],[Manque (physique)]]&gt;Tableau1[[#This Row],[Manque (digital)]],"POD",IF(Tableau1[[#This Row],[Manque (digital)]]&gt;Tableau1[[#This Row],[Manque (physique)]],"MarketPlace",""))</f>
        <v/>
      </c>
      <c r="J573" t="s">
        <v>17</v>
      </c>
      <c r="K573" t="s">
        <v>201</v>
      </c>
      <c r="L573" t="s">
        <v>380</v>
      </c>
      <c r="M573" t="s">
        <v>380</v>
      </c>
      <c r="Q573" t="s">
        <v>1475</v>
      </c>
    </row>
    <row r="574" spans="1:17" hidden="1" x14ac:dyDescent="0.25">
      <c r="A574" t="s">
        <v>790</v>
      </c>
      <c r="B574" t="s">
        <v>14</v>
      </c>
      <c r="C574" t="s">
        <v>45</v>
      </c>
      <c r="E574">
        <v>15</v>
      </c>
      <c r="F574">
        <f>MAX(-1,3-Tableau1[[#This Row],[Nb possédé (digital)]])</f>
        <v>-1</v>
      </c>
      <c r="G574">
        <v>15</v>
      </c>
      <c r="H574">
        <f>MAX(-1,3-Tableau1[[#This Row],[Possédé (physique)]])</f>
        <v>-1</v>
      </c>
      <c r="I574" t="str">
        <f>IF(Tableau1[[#This Row],[Manque (physique)]]&gt;Tableau1[[#This Row],[Manque (digital)]],"POD",IF(Tableau1[[#This Row],[Manque (digital)]]&gt;Tableau1[[#This Row],[Manque (physique)]],"MarketPlace",""))</f>
        <v/>
      </c>
      <c r="J574" t="s">
        <v>197</v>
      </c>
      <c r="K574" t="s">
        <v>198</v>
      </c>
      <c r="L574" t="s">
        <v>89</v>
      </c>
      <c r="M574" t="s">
        <v>89</v>
      </c>
      <c r="N574" t="s">
        <v>89</v>
      </c>
      <c r="O574" t="s">
        <v>89</v>
      </c>
      <c r="P574" t="s">
        <v>89</v>
      </c>
      <c r="Q574" t="s">
        <v>791</v>
      </c>
    </row>
    <row r="575" spans="1:17" hidden="1" x14ac:dyDescent="0.25">
      <c r="A575" t="s">
        <v>876</v>
      </c>
      <c r="B575" t="s">
        <v>14</v>
      </c>
      <c r="C575" t="s">
        <v>45</v>
      </c>
      <c r="E575">
        <v>10</v>
      </c>
      <c r="F575">
        <f>MAX(-1,3-Tableau1[[#This Row],[Nb possédé (digital)]])</f>
        <v>-1</v>
      </c>
      <c r="G575">
        <v>10</v>
      </c>
      <c r="H575">
        <f>MAX(-1,3-Tableau1[[#This Row],[Possédé (physique)]])</f>
        <v>-1</v>
      </c>
      <c r="I575" t="str">
        <f>IF(Tableau1[[#This Row],[Manque (physique)]]&gt;Tableau1[[#This Row],[Manque (digital)]],"POD",IF(Tableau1[[#This Row],[Manque (digital)]]&gt;Tableau1[[#This Row],[Manque (physique)]],"MarketPlace",""))</f>
        <v/>
      </c>
      <c r="J575" t="s">
        <v>197</v>
      </c>
      <c r="K575" t="s">
        <v>877</v>
      </c>
      <c r="L575" t="s">
        <v>89</v>
      </c>
      <c r="M575" t="s">
        <v>89</v>
      </c>
      <c r="N575" t="s">
        <v>19</v>
      </c>
      <c r="O575" t="s">
        <v>19</v>
      </c>
      <c r="P575" t="s">
        <v>19</v>
      </c>
      <c r="Q575" t="s">
        <v>199</v>
      </c>
    </row>
    <row r="576" spans="1:17" hidden="1" x14ac:dyDescent="0.25">
      <c r="A576" t="s">
        <v>876</v>
      </c>
      <c r="B576" t="s">
        <v>14</v>
      </c>
      <c r="C576" t="s">
        <v>45</v>
      </c>
      <c r="E576">
        <v>5</v>
      </c>
      <c r="F576">
        <f>MAX(-1,3-Tableau1[[#This Row],[Nb possédé (digital)]])</f>
        <v>-1</v>
      </c>
      <c r="G576">
        <v>5</v>
      </c>
      <c r="H576">
        <f>MAX(-1,3-Tableau1[[#This Row],[Possédé (physique)]])</f>
        <v>-1</v>
      </c>
      <c r="I576" t="str">
        <f>IF(Tableau1[[#This Row],[Manque (physique)]]&gt;Tableau1[[#This Row],[Manque (digital)]],"POD",IF(Tableau1[[#This Row],[Manque (digital)]]&gt;Tableau1[[#This Row],[Manque (physique)]],"MarketPlace",""))</f>
        <v/>
      </c>
      <c r="J576" t="s">
        <v>197</v>
      </c>
      <c r="K576" t="s">
        <v>877</v>
      </c>
      <c r="L576" t="s">
        <v>89</v>
      </c>
      <c r="M576" t="s">
        <v>89</v>
      </c>
      <c r="N576" t="s">
        <v>19</v>
      </c>
      <c r="O576" t="s">
        <v>19</v>
      </c>
      <c r="P576" t="s">
        <v>19</v>
      </c>
      <c r="Q576" t="s">
        <v>199</v>
      </c>
    </row>
    <row r="577" spans="1:17" hidden="1" x14ac:dyDescent="0.25">
      <c r="A577" t="s">
        <v>876</v>
      </c>
      <c r="B577" t="s">
        <v>14</v>
      </c>
      <c r="C577" t="s">
        <v>45</v>
      </c>
      <c r="E577">
        <v>5</v>
      </c>
      <c r="F577">
        <f>MAX(-1,3-Tableau1[[#This Row],[Nb possédé (digital)]])</f>
        <v>-1</v>
      </c>
      <c r="G577">
        <v>5</v>
      </c>
      <c r="H577">
        <f>MAX(-1,3-Tableau1[[#This Row],[Possédé (physique)]])</f>
        <v>-1</v>
      </c>
      <c r="I577" t="str">
        <f>IF(Tableau1[[#This Row],[Manque (physique)]]&gt;Tableau1[[#This Row],[Manque (digital)]],"POD",IF(Tableau1[[#This Row],[Manque (digital)]]&gt;Tableau1[[#This Row],[Manque (physique)]],"MarketPlace",""))</f>
        <v/>
      </c>
      <c r="J577" t="s">
        <v>197</v>
      </c>
      <c r="K577" t="s">
        <v>877</v>
      </c>
      <c r="L577" t="s">
        <v>89</v>
      </c>
      <c r="M577" t="s">
        <v>89</v>
      </c>
      <c r="N577" t="s">
        <v>19</v>
      </c>
      <c r="O577" t="s">
        <v>19</v>
      </c>
      <c r="P577" t="s">
        <v>19</v>
      </c>
      <c r="Q577" t="s">
        <v>199</v>
      </c>
    </row>
    <row r="578" spans="1:17" hidden="1" x14ac:dyDescent="0.25">
      <c r="A578" t="s">
        <v>1554</v>
      </c>
      <c r="B578" t="s">
        <v>14</v>
      </c>
      <c r="C578" t="s">
        <v>45</v>
      </c>
      <c r="D578" t="s">
        <v>1496</v>
      </c>
      <c r="E578">
        <v>3</v>
      </c>
      <c r="F578">
        <f>MAX(-1,3-Tableau1[[#This Row],[Nb possédé (digital)]])</f>
        <v>0</v>
      </c>
      <c r="G578">
        <v>3</v>
      </c>
      <c r="H578">
        <f>MAX(-1,3-Tableau1[[#This Row],[Possédé (physique)]])</f>
        <v>0</v>
      </c>
      <c r="I578" t="str">
        <f>IF(Tableau1[[#This Row],[Manque (physique)]]&gt;Tableau1[[#This Row],[Manque (digital)]],"POD",IF(Tableau1[[#This Row],[Manque (digital)]]&gt;Tableau1[[#This Row],[Manque (physique)]],"MarketPlace",""))</f>
        <v/>
      </c>
      <c r="J578" t="s">
        <v>30</v>
      </c>
      <c r="K578" t="s">
        <v>1721</v>
      </c>
      <c r="L578" t="s">
        <v>23</v>
      </c>
      <c r="M578" t="s">
        <v>19</v>
      </c>
      <c r="N578" t="s">
        <v>19</v>
      </c>
      <c r="O578" t="s">
        <v>20</v>
      </c>
      <c r="P578" t="s">
        <v>19</v>
      </c>
      <c r="Q578" t="s">
        <v>1722</v>
      </c>
    </row>
    <row r="579" spans="1:17" hidden="1" x14ac:dyDescent="0.25">
      <c r="A579" t="s">
        <v>47</v>
      </c>
      <c r="B579" t="s">
        <v>14</v>
      </c>
      <c r="C579" t="s">
        <v>45</v>
      </c>
      <c r="E579">
        <v>20</v>
      </c>
      <c r="F579">
        <f>MAX(-1,3-Tableau1[[#This Row],[Nb possédé (digital)]])</f>
        <v>-1</v>
      </c>
      <c r="G579">
        <v>20</v>
      </c>
      <c r="H579">
        <f>MAX(-1,3-Tableau1[[#This Row],[Possédé (physique)]])</f>
        <v>-1</v>
      </c>
      <c r="I579" t="str">
        <f>IF(Tableau1[[#This Row],[Manque (physique)]]&gt;Tableau1[[#This Row],[Manque (digital)]],"POD",IF(Tableau1[[#This Row],[Manque (digital)]]&gt;Tableau1[[#This Row],[Manque (physique)]],"MarketPlace",""))</f>
        <v/>
      </c>
      <c r="J579" t="s">
        <v>48</v>
      </c>
      <c r="Q579" t="s">
        <v>49</v>
      </c>
    </row>
    <row r="580" spans="1:17" hidden="1" x14ac:dyDescent="0.25">
      <c r="A580" t="s">
        <v>55</v>
      </c>
      <c r="B580" t="s">
        <v>14</v>
      </c>
      <c r="C580" t="s">
        <v>45</v>
      </c>
      <c r="E580">
        <v>20</v>
      </c>
      <c r="F580">
        <f>MAX(-1,3-Tableau1[[#This Row],[Nb possédé (digital)]])</f>
        <v>-1</v>
      </c>
      <c r="G580">
        <v>20</v>
      </c>
      <c r="H580">
        <f>MAX(-1,3-Tableau1[[#This Row],[Possédé (physique)]])</f>
        <v>-1</v>
      </c>
      <c r="I580" t="str">
        <f>IF(Tableau1[[#This Row],[Manque (physique)]]&gt;Tableau1[[#This Row],[Manque (digital)]],"POD",IF(Tableau1[[#This Row],[Manque (digital)]]&gt;Tableau1[[#This Row],[Manque (physique)]],"MarketPlace",""))</f>
        <v/>
      </c>
      <c r="J580" t="s">
        <v>48</v>
      </c>
      <c r="Q580" t="s">
        <v>56</v>
      </c>
    </row>
    <row r="581" spans="1:17" hidden="1" x14ac:dyDescent="0.25">
      <c r="A581" t="s">
        <v>750</v>
      </c>
      <c r="B581" t="s">
        <v>14</v>
      </c>
      <c r="C581" t="s">
        <v>45</v>
      </c>
      <c r="E581">
        <v>10</v>
      </c>
      <c r="F581">
        <f>MAX(-1,3-Tableau1[[#This Row],[Nb possédé (digital)]])</f>
        <v>-1</v>
      </c>
      <c r="G581">
        <v>10</v>
      </c>
      <c r="H581">
        <f>MAX(-1,3-Tableau1[[#This Row],[Possédé (physique)]])</f>
        <v>-1</v>
      </c>
      <c r="I581" t="str">
        <f>IF(Tableau1[[#This Row],[Manque (physique)]]&gt;Tableau1[[#This Row],[Manque (digital)]],"POD",IF(Tableau1[[#This Row],[Manque (digital)]]&gt;Tableau1[[#This Row],[Manque (physique)]],"MarketPlace",""))</f>
        <v/>
      </c>
      <c r="J581" t="s">
        <v>48</v>
      </c>
      <c r="Q581" t="s">
        <v>751</v>
      </c>
    </row>
    <row r="582" spans="1:17" hidden="1" x14ac:dyDescent="0.25">
      <c r="A582" t="s">
        <v>1217</v>
      </c>
      <c r="B582" t="s">
        <v>14</v>
      </c>
      <c r="C582" t="s">
        <v>45</v>
      </c>
      <c r="E582">
        <v>5</v>
      </c>
      <c r="F582">
        <f>MAX(-1,3-Tableau1[[#This Row],[Nb possédé (digital)]])</f>
        <v>-1</v>
      </c>
      <c r="G582">
        <v>5</v>
      </c>
      <c r="H582">
        <f>MAX(-1,3-Tableau1[[#This Row],[Possédé (physique)]])</f>
        <v>-1</v>
      </c>
      <c r="I582" t="str">
        <f>IF(Tableau1[[#This Row],[Manque (physique)]]&gt;Tableau1[[#This Row],[Manque (digital)]],"POD",IF(Tableau1[[#This Row],[Manque (digital)]]&gt;Tableau1[[#This Row],[Manque (physique)]],"MarketPlace",""))</f>
        <v/>
      </c>
      <c r="J582" t="s">
        <v>48</v>
      </c>
      <c r="Q582" t="s">
        <v>1395</v>
      </c>
    </row>
    <row r="583" spans="1:17" hidden="1" x14ac:dyDescent="0.25">
      <c r="A583" t="s">
        <v>1217</v>
      </c>
      <c r="B583" t="s">
        <v>14</v>
      </c>
      <c r="C583" t="s">
        <v>45</v>
      </c>
      <c r="E583">
        <v>10</v>
      </c>
      <c r="F583">
        <f>MAX(-1,3-Tableau1[[#This Row],[Nb possédé (digital)]])</f>
        <v>-1</v>
      </c>
      <c r="G583">
        <v>10</v>
      </c>
      <c r="H583">
        <f>MAX(-1,3-Tableau1[[#This Row],[Possédé (physique)]])</f>
        <v>-1</v>
      </c>
      <c r="I583" t="str">
        <f>IF(Tableau1[[#This Row],[Manque (physique)]]&gt;Tableau1[[#This Row],[Manque (digital)]],"POD",IF(Tableau1[[#This Row],[Manque (digital)]]&gt;Tableau1[[#This Row],[Manque (physique)]],"MarketPlace",""))</f>
        <v/>
      </c>
      <c r="J583" t="s">
        <v>48</v>
      </c>
      <c r="Q583" t="s">
        <v>1727</v>
      </c>
    </row>
    <row r="584" spans="1:17" hidden="1" x14ac:dyDescent="0.25">
      <c r="A584" t="s">
        <v>1818</v>
      </c>
      <c r="B584" t="s">
        <v>1819</v>
      </c>
      <c r="C584" t="s">
        <v>28</v>
      </c>
      <c r="D584" t="s">
        <v>1496</v>
      </c>
      <c r="E584">
        <v>2</v>
      </c>
      <c r="F584">
        <f>MAX(-1,3-Tableau1[[#This Row],[Nb possédé (digital)]])</f>
        <v>1</v>
      </c>
      <c r="G584">
        <v>2</v>
      </c>
      <c r="H584">
        <f>MAX(-1,3-Tableau1[[#This Row],[Possédé (physique)]])</f>
        <v>1</v>
      </c>
      <c r="I584" t="str">
        <f>IF(Tableau1[[#This Row],[Manque (physique)]]&gt;Tableau1[[#This Row],[Manque (digital)]],"POD",IF(Tableau1[[#This Row],[Manque (digital)]]&gt;Tableau1[[#This Row],[Manque (physique)]],"MarketPlace",""))</f>
        <v/>
      </c>
      <c r="J584" t="s">
        <v>30</v>
      </c>
      <c r="K584" t="s">
        <v>1820</v>
      </c>
      <c r="L584">
        <v>5</v>
      </c>
      <c r="M584">
        <v>5</v>
      </c>
      <c r="N584">
        <v>4</v>
      </c>
      <c r="O584">
        <v>4</v>
      </c>
      <c r="P584">
        <v>4</v>
      </c>
      <c r="Q584" t="s">
        <v>1821</v>
      </c>
    </row>
    <row r="585" spans="1:17" hidden="1" x14ac:dyDescent="0.25">
      <c r="A585" t="s">
        <v>147</v>
      </c>
      <c r="B585" t="s">
        <v>22</v>
      </c>
      <c r="C585" t="s">
        <v>28</v>
      </c>
      <c r="D585" t="s">
        <v>16</v>
      </c>
      <c r="E585">
        <v>3</v>
      </c>
      <c r="F585">
        <f>MAX(-1,3-Tableau1[[#This Row],[Nb possédé (digital)]])</f>
        <v>0</v>
      </c>
      <c r="G585">
        <v>3</v>
      </c>
      <c r="H585">
        <f>MAX(-1,3-Tableau1[[#This Row],[Possédé (physique)]])</f>
        <v>0</v>
      </c>
      <c r="I585" t="str">
        <f>IF(Tableau1[[#This Row],[Manque (physique)]]&gt;Tableau1[[#This Row],[Manque (digital)]],"POD",IF(Tableau1[[#This Row],[Manque (digital)]]&gt;Tableau1[[#This Row],[Manque (physique)]],"MarketPlace",""))</f>
        <v/>
      </c>
      <c r="J585" t="s">
        <v>30</v>
      </c>
      <c r="K585" t="s">
        <v>148</v>
      </c>
      <c r="L585" t="s">
        <v>20</v>
      </c>
      <c r="M585" t="s">
        <v>20</v>
      </c>
      <c r="N585" t="s">
        <v>20</v>
      </c>
      <c r="O585" t="s">
        <v>19</v>
      </c>
      <c r="P585" t="s">
        <v>20</v>
      </c>
    </row>
    <row r="586" spans="1:17" hidden="1" x14ac:dyDescent="0.25">
      <c r="A586" t="s">
        <v>307</v>
      </c>
      <c r="B586" t="s">
        <v>22</v>
      </c>
      <c r="C586" t="s">
        <v>28</v>
      </c>
      <c r="D586" t="s">
        <v>16</v>
      </c>
      <c r="E586">
        <v>3</v>
      </c>
      <c r="F586">
        <f>MAX(-1,3-Tableau1[[#This Row],[Nb possédé (digital)]])</f>
        <v>0</v>
      </c>
      <c r="G586">
        <v>3</v>
      </c>
      <c r="H586">
        <f>MAX(-1,3-Tableau1[[#This Row],[Possédé (physique)]])</f>
        <v>0</v>
      </c>
      <c r="I586" t="str">
        <f>IF(Tableau1[[#This Row],[Manque (physique)]]&gt;Tableau1[[#This Row],[Manque (digital)]],"POD",IF(Tableau1[[#This Row],[Manque (digital)]]&gt;Tableau1[[#This Row],[Manque (physique)]],"MarketPlace",""))</f>
        <v/>
      </c>
      <c r="J586" t="s">
        <v>217</v>
      </c>
      <c r="K586" t="s">
        <v>218</v>
      </c>
      <c r="L586" t="s">
        <v>20</v>
      </c>
      <c r="M586" t="s">
        <v>20</v>
      </c>
      <c r="Q586" t="s">
        <v>309</v>
      </c>
    </row>
    <row r="587" spans="1:17" hidden="1" x14ac:dyDescent="0.25">
      <c r="A587" t="s">
        <v>787</v>
      </c>
      <c r="B587" t="s">
        <v>22</v>
      </c>
      <c r="C587" t="s">
        <v>28</v>
      </c>
      <c r="D587" t="s">
        <v>16</v>
      </c>
      <c r="E587">
        <v>3</v>
      </c>
      <c r="F587">
        <f>MAX(-1,3-Tableau1[[#This Row],[Nb possédé (digital)]])</f>
        <v>0</v>
      </c>
      <c r="G587">
        <v>3</v>
      </c>
      <c r="H587">
        <f>MAX(-1,3-Tableau1[[#This Row],[Possédé (physique)]])</f>
        <v>0</v>
      </c>
      <c r="I587" t="str">
        <f>IF(Tableau1[[#This Row],[Manque (physique)]]&gt;Tableau1[[#This Row],[Manque (digital)]],"POD",IF(Tableau1[[#This Row],[Manque (digital)]]&gt;Tableau1[[#This Row],[Manque (physique)]],"MarketPlace",""))</f>
        <v/>
      </c>
      <c r="J587" t="s">
        <v>30</v>
      </c>
      <c r="K587" t="s">
        <v>59</v>
      </c>
      <c r="L587" t="s">
        <v>20</v>
      </c>
      <c r="M587" t="s">
        <v>20</v>
      </c>
      <c r="N587" t="s">
        <v>20</v>
      </c>
      <c r="O587" t="s">
        <v>20</v>
      </c>
      <c r="P587" t="s">
        <v>89</v>
      </c>
      <c r="Q587" t="s">
        <v>788</v>
      </c>
    </row>
    <row r="588" spans="1:17" hidden="1" x14ac:dyDescent="0.25">
      <c r="A588" t="s">
        <v>806</v>
      </c>
      <c r="B588" t="s">
        <v>22</v>
      </c>
      <c r="C588" t="s">
        <v>28</v>
      </c>
      <c r="D588" t="s">
        <v>16</v>
      </c>
      <c r="E588">
        <v>3</v>
      </c>
      <c r="F588">
        <f>MAX(-1,3-Tableau1[[#This Row],[Nb possédé (digital)]])</f>
        <v>0</v>
      </c>
      <c r="G588">
        <v>3</v>
      </c>
      <c r="H588">
        <f>MAX(-1,3-Tableau1[[#This Row],[Possédé (physique)]])</f>
        <v>0</v>
      </c>
      <c r="I588" t="str">
        <f>IF(Tableau1[[#This Row],[Manque (physique)]]&gt;Tableau1[[#This Row],[Manque (digital)]],"POD",IF(Tableau1[[#This Row],[Manque (digital)]]&gt;Tableau1[[#This Row],[Manque (physique)]],"MarketPlace",""))</f>
        <v/>
      </c>
      <c r="J588" t="s">
        <v>30</v>
      </c>
      <c r="K588" t="s">
        <v>42</v>
      </c>
      <c r="L588" t="s">
        <v>20</v>
      </c>
      <c r="M588" t="s">
        <v>20</v>
      </c>
      <c r="N588" t="s">
        <v>20</v>
      </c>
      <c r="O588" t="s">
        <v>20</v>
      </c>
      <c r="P588" t="s">
        <v>19</v>
      </c>
      <c r="Q588" t="s">
        <v>722</v>
      </c>
    </row>
    <row r="589" spans="1:17" hidden="1" x14ac:dyDescent="0.25">
      <c r="A589" t="s">
        <v>807</v>
      </c>
      <c r="B589" t="s">
        <v>22</v>
      </c>
      <c r="C589" t="s">
        <v>28</v>
      </c>
      <c r="D589" t="s">
        <v>16</v>
      </c>
      <c r="E589">
        <v>3</v>
      </c>
      <c r="F589">
        <f>MAX(-1,3-Tableau1[[#This Row],[Nb possédé (digital)]])</f>
        <v>0</v>
      </c>
      <c r="G589">
        <v>3</v>
      </c>
      <c r="H589">
        <f>MAX(-1,3-Tableau1[[#This Row],[Possédé (physique)]])</f>
        <v>0</v>
      </c>
      <c r="I589" t="str">
        <f>IF(Tableau1[[#This Row],[Manque (physique)]]&gt;Tableau1[[#This Row],[Manque (digital)]],"POD",IF(Tableau1[[#This Row],[Manque (digital)]]&gt;Tableau1[[#This Row],[Manque (physique)]],"MarketPlace",""))</f>
        <v/>
      </c>
      <c r="J589" t="s">
        <v>30</v>
      </c>
      <c r="K589" t="s">
        <v>103</v>
      </c>
      <c r="L589" t="s">
        <v>20</v>
      </c>
      <c r="M589" t="s">
        <v>20</v>
      </c>
      <c r="N589" t="s">
        <v>20</v>
      </c>
      <c r="O589" t="s">
        <v>89</v>
      </c>
      <c r="P589" t="s">
        <v>20</v>
      </c>
      <c r="Q589" t="s">
        <v>809</v>
      </c>
    </row>
    <row r="590" spans="1:17" hidden="1" x14ac:dyDescent="0.25">
      <c r="A590" t="s">
        <v>967</v>
      </c>
      <c r="B590" t="s">
        <v>22</v>
      </c>
      <c r="C590" t="s">
        <v>28</v>
      </c>
      <c r="D590" t="s">
        <v>16</v>
      </c>
      <c r="E590">
        <v>3</v>
      </c>
      <c r="F590">
        <f>MAX(-1,3-Tableau1[[#This Row],[Nb possédé (digital)]])</f>
        <v>0</v>
      </c>
      <c r="G590">
        <v>3</v>
      </c>
      <c r="H590">
        <f>MAX(-1,3-Tableau1[[#This Row],[Possédé (physique)]])</f>
        <v>0</v>
      </c>
      <c r="I590" t="str">
        <f>IF(Tableau1[[#This Row],[Manque (physique)]]&gt;Tableau1[[#This Row],[Manque (digital)]],"POD",IF(Tableau1[[#This Row],[Manque (digital)]]&gt;Tableau1[[#This Row],[Manque (physique)]],"MarketPlace",""))</f>
        <v/>
      </c>
      <c r="J590" t="s">
        <v>30</v>
      </c>
      <c r="K590" t="s">
        <v>42</v>
      </c>
      <c r="L590" t="s">
        <v>20</v>
      </c>
      <c r="M590" t="s">
        <v>20</v>
      </c>
      <c r="N590" t="s">
        <v>20</v>
      </c>
      <c r="O590" t="s">
        <v>20</v>
      </c>
      <c r="P590" t="s">
        <v>89</v>
      </c>
      <c r="Q590" t="s">
        <v>783</v>
      </c>
    </row>
    <row r="591" spans="1:17" hidden="1" x14ac:dyDescent="0.25">
      <c r="A591" t="s">
        <v>964</v>
      </c>
      <c r="B591" t="s">
        <v>22</v>
      </c>
      <c r="C591" t="s">
        <v>28</v>
      </c>
      <c r="D591" t="s">
        <v>16</v>
      </c>
      <c r="E591">
        <v>3</v>
      </c>
      <c r="F591">
        <f>MAX(-1,3-Tableau1[[#This Row],[Nb possédé (digital)]])</f>
        <v>0</v>
      </c>
      <c r="G591">
        <v>3</v>
      </c>
      <c r="H591">
        <f>MAX(-1,3-Tableau1[[#This Row],[Possédé (physique)]])</f>
        <v>0</v>
      </c>
      <c r="I591" t="str">
        <f>IF(Tableau1[[#This Row],[Manque (physique)]]&gt;Tableau1[[#This Row],[Manque (digital)]],"POD",IF(Tableau1[[#This Row],[Manque (digital)]]&gt;Tableau1[[#This Row],[Manque (physique)]],"MarketPlace",""))</f>
        <v/>
      </c>
      <c r="J591" t="s">
        <v>17</v>
      </c>
      <c r="K591" t="s">
        <v>97</v>
      </c>
      <c r="L591" t="s">
        <v>20</v>
      </c>
      <c r="M591" t="s">
        <v>19</v>
      </c>
      <c r="Q591" t="s">
        <v>965</v>
      </c>
    </row>
    <row r="592" spans="1:17" hidden="1" x14ac:dyDescent="0.25">
      <c r="A592" t="s">
        <v>805</v>
      </c>
      <c r="B592" t="s">
        <v>22</v>
      </c>
      <c r="C592" t="s">
        <v>28</v>
      </c>
      <c r="D592" t="s">
        <v>16</v>
      </c>
      <c r="E592">
        <v>3</v>
      </c>
      <c r="F592">
        <f>MAX(-1,3-Tableau1[[#This Row],[Nb possédé (digital)]])</f>
        <v>0</v>
      </c>
      <c r="G592">
        <v>3</v>
      </c>
      <c r="H592">
        <f>MAX(-1,3-Tableau1[[#This Row],[Possédé (physique)]])</f>
        <v>0</v>
      </c>
      <c r="I592" t="str">
        <f>IF(Tableau1[[#This Row],[Manque (physique)]]&gt;Tableau1[[#This Row],[Manque (digital)]],"POD",IF(Tableau1[[#This Row],[Manque (digital)]]&gt;Tableau1[[#This Row],[Manque (physique)]],"MarketPlace",""))</f>
        <v/>
      </c>
      <c r="J592" t="s">
        <v>30</v>
      </c>
      <c r="K592" t="s">
        <v>358</v>
      </c>
      <c r="L592" t="s">
        <v>19</v>
      </c>
      <c r="M592" t="s">
        <v>20</v>
      </c>
      <c r="N592" t="s">
        <v>23</v>
      </c>
      <c r="O592" t="s">
        <v>89</v>
      </c>
      <c r="P592" t="s">
        <v>89</v>
      </c>
    </row>
    <row r="593" spans="1:17" hidden="1" x14ac:dyDescent="0.25">
      <c r="A593" t="s">
        <v>41</v>
      </c>
      <c r="B593" t="s">
        <v>22</v>
      </c>
      <c r="C593" t="s">
        <v>28</v>
      </c>
      <c r="D593" t="s">
        <v>16</v>
      </c>
      <c r="E593">
        <v>3</v>
      </c>
      <c r="F593">
        <f>MAX(-1,3-Tableau1[[#This Row],[Nb possédé (digital)]])</f>
        <v>0</v>
      </c>
      <c r="G593">
        <v>3</v>
      </c>
      <c r="H593">
        <f>MAX(-1,3-Tableau1[[#This Row],[Possédé (physique)]])</f>
        <v>0</v>
      </c>
      <c r="I593" t="str">
        <f>IF(Tableau1[[#This Row],[Manque (physique)]]&gt;Tableau1[[#This Row],[Manque (digital)]],"POD",IF(Tableau1[[#This Row],[Manque (digital)]]&gt;Tableau1[[#This Row],[Manque (physique)]],"MarketPlace",""))</f>
        <v/>
      </c>
      <c r="J593" t="s">
        <v>30</v>
      </c>
      <c r="K593" t="s">
        <v>42</v>
      </c>
      <c r="L593" t="s">
        <v>19</v>
      </c>
      <c r="M593" t="s">
        <v>19</v>
      </c>
      <c r="N593" t="s">
        <v>20</v>
      </c>
      <c r="O593" t="s">
        <v>19</v>
      </c>
      <c r="P593" t="s">
        <v>20</v>
      </c>
      <c r="Q593" t="s">
        <v>44</v>
      </c>
    </row>
    <row r="594" spans="1:17" hidden="1" x14ac:dyDescent="0.25">
      <c r="A594" t="s">
        <v>216</v>
      </c>
      <c r="B594" t="s">
        <v>22</v>
      </c>
      <c r="C594" t="s">
        <v>28</v>
      </c>
      <c r="D594" t="s">
        <v>16</v>
      </c>
      <c r="E594">
        <v>3</v>
      </c>
      <c r="F594">
        <f>MAX(-1,3-Tableau1[[#This Row],[Nb possédé (digital)]])</f>
        <v>0</v>
      </c>
      <c r="G594">
        <v>3</v>
      </c>
      <c r="H594">
        <f>MAX(-1,3-Tableau1[[#This Row],[Possédé (physique)]])</f>
        <v>0</v>
      </c>
      <c r="I594" t="str">
        <f>IF(Tableau1[[#This Row],[Manque (physique)]]&gt;Tableau1[[#This Row],[Manque (digital)]],"POD",IF(Tableau1[[#This Row],[Manque (digital)]]&gt;Tableau1[[#This Row],[Manque (physique)]],"MarketPlace",""))</f>
        <v/>
      </c>
      <c r="J594" t="s">
        <v>217</v>
      </c>
      <c r="K594" t="s">
        <v>218</v>
      </c>
      <c r="L594" t="s">
        <v>19</v>
      </c>
      <c r="M594" t="s">
        <v>19</v>
      </c>
      <c r="Q594" t="s">
        <v>220</v>
      </c>
    </row>
    <row r="595" spans="1:17" x14ac:dyDescent="0.25">
      <c r="A595" t="s">
        <v>291</v>
      </c>
      <c r="B595" t="s">
        <v>22</v>
      </c>
      <c r="C595" t="s">
        <v>28</v>
      </c>
      <c r="D595" t="s">
        <v>16</v>
      </c>
      <c r="E595">
        <v>4</v>
      </c>
      <c r="F595">
        <f>MAX(-1,3-Tableau1[[#This Row],[Nb possédé (digital)]])</f>
        <v>-1</v>
      </c>
      <c r="G595">
        <v>4</v>
      </c>
      <c r="H595">
        <f>MAX(-1,3-Tableau1[[#This Row],[Possédé (physique)]])</f>
        <v>-1</v>
      </c>
      <c r="I595" t="str">
        <f>IF(Tableau1[[#This Row],[Manque (physique)]]&gt;Tableau1[[#This Row],[Manque (digital)]],"POD",IF(Tableau1[[#This Row],[Manque (digital)]]&gt;Tableau1[[#This Row],[Manque (physique)]],"MarketPlace",""))</f>
        <v/>
      </c>
      <c r="J595" t="s">
        <v>30</v>
      </c>
      <c r="K595" t="s">
        <v>292</v>
      </c>
      <c r="L595" t="s">
        <v>19</v>
      </c>
      <c r="M595" t="s">
        <v>19</v>
      </c>
      <c r="N595" t="s">
        <v>23</v>
      </c>
      <c r="O595" t="s">
        <v>23</v>
      </c>
      <c r="P595" t="s">
        <v>89</v>
      </c>
      <c r="Q595" t="s">
        <v>293</v>
      </c>
    </row>
    <row r="596" spans="1:17" hidden="1" x14ac:dyDescent="0.25">
      <c r="A596" t="s">
        <v>1136</v>
      </c>
      <c r="B596" t="s">
        <v>22</v>
      </c>
      <c r="C596" t="s">
        <v>28</v>
      </c>
      <c r="D596" t="s">
        <v>16</v>
      </c>
      <c r="E596">
        <v>3</v>
      </c>
      <c r="F596">
        <f>MAX(-1,3-Tableau1[[#This Row],[Nb possédé (digital)]])</f>
        <v>0</v>
      </c>
      <c r="G596">
        <v>3</v>
      </c>
      <c r="H596">
        <f>MAX(-1,3-Tableau1[[#This Row],[Possédé (physique)]])</f>
        <v>0</v>
      </c>
      <c r="I596" t="str">
        <f>IF(Tableau1[[#This Row],[Manque (physique)]]&gt;Tableau1[[#This Row],[Manque (digital)]],"POD",IF(Tableau1[[#This Row],[Manque (digital)]]&gt;Tableau1[[#This Row],[Manque (physique)]],"MarketPlace",""))</f>
        <v/>
      </c>
      <c r="J596" t="s">
        <v>30</v>
      </c>
      <c r="K596" t="s">
        <v>328</v>
      </c>
      <c r="L596" t="s">
        <v>19</v>
      </c>
      <c r="M596" t="s">
        <v>19</v>
      </c>
      <c r="N596" t="s">
        <v>20</v>
      </c>
      <c r="O596" t="s">
        <v>23</v>
      </c>
      <c r="P596" t="s">
        <v>23</v>
      </c>
      <c r="Q596" t="s">
        <v>1138</v>
      </c>
    </row>
    <row r="597" spans="1:17" hidden="1" x14ac:dyDescent="0.25">
      <c r="A597" t="s">
        <v>392</v>
      </c>
      <c r="B597" t="s">
        <v>22</v>
      </c>
      <c r="C597" t="s">
        <v>28</v>
      </c>
      <c r="D597" t="s">
        <v>16</v>
      </c>
      <c r="E597">
        <v>3</v>
      </c>
      <c r="F597">
        <f>MAX(-1,3-Tableau1[[#This Row],[Nb possédé (digital)]])</f>
        <v>0</v>
      </c>
      <c r="G597">
        <v>3</v>
      </c>
      <c r="H597">
        <f>MAX(-1,3-Tableau1[[#This Row],[Possédé (physique)]])</f>
        <v>0</v>
      </c>
      <c r="I597" t="str">
        <f>IF(Tableau1[[#This Row],[Manque (physique)]]&gt;Tableau1[[#This Row],[Manque (digital)]],"POD",IF(Tableau1[[#This Row],[Manque (digital)]]&gt;Tableau1[[#This Row],[Manque (physique)]],"MarketPlace",""))</f>
        <v/>
      </c>
      <c r="J597" t="s">
        <v>30</v>
      </c>
      <c r="K597" t="s">
        <v>171</v>
      </c>
      <c r="L597" t="s">
        <v>19</v>
      </c>
      <c r="M597" t="s">
        <v>19</v>
      </c>
      <c r="N597" t="s">
        <v>19</v>
      </c>
      <c r="O597" t="s">
        <v>19</v>
      </c>
      <c r="P597" t="s">
        <v>19</v>
      </c>
      <c r="Q597" t="s">
        <v>393</v>
      </c>
    </row>
    <row r="598" spans="1:17" hidden="1" x14ac:dyDescent="0.25">
      <c r="A598" t="s">
        <v>412</v>
      </c>
      <c r="B598" t="s">
        <v>22</v>
      </c>
      <c r="C598" t="s">
        <v>28</v>
      </c>
      <c r="D598" t="s">
        <v>16</v>
      </c>
      <c r="E598">
        <v>3</v>
      </c>
      <c r="F598">
        <f>MAX(-1,3-Tableau1[[#This Row],[Nb possédé (digital)]])</f>
        <v>0</v>
      </c>
      <c r="G598">
        <v>3</v>
      </c>
      <c r="H598">
        <f>MAX(-1,3-Tableau1[[#This Row],[Possédé (physique)]])</f>
        <v>0</v>
      </c>
      <c r="I598" t="str">
        <f>IF(Tableau1[[#This Row],[Manque (physique)]]&gt;Tableau1[[#This Row],[Manque (digital)]],"POD",IF(Tableau1[[#This Row],[Manque (digital)]]&gt;Tableau1[[#This Row],[Manque (physique)]],"MarketPlace",""))</f>
        <v/>
      </c>
      <c r="J598" t="s">
        <v>17</v>
      </c>
      <c r="K598" t="s">
        <v>153</v>
      </c>
      <c r="L598" t="s">
        <v>19</v>
      </c>
      <c r="M598" t="s">
        <v>19</v>
      </c>
      <c r="Q598" t="s">
        <v>413</v>
      </c>
    </row>
    <row r="599" spans="1:17" hidden="1" x14ac:dyDescent="0.25">
      <c r="A599" t="s">
        <v>405</v>
      </c>
      <c r="B599" t="s">
        <v>22</v>
      </c>
      <c r="C599" t="s">
        <v>28</v>
      </c>
      <c r="D599" t="s">
        <v>16</v>
      </c>
      <c r="E599">
        <v>3</v>
      </c>
      <c r="F599">
        <f>MAX(-1,3-Tableau1[[#This Row],[Nb possédé (digital)]])</f>
        <v>0</v>
      </c>
      <c r="G599">
        <v>3</v>
      </c>
      <c r="H599">
        <f>MAX(-1,3-Tableau1[[#This Row],[Possédé (physique)]])</f>
        <v>0</v>
      </c>
      <c r="I599" t="str">
        <f>IF(Tableau1[[#This Row],[Manque (physique)]]&gt;Tableau1[[#This Row],[Manque (digital)]],"POD",IF(Tableau1[[#This Row],[Manque (digital)]]&gt;Tableau1[[#This Row],[Manque (physique)]],"MarketPlace",""))</f>
        <v/>
      </c>
      <c r="J599" t="s">
        <v>17</v>
      </c>
      <c r="K599" t="s">
        <v>18</v>
      </c>
      <c r="L599" t="s">
        <v>19</v>
      </c>
      <c r="M599" t="s">
        <v>19</v>
      </c>
      <c r="Q599" t="s">
        <v>407</v>
      </c>
    </row>
    <row r="600" spans="1:17" hidden="1" x14ac:dyDescent="0.25">
      <c r="A600" t="s">
        <v>526</v>
      </c>
      <c r="B600" t="s">
        <v>22</v>
      </c>
      <c r="C600" t="s">
        <v>28</v>
      </c>
      <c r="D600" t="s">
        <v>16</v>
      </c>
      <c r="E600">
        <v>3</v>
      </c>
      <c r="F600">
        <f>MAX(-1,3-Tableau1[[#This Row],[Nb possédé (digital)]])</f>
        <v>0</v>
      </c>
      <c r="G600">
        <v>3</v>
      </c>
      <c r="H600">
        <f>MAX(-1,3-Tableau1[[#This Row],[Possédé (physique)]])</f>
        <v>0</v>
      </c>
      <c r="I600" t="str">
        <f>IF(Tableau1[[#This Row],[Manque (physique)]]&gt;Tableau1[[#This Row],[Manque (digital)]],"POD",IF(Tableau1[[#This Row],[Manque (digital)]]&gt;Tableau1[[#This Row],[Manque (physique)]],"MarketPlace",""))</f>
        <v/>
      </c>
      <c r="J600" t="s">
        <v>17</v>
      </c>
      <c r="K600" t="s">
        <v>201</v>
      </c>
      <c r="L600" t="s">
        <v>19</v>
      </c>
      <c r="M600" t="s">
        <v>19</v>
      </c>
      <c r="Q600" t="s">
        <v>528</v>
      </c>
    </row>
    <row r="601" spans="1:17" hidden="1" x14ac:dyDescent="0.25">
      <c r="A601" t="s">
        <v>534</v>
      </c>
      <c r="B601" t="s">
        <v>22</v>
      </c>
      <c r="C601" t="s">
        <v>28</v>
      </c>
      <c r="D601" t="s">
        <v>16</v>
      </c>
      <c r="E601">
        <v>3</v>
      </c>
      <c r="F601">
        <f>MAX(-1,3-Tableau1[[#This Row],[Nb possédé (digital)]])</f>
        <v>0</v>
      </c>
      <c r="G601">
        <v>3</v>
      </c>
      <c r="H601">
        <f>MAX(-1,3-Tableau1[[#This Row],[Possédé (physique)]])</f>
        <v>0</v>
      </c>
      <c r="I601" t="str">
        <f>IF(Tableau1[[#This Row],[Manque (physique)]]&gt;Tableau1[[#This Row],[Manque (digital)]],"POD",IF(Tableau1[[#This Row],[Manque (digital)]]&gt;Tableau1[[#This Row],[Manque (physique)]],"MarketPlace",""))</f>
        <v/>
      </c>
      <c r="J601" t="s">
        <v>217</v>
      </c>
      <c r="K601" t="s">
        <v>218</v>
      </c>
      <c r="L601" t="s">
        <v>19</v>
      </c>
      <c r="M601" t="s">
        <v>19</v>
      </c>
      <c r="Q601" t="s">
        <v>536</v>
      </c>
    </row>
    <row r="602" spans="1:17" hidden="1" x14ac:dyDescent="0.25">
      <c r="A602" t="s">
        <v>546</v>
      </c>
      <c r="B602" t="s">
        <v>22</v>
      </c>
      <c r="C602" t="s">
        <v>28</v>
      </c>
      <c r="D602" t="s">
        <v>16</v>
      </c>
      <c r="E602">
        <v>3</v>
      </c>
      <c r="F602">
        <f>MAX(-1,3-Tableau1[[#This Row],[Nb possédé (digital)]])</f>
        <v>0</v>
      </c>
      <c r="G602">
        <v>3</v>
      </c>
      <c r="H602">
        <f>MAX(-1,3-Tableau1[[#This Row],[Possédé (physique)]])</f>
        <v>0</v>
      </c>
      <c r="I602" t="str">
        <f>IF(Tableau1[[#This Row],[Manque (physique)]]&gt;Tableau1[[#This Row],[Manque (digital)]],"POD",IF(Tableau1[[#This Row],[Manque (digital)]]&gt;Tableau1[[#This Row],[Manque (physique)]],"MarketPlace",""))</f>
        <v/>
      </c>
      <c r="J602" t="s">
        <v>217</v>
      </c>
      <c r="K602" t="s">
        <v>218</v>
      </c>
      <c r="L602" t="s">
        <v>19</v>
      </c>
      <c r="M602" t="s">
        <v>19</v>
      </c>
      <c r="Q602" t="s">
        <v>547</v>
      </c>
    </row>
    <row r="603" spans="1:17" hidden="1" x14ac:dyDescent="0.25">
      <c r="A603" t="s">
        <v>576</v>
      </c>
      <c r="B603" t="s">
        <v>22</v>
      </c>
      <c r="C603" t="s">
        <v>28</v>
      </c>
      <c r="D603" t="s">
        <v>16</v>
      </c>
      <c r="E603">
        <v>3</v>
      </c>
      <c r="F603">
        <f>MAX(-1,3-Tableau1[[#This Row],[Nb possédé (digital)]])</f>
        <v>0</v>
      </c>
      <c r="G603">
        <v>3</v>
      </c>
      <c r="H603">
        <f>MAX(-1,3-Tableau1[[#This Row],[Possédé (physique)]])</f>
        <v>0</v>
      </c>
      <c r="I603" t="str">
        <f>IF(Tableau1[[#This Row],[Manque (physique)]]&gt;Tableau1[[#This Row],[Manque (digital)]],"POD",IF(Tableau1[[#This Row],[Manque (digital)]]&gt;Tableau1[[#This Row],[Manque (physique)]],"MarketPlace",""))</f>
        <v/>
      </c>
      <c r="J603" t="s">
        <v>30</v>
      </c>
      <c r="K603" t="s">
        <v>42</v>
      </c>
      <c r="L603" t="s">
        <v>19</v>
      </c>
      <c r="M603" t="s">
        <v>19</v>
      </c>
      <c r="N603" t="s">
        <v>19</v>
      </c>
      <c r="O603" t="s">
        <v>19</v>
      </c>
      <c r="P603" t="s">
        <v>20</v>
      </c>
      <c r="Q603" t="s">
        <v>578</v>
      </c>
    </row>
    <row r="604" spans="1:17" x14ac:dyDescent="0.25">
      <c r="A604" t="s">
        <v>596</v>
      </c>
      <c r="B604" t="s">
        <v>22</v>
      </c>
      <c r="C604" t="s">
        <v>28</v>
      </c>
      <c r="D604" t="s">
        <v>16</v>
      </c>
      <c r="E604">
        <v>6</v>
      </c>
      <c r="F604">
        <f>MAX(-1,3-Tableau1[[#This Row],[Nb possédé (digital)]])</f>
        <v>-1</v>
      </c>
      <c r="G604">
        <v>3</v>
      </c>
      <c r="H604">
        <f>MAX(-1,3-Tableau1[[#This Row],[Possédé (physique)]])</f>
        <v>0</v>
      </c>
      <c r="I604" t="str">
        <f>IF(Tableau1[[#This Row],[Manque (physique)]]&gt;Tableau1[[#This Row],[Manque (digital)]],"POD",IF(Tableau1[[#This Row],[Manque (digital)]]&gt;Tableau1[[#This Row],[Manque (physique)]],"MarketPlace",""))</f>
        <v>POD</v>
      </c>
      <c r="J604" t="s">
        <v>30</v>
      </c>
      <c r="K604" t="s">
        <v>42</v>
      </c>
      <c r="L604" t="s">
        <v>19</v>
      </c>
      <c r="M604" t="s">
        <v>19</v>
      </c>
      <c r="N604" t="s">
        <v>23</v>
      </c>
      <c r="O604" t="s">
        <v>19</v>
      </c>
      <c r="P604" t="s">
        <v>89</v>
      </c>
      <c r="Q604" t="s">
        <v>563</v>
      </c>
    </row>
    <row r="605" spans="1:17" hidden="1" x14ac:dyDescent="0.25">
      <c r="A605" t="s">
        <v>721</v>
      </c>
      <c r="B605" t="s">
        <v>22</v>
      </c>
      <c r="C605" t="s">
        <v>28</v>
      </c>
      <c r="D605" t="s">
        <v>16</v>
      </c>
      <c r="E605">
        <v>3</v>
      </c>
      <c r="F605">
        <f>MAX(-1,3-Tableau1[[#This Row],[Nb possédé (digital)]])</f>
        <v>0</v>
      </c>
      <c r="G605">
        <v>3</v>
      </c>
      <c r="H605">
        <f>MAX(-1,3-Tableau1[[#This Row],[Possédé (physique)]])</f>
        <v>0</v>
      </c>
      <c r="I605" t="str">
        <f>IF(Tableau1[[#This Row],[Manque (physique)]]&gt;Tableau1[[#This Row],[Manque (digital)]],"POD",IF(Tableau1[[#This Row],[Manque (digital)]]&gt;Tableau1[[#This Row],[Manque (physique)]],"MarketPlace",""))</f>
        <v/>
      </c>
      <c r="J605" t="s">
        <v>30</v>
      </c>
      <c r="K605" t="s">
        <v>111</v>
      </c>
      <c r="L605" t="s">
        <v>19</v>
      </c>
      <c r="M605" t="s">
        <v>19</v>
      </c>
      <c r="N605" t="s">
        <v>23</v>
      </c>
      <c r="O605" t="s">
        <v>89</v>
      </c>
      <c r="P605" t="s">
        <v>23</v>
      </c>
      <c r="Q605" t="s">
        <v>722</v>
      </c>
    </row>
    <row r="606" spans="1:17" hidden="1" x14ac:dyDescent="0.25">
      <c r="A606" t="s">
        <v>833</v>
      </c>
      <c r="B606" t="s">
        <v>22</v>
      </c>
      <c r="C606" t="s">
        <v>28</v>
      </c>
      <c r="D606" t="s">
        <v>16</v>
      </c>
      <c r="E606">
        <v>3</v>
      </c>
      <c r="F606">
        <f>MAX(-1,3-Tableau1[[#This Row],[Nb possédé (digital)]])</f>
        <v>0</v>
      </c>
      <c r="G606">
        <v>3</v>
      </c>
      <c r="H606">
        <f>MAX(-1,3-Tableau1[[#This Row],[Possédé (physique)]])</f>
        <v>0</v>
      </c>
      <c r="I606" t="str">
        <f>IF(Tableau1[[#This Row],[Manque (physique)]]&gt;Tableau1[[#This Row],[Manque (digital)]],"POD",IF(Tableau1[[#This Row],[Manque (digital)]]&gt;Tableau1[[#This Row],[Manque (physique)]],"MarketPlace",""))</f>
        <v/>
      </c>
      <c r="J606" t="s">
        <v>30</v>
      </c>
      <c r="K606" t="s">
        <v>504</v>
      </c>
      <c r="L606" t="s">
        <v>19</v>
      </c>
      <c r="M606" t="s">
        <v>19</v>
      </c>
      <c r="N606" t="s">
        <v>19</v>
      </c>
      <c r="O606" t="s">
        <v>20</v>
      </c>
      <c r="P606" t="s">
        <v>20</v>
      </c>
      <c r="Q606" t="s">
        <v>835</v>
      </c>
    </row>
    <row r="607" spans="1:17" hidden="1" x14ac:dyDescent="0.25">
      <c r="A607" t="s">
        <v>985</v>
      </c>
      <c r="B607" t="s">
        <v>22</v>
      </c>
      <c r="C607" t="s">
        <v>28</v>
      </c>
      <c r="D607" t="s">
        <v>16</v>
      </c>
      <c r="E607">
        <v>3</v>
      </c>
      <c r="F607">
        <f>MAX(-1,3-Tableau1[[#This Row],[Nb possédé (digital)]])</f>
        <v>0</v>
      </c>
      <c r="G607">
        <v>3</v>
      </c>
      <c r="H607">
        <f>MAX(-1,3-Tableau1[[#This Row],[Possédé (physique)]])</f>
        <v>0</v>
      </c>
      <c r="I607" t="str">
        <f>IF(Tableau1[[#This Row],[Manque (physique)]]&gt;Tableau1[[#This Row],[Manque (digital)]],"POD",IF(Tableau1[[#This Row],[Manque (digital)]]&gt;Tableau1[[#This Row],[Manque (physique)]],"MarketPlace",""))</f>
        <v/>
      </c>
      <c r="J607" t="s">
        <v>30</v>
      </c>
      <c r="K607" t="s">
        <v>63</v>
      </c>
      <c r="L607" t="s">
        <v>19</v>
      </c>
      <c r="M607" t="s">
        <v>19</v>
      </c>
      <c r="N607" t="s">
        <v>20</v>
      </c>
      <c r="O607" t="s">
        <v>19</v>
      </c>
      <c r="P607" t="s">
        <v>19</v>
      </c>
      <c r="Q607" t="s">
        <v>986</v>
      </c>
    </row>
    <row r="608" spans="1:17" hidden="1" x14ac:dyDescent="0.25">
      <c r="A608" t="s">
        <v>1084</v>
      </c>
      <c r="B608" t="s">
        <v>22</v>
      </c>
      <c r="C608" t="s">
        <v>28</v>
      </c>
      <c r="D608" t="s">
        <v>16</v>
      </c>
      <c r="E608">
        <v>3</v>
      </c>
      <c r="F608">
        <f>MAX(-1,3-Tableau1[[#This Row],[Nb possédé (digital)]])</f>
        <v>0</v>
      </c>
      <c r="G608">
        <v>3</v>
      </c>
      <c r="H608">
        <f>MAX(-1,3-Tableau1[[#This Row],[Possédé (physique)]])</f>
        <v>0</v>
      </c>
      <c r="I608" t="str">
        <f>IF(Tableau1[[#This Row],[Manque (physique)]]&gt;Tableau1[[#This Row],[Manque (digital)]],"POD",IF(Tableau1[[#This Row],[Manque (digital)]]&gt;Tableau1[[#This Row],[Manque (physique)]],"MarketPlace",""))</f>
        <v/>
      </c>
      <c r="J608" t="s">
        <v>30</v>
      </c>
      <c r="K608" t="s">
        <v>83</v>
      </c>
      <c r="L608" t="s">
        <v>19</v>
      </c>
      <c r="M608" t="s">
        <v>19</v>
      </c>
      <c r="N608" t="s">
        <v>23</v>
      </c>
      <c r="O608" t="s">
        <v>23</v>
      </c>
      <c r="P608" t="s">
        <v>23</v>
      </c>
      <c r="Q608" t="s">
        <v>1085</v>
      </c>
    </row>
    <row r="609" spans="1:17" hidden="1" x14ac:dyDescent="0.25">
      <c r="A609" t="s">
        <v>480</v>
      </c>
      <c r="B609" t="s">
        <v>22</v>
      </c>
      <c r="C609" t="s">
        <v>28</v>
      </c>
      <c r="D609" t="s">
        <v>16</v>
      </c>
      <c r="E609">
        <v>3</v>
      </c>
      <c r="F609">
        <f>MAX(-1,3-Tableau1[[#This Row],[Nb possédé (digital)]])</f>
        <v>0</v>
      </c>
      <c r="G609">
        <v>3</v>
      </c>
      <c r="H609">
        <f>MAX(-1,3-Tableau1[[#This Row],[Possédé (physique)]])</f>
        <v>0</v>
      </c>
      <c r="I609" t="str">
        <f>IF(Tableau1[[#This Row],[Manque (physique)]]&gt;Tableau1[[#This Row],[Manque (digital)]],"POD",IF(Tableau1[[#This Row],[Manque (digital)]]&gt;Tableau1[[#This Row],[Manque (physique)]],"MarketPlace",""))</f>
        <v/>
      </c>
      <c r="J609" t="s">
        <v>30</v>
      </c>
      <c r="K609" t="s">
        <v>481</v>
      </c>
      <c r="L609" t="s">
        <v>19</v>
      </c>
      <c r="M609" t="s">
        <v>23</v>
      </c>
      <c r="N609" t="s">
        <v>20</v>
      </c>
      <c r="O609" t="s">
        <v>23</v>
      </c>
      <c r="P609" t="s">
        <v>23</v>
      </c>
      <c r="Q609" t="s">
        <v>482</v>
      </c>
    </row>
    <row r="610" spans="1:17" x14ac:dyDescent="0.25">
      <c r="A610" t="s">
        <v>782</v>
      </c>
      <c r="B610" t="s">
        <v>22</v>
      </c>
      <c r="C610" t="s">
        <v>28</v>
      </c>
      <c r="D610" t="s">
        <v>16</v>
      </c>
      <c r="E610">
        <v>6</v>
      </c>
      <c r="F610">
        <f>MAX(-1,3-Tableau1[[#This Row],[Nb possédé (digital)]])</f>
        <v>-1</v>
      </c>
      <c r="G610">
        <v>6</v>
      </c>
      <c r="H610">
        <f>MAX(-1,3-Tableau1[[#This Row],[Possédé (physique)]])</f>
        <v>-1</v>
      </c>
      <c r="I610" t="str">
        <f>IF(Tableau1[[#This Row],[Manque (physique)]]&gt;Tableau1[[#This Row],[Manque (digital)]],"POD",IF(Tableau1[[#This Row],[Manque (digital)]]&gt;Tableau1[[#This Row],[Manque (physique)]],"MarketPlace",""))</f>
        <v/>
      </c>
      <c r="J610" t="s">
        <v>30</v>
      </c>
      <c r="K610" t="s">
        <v>68</v>
      </c>
      <c r="L610" t="s">
        <v>19</v>
      </c>
      <c r="M610" t="s">
        <v>23</v>
      </c>
      <c r="N610" t="s">
        <v>23</v>
      </c>
      <c r="O610" t="s">
        <v>19</v>
      </c>
      <c r="P610" t="s">
        <v>89</v>
      </c>
      <c r="Q610" t="s">
        <v>783</v>
      </c>
    </row>
    <row r="611" spans="1:17" hidden="1" x14ac:dyDescent="0.25">
      <c r="A611" t="s">
        <v>82</v>
      </c>
      <c r="B611" t="s">
        <v>22</v>
      </c>
      <c r="C611" t="s">
        <v>28</v>
      </c>
      <c r="D611" t="s">
        <v>16</v>
      </c>
      <c r="E611">
        <v>3</v>
      </c>
      <c r="F611">
        <f>MAX(-1,3-Tableau1[[#This Row],[Nb possédé (digital)]])</f>
        <v>0</v>
      </c>
      <c r="G611">
        <v>3</v>
      </c>
      <c r="H611">
        <f>MAX(-1,3-Tableau1[[#This Row],[Possédé (physique)]])</f>
        <v>0</v>
      </c>
      <c r="I611" t="str">
        <f>IF(Tableau1[[#This Row],[Manque (physique)]]&gt;Tableau1[[#This Row],[Manque (digital)]],"POD",IF(Tableau1[[#This Row],[Manque (digital)]]&gt;Tableau1[[#This Row],[Manque (physique)]],"MarketPlace",""))</f>
        <v/>
      </c>
      <c r="J611" t="s">
        <v>30</v>
      </c>
      <c r="K611" t="s">
        <v>83</v>
      </c>
      <c r="L611" t="s">
        <v>23</v>
      </c>
      <c r="M611" t="s">
        <v>20</v>
      </c>
      <c r="N611" t="s">
        <v>19</v>
      </c>
      <c r="O611" t="s">
        <v>19</v>
      </c>
      <c r="P611" t="s">
        <v>19</v>
      </c>
      <c r="Q611" t="s">
        <v>84</v>
      </c>
    </row>
    <row r="612" spans="1:17" hidden="1" x14ac:dyDescent="0.25">
      <c r="A612" t="s">
        <v>85</v>
      </c>
      <c r="B612" t="s">
        <v>22</v>
      </c>
      <c r="C612" t="s">
        <v>28</v>
      </c>
      <c r="D612" t="s">
        <v>16</v>
      </c>
      <c r="E612">
        <v>3</v>
      </c>
      <c r="F612">
        <f>MAX(-1,3-Tableau1[[#This Row],[Nb possédé (digital)]])</f>
        <v>0</v>
      </c>
      <c r="G612">
        <v>3</v>
      </c>
      <c r="H612">
        <f>MAX(-1,3-Tableau1[[#This Row],[Possédé (physique)]])</f>
        <v>0</v>
      </c>
      <c r="I612" t="str">
        <f>IF(Tableau1[[#This Row],[Manque (physique)]]&gt;Tableau1[[#This Row],[Manque (digital)]],"POD",IF(Tableau1[[#This Row],[Manque (digital)]]&gt;Tableau1[[#This Row],[Manque (physique)]],"MarketPlace",""))</f>
        <v/>
      </c>
      <c r="J612" t="s">
        <v>30</v>
      </c>
      <c r="K612" t="s">
        <v>86</v>
      </c>
      <c r="L612" t="s">
        <v>23</v>
      </c>
      <c r="M612" t="s">
        <v>19</v>
      </c>
      <c r="N612" t="s">
        <v>19</v>
      </c>
      <c r="O612" t="s">
        <v>19</v>
      </c>
      <c r="P612" t="s">
        <v>19</v>
      </c>
      <c r="Q612" t="s">
        <v>88</v>
      </c>
    </row>
    <row r="613" spans="1:17" hidden="1" x14ac:dyDescent="0.25">
      <c r="A613" t="s">
        <v>357</v>
      </c>
      <c r="B613" t="s">
        <v>22</v>
      </c>
      <c r="C613" t="s">
        <v>28</v>
      </c>
      <c r="D613" t="s">
        <v>16</v>
      </c>
      <c r="E613">
        <v>3</v>
      </c>
      <c r="F613">
        <f>MAX(-1,3-Tableau1[[#This Row],[Nb possédé (digital)]])</f>
        <v>0</v>
      </c>
      <c r="G613">
        <v>3</v>
      </c>
      <c r="H613">
        <f>MAX(-1,3-Tableau1[[#This Row],[Possédé (physique)]])</f>
        <v>0</v>
      </c>
      <c r="I613" t="str">
        <f>IF(Tableau1[[#This Row],[Manque (physique)]]&gt;Tableau1[[#This Row],[Manque (digital)]],"POD",IF(Tableau1[[#This Row],[Manque (digital)]]&gt;Tableau1[[#This Row],[Manque (physique)]],"MarketPlace",""))</f>
        <v/>
      </c>
      <c r="J613" t="s">
        <v>30</v>
      </c>
      <c r="K613" t="s">
        <v>358</v>
      </c>
      <c r="L613" t="s">
        <v>23</v>
      </c>
      <c r="M613" t="s">
        <v>19</v>
      </c>
      <c r="N613" t="s">
        <v>23</v>
      </c>
      <c r="O613" t="s">
        <v>19</v>
      </c>
      <c r="P613" t="s">
        <v>19</v>
      </c>
      <c r="Q613" t="s">
        <v>359</v>
      </c>
    </row>
    <row r="614" spans="1:17" hidden="1" x14ac:dyDescent="0.25">
      <c r="A614" t="s">
        <v>562</v>
      </c>
      <c r="B614" t="s">
        <v>22</v>
      </c>
      <c r="C614" t="s">
        <v>28</v>
      </c>
      <c r="D614" t="s">
        <v>16</v>
      </c>
      <c r="E614">
        <v>3</v>
      </c>
      <c r="F614">
        <f>MAX(-1,3-Tableau1[[#This Row],[Nb possédé (digital)]])</f>
        <v>0</v>
      </c>
      <c r="G614">
        <v>3</v>
      </c>
      <c r="H614">
        <f>MAX(-1,3-Tableau1[[#This Row],[Possédé (physique)]])</f>
        <v>0</v>
      </c>
      <c r="I614" t="str">
        <f>IF(Tableau1[[#This Row],[Manque (physique)]]&gt;Tableau1[[#This Row],[Manque (digital)]],"POD",IF(Tableau1[[#This Row],[Manque (digital)]]&gt;Tableau1[[#This Row],[Manque (physique)]],"MarketPlace",""))</f>
        <v/>
      </c>
      <c r="J614" t="s">
        <v>30</v>
      </c>
      <c r="K614" t="s">
        <v>51</v>
      </c>
      <c r="L614" t="s">
        <v>23</v>
      </c>
      <c r="M614" t="s">
        <v>19</v>
      </c>
      <c r="N614" t="s">
        <v>23</v>
      </c>
      <c r="O614" t="s">
        <v>23</v>
      </c>
      <c r="P614" t="s">
        <v>23</v>
      </c>
      <c r="Q614" t="s">
        <v>563</v>
      </c>
    </row>
    <row r="615" spans="1:17" hidden="1" x14ac:dyDescent="0.25">
      <c r="A615" t="s">
        <v>120</v>
      </c>
      <c r="B615" t="s">
        <v>22</v>
      </c>
      <c r="C615" t="s">
        <v>28</v>
      </c>
      <c r="D615" t="s">
        <v>16</v>
      </c>
      <c r="E615">
        <v>3</v>
      </c>
      <c r="F615">
        <f>MAX(-1,3-Tableau1[[#This Row],[Nb possédé (digital)]])</f>
        <v>0</v>
      </c>
      <c r="G615">
        <v>3</v>
      </c>
      <c r="H615">
        <f>MAX(-1,3-Tableau1[[#This Row],[Possédé (physique)]])</f>
        <v>0</v>
      </c>
      <c r="I615" t="str">
        <f>IF(Tableau1[[#This Row],[Manque (physique)]]&gt;Tableau1[[#This Row],[Manque (digital)]],"POD",IF(Tableau1[[#This Row],[Manque (digital)]]&gt;Tableau1[[#This Row],[Manque (physique)]],"MarketPlace",""))</f>
        <v/>
      </c>
      <c r="J615" t="s">
        <v>30</v>
      </c>
      <c r="K615" t="s">
        <v>42</v>
      </c>
      <c r="L615" t="s">
        <v>23</v>
      </c>
      <c r="M615" t="s">
        <v>23</v>
      </c>
      <c r="N615" t="s">
        <v>19</v>
      </c>
      <c r="O615" t="s">
        <v>19</v>
      </c>
      <c r="P615" t="s">
        <v>19</v>
      </c>
      <c r="Q615" t="s">
        <v>122</v>
      </c>
    </row>
    <row r="616" spans="1:17" hidden="1" x14ac:dyDescent="0.25">
      <c r="A616" t="s">
        <v>157</v>
      </c>
      <c r="B616" t="s">
        <v>22</v>
      </c>
      <c r="C616" t="s">
        <v>28</v>
      </c>
      <c r="D616" t="s">
        <v>16</v>
      </c>
      <c r="E616">
        <v>3</v>
      </c>
      <c r="F616">
        <f>MAX(-1,3-Tableau1[[#This Row],[Nb possédé (digital)]])</f>
        <v>0</v>
      </c>
      <c r="G616">
        <v>3</v>
      </c>
      <c r="H616">
        <f>MAX(-1,3-Tableau1[[#This Row],[Possédé (physique)]])</f>
        <v>0</v>
      </c>
      <c r="I616" t="str">
        <f>IF(Tableau1[[#This Row],[Manque (physique)]]&gt;Tableau1[[#This Row],[Manque (digital)]],"POD",IF(Tableau1[[#This Row],[Manque (digital)]]&gt;Tableau1[[#This Row],[Manque (physique)]],"MarketPlace",""))</f>
        <v/>
      </c>
      <c r="J616" t="s">
        <v>30</v>
      </c>
      <c r="K616" t="s">
        <v>83</v>
      </c>
      <c r="L616" t="s">
        <v>23</v>
      </c>
      <c r="M616" t="s">
        <v>23</v>
      </c>
      <c r="N616" t="s">
        <v>52</v>
      </c>
      <c r="O616" t="s">
        <v>19</v>
      </c>
      <c r="P616" t="s">
        <v>19</v>
      </c>
      <c r="Q616" t="s">
        <v>159</v>
      </c>
    </row>
    <row r="617" spans="1:17" hidden="1" x14ac:dyDescent="0.25">
      <c r="A617" t="s">
        <v>207</v>
      </c>
      <c r="B617" t="s">
        <v>22</v>
      </c>
      <c r="C617" t="s">
        <v>28</v>
      </c>
      <c r="D617" t="s">
        <v>16</v>
      </c>
      <c r="E617">
        <v>3</v>
      </c>
      <c r="F617">
        <f>MAX(-1,3-Tableau1[[#This Row],[Nb possédé (digital)]])</f>
        <v>0</v>
      </c>
      <c r="G617">
        <v>3</v>
      </c>
      <c r="H617">
        <f>MAX(-1,3-Tableau1[[#This Row],[Possédé (physique)]])</f>
        <v>0</v>
      </c>
      <c r="I617" t="str">
        <f>IF(Tableau1[[#This Row],[Manque (physique)]]&gt;Tableau1[[#This Row],[Manque (digital)]],"POD",IF(Tableau1[[#This Row],[Manque (digital)]]&gt;Tableau1[[#This Row],[Manque (physique)]],"MarketPlace",""))</f>
        <v/>
      </c>
      <c r="J617" t="s">
        <v>17</v>
      </c>
      <c r="K617" t="s">
        <v>153</v>
      </c>
      <c r="L617" t="s">
        <v>23</v>
      </c>
      <c r="M617" t="s">
        <v>23</v>
      </c>
      <c r="Q617" t="s">
        <v>209</v>
      </c>
    </row>
    <row r="618" spans="1:17" hidden="1" x14ac:dyDescent="0.25">
      <c r="A618" t="s">
        <v>214</v>
      </c>
      <c r="B618" t="s">
        <v>22</v>
      </c>
      <c r="C618" t="s">
        <v>28</v>
      </c>
      <c r="D618" t="s">
        <v>16</v>
      </c>
      <c r="E618">
        <v>3</v>
      </c>
      <c r="F618">
        <f>MAX(-1,3-Tableau1[[#This Row],[Nb possédé (digital)]])</f>
        <v>0</v>
      </c>
      <c r="G618">
        <v>3</v>
      </c>
      <c r="H618">
        <f>MAX(-1,3-Tableau1[[#This Row],[Possédé (physique)]])</f>
        <v>0</v>
      </c>
      <c r="I618" t="str">
        <f>IF(Tableau1[[#This Row],[Manque (physique)]]&gt;Tableau1[[#This Row],[Manque (digital)]],"POD",IF(Tableau1[[#This Row],[Manque (digital)]]&gt;Tableau1[[#This Row],[Manque (physique)]],"MarketPlace",""))</f>
        <v/>
      </c>
      <c r="J618" t="s">
        <v>30</v>
      </c>
      <c r="K618" t="s">
        <v>42</v>
      </c>
      <c r="L618" t="s">
        <v>23</v>
      </c>
      <c r="M618" t="s">
        <v>23</v>
      </c>
      <c r="N618" t="s">
        <v>19</v>
      </c>
      <c r="O618" t="s">
        <v>52</v>
      </c>
      <c r="P618" t="s">
        <v>19</v>
      </c>
      <c r="Q618" t="s">
        <v>215</v>
      </c>
    </row>
    <row r="619" spans="1:17" hidden="1" x14ac:dyDescent="0.25">
      <c r="A619" t="s">
        <v>255</v>
      </c>
      <c r="B619" t="s">
        <v>22</v>
      </c>
      <c r="C619" t="s">
        <v>28</v>
      </c>
      <c r="D619" t="s">
        <v>16</v>
      </c>
      <c r="E619">
        <v>3</v>
      </c>
      <c r="F619">
        <f>MAX(-1,3-Tableau1[[#This Row],[Nb possédé (digital)]])</f>
        <v>0</v>
      </c>
      <c r="G619">
        <v>3</v>
      </c>
      <c r="H619">
        <f>MAX(-1,3-Tableau1[[#This Row],[Possédé (physique)]])</f>
        <v>0</v>
      </c>
      <c r="I619" t="str">
        <f>IF(Tableau1[[#This Row],[Manque (physique)]]&gt;Tableau1[[#This Row],[Manque (digital)]],"POD",IF(Tableau1[[#This Row],[Manque (digital)]]&gt;Tableau1[[#This Row],[Manque (physique)]],"MarketPlace",""))</f>
        <v/>
      </c>
      <c r="J619" t="s">
        <v>30</v>
      </c>
      <c r="K619" t="s">
        <v>171</v>
      </c>
      <c r="L619" t="s">
        <v>23</v>
      </c>
      <c r="M619" t="s">
        <v>23</v>
      </c>
      <c r="N619" t="s">
        <v>52</v>
      </c>
      <c r="O619" t="s">
        <v>89</v>
      </c>
      <c r="P619" t="s">
        <v>52</v>
      </c>
      <c r="Q619" t="s">
        <v>256</v>
      </c>
    </row>
    <row r="620" spans="1:17" hidden="1" x14ac:dyDescent="0.25">
      <c r="A620" t="s">
        <v>457</v>
      </c>
      <c r="B620" t="s">
        <v>22</v>
      </c>
      <c r="C620" t="s">
        <v>28</v>
      </c>
      <c r="D620" t="s">
        <v>16</v>
      </c>
      <c r="E620">
        <v>3</v>
      </c>
      <c r="F620">
        <f>MAX(-1,3-Tableau1[[#This Row],[Nb possédé (digital)]])</f>
        <v>0</v>
      </c>
      <c r="G620">
        <v>3</v>
      </c>
      <c r="H620">
        <f>MAX(-1,3-Tableau1[[#This Row],[Possédé (physique)]])</f>
        <v>0</v>
      </c>
      <c r="I620" t="str">
        <f>IF(Tableau1[[#This Row],[Manque (physique)]]&gt;Tableau1[[#This Row],[Manque (digital)]],"POD",IF(Tableau1[[#This Row],[Manque (digital)]]&gt;Tableau1[[#This Row],[Manque (physique)]],"MarketPlace",""))</f>
        <v/>
      </c>
      <c r="J620" t="s">
        <v>30</v>
      </c>
      <c r="K620" t="s">
        <v>72</v>
      </c>
      <c r="L620" t="s">
        <v>23</v>
      </c>
      <c r="M620" t="s">
        <v>23</v>
      </c>
      <c r="N620" t="s">
        <v>37</v>
      </c>
      <c r="O620" t="s">
        <v>37</v>
      </c>
      <c r="P620" t="s">
        <v>23</v>
      </c>
      <c r="Q620" t="s">
        <v>458</v>
      </c>
    </row>
    <row r="621" spans="1:17" hidden="1" x14ac:dyDescent="0.25">
      <c r="A621" t="s">
        <v>630</v>
      </c>
      <c r="B621" t="s">
        <v>22</v>
      </c>
      <c r="C621" t="s">
        <v>28</v>
      </c>
      <c r="D621" t="s">
        <v>16</v>
      </c>
      <c r="E621">
        <v>3</v>
      </c>
      <c r="F621">
        <f>MAX(-1,3-Tableau1[[#This Row],[Nb possédé (digital)]])</f>
        <v>0</v>
      </c>
      <c r="G621">
        <v>3</v>
      </c>
      <c r="H621">
        <f>MAX(-1,3-Tableau1[[#This Row],[Possédé (physique)]])</f>
        <v>0</v>
      </c>
      <c r="I621" t="str">
        <f>IF(Tableau1[[#This Row],[Manque (physique)]]&gt;Tableau1[[#This Row],[Manque (digital)]],"POD",IF(Tableau1[[#This Row],[Manque (digital)]]&gt;Tableau1[[#This Row],[Manque (physique)]],"MarketPlace",""))</f>
        <v/>
      </c>
      <c r="J621" t="s">
        <v>217</v>
      </c>
      <c r="K621" t="s">
        <v>218</v>
      </c>
      <c r="L621" t="s">
        <v>23</v>
      </c>
      <c r="M621" t="s">
        <v>23</v>
      </c>
      <c r="Q621" t="s">
        <v>632</v>
      </c>
    </row>
    <row r="622" spans="1:17" hidden="1" x14ac:dyDescent="0.25">
      <c r="A622" t="s">
        <v>982</v>
      </c>
      <c r="B622" t="s">
        <v>22</v>
      </c>
      <c r="C622" t="s">
        <v>28</v>
      </c>
      <c r="D622" t="s">
        <v>16</v>
      </c>
      <c r="E622">
        <v>3</v>
      </c>
      <c r="F622">
        <f>MAX(-1,3-Tableau1[[#This Row],[Nb possédé (digital)]])</f>
        <v>0</v>
      </c>
      <c r="G622">
        <v>3</v>
      </c>
      <c r="H622">
        <f>MAX(-1,3-Tableau1[[#This Row],[Possédé (physique)]])</f>
        <v>0</v>
      </c>
      <c r="I622" t="str">
        <f>IF(Tableau1[[#This Row],[Manque (physique)]]&gt;Tableau1[[#This Row],[Manque (digital)]],"POD",IF(Tableau1[[#This Row],[Manque (digital)]]&gt;Tableau1[[#This Row],[Manque (physique)]],"MarketPlace",""))</f>
        <v/>
      </c>
      <c r="J622" t="s">
        <v>17</v>
      </c>
      <c r="K622" t="s">
        <v>153</v>
      </c>
      <c r="L622" t="s">
        <v>23</v>
      </c>
      <c r="M622" t="s">
        <v>23</v>
      </c>
      <c r="Q622" t="s">
        <v>983</v>
      </c>
    </row>
    <row r="623" spans="1:17" hidden="1" x14ac:dyDescent="0.25">
      <c r="A623" t="s">
        <v>1091</v>
      </c>
      <c r="B623" t="s">
        <v>22</v>
      </c>
      <c r="C623" t="s">
        <v>28</v>
      </c>
      <c r="D623" t="s">
        <v>16</v>
      </c>
      <c r="E623">
        <v>3</v>
      </c>
      <c r="F623">
        <f>MAX(-1,3-Tableau1[[#This Row],[Nb possédé (digital)]])</f>
        <v>0</v>
      </c>
      <c r="G623">
        <v>3</v>
      </c>
      <c r="H623">
        <f>MAX(-1,3-Tableau1[[#This Row],[Possédé (physique)]])</f>
        <v>0</v>
      </c>
      <c r="I623" t="str">
        <f>IF(Tableau1[[#This Row],[Manque (physique)]]&gt;Tableau1[[#This Row],[Manque (digital)]],"POD",IF(Tableau1[[#This Row],[Manque (digital)]]&gt;Tableau1[[#This Row],[Manque (physique)]],"MarketPlace",""))</f>
        <v/>
      </c>
      <c r="J623" t="s">
        <v>30</v>
      </c>
      <c r="K623" t="s">
        <v>42</v>
      </c>
      <c r="L623" t="s">
        <v>23</v>
      </c>
      <c r="M623" t="s">
        <v>23</v>
      </c>
      <c r="N623" t="s">
        <v>23</v>
      </c>
      <c r="O623" t="s">
        <v>23</v>
      </c>
      <c r="P623" t="s">
        <v>23</v>
      </c>
      <c r="Q623" t="s">
        <v>1093</v>
      </c>
    </row>
    <row r="624" spans="1:17" hidden="1" x14ac:dyDescent="0.25">
      <c r="A624" t="s">
        <v>1114</v>
      </c>
      <c r="B624" t="s">
        <v>22</v>
      </c>
      <c r="C624" t="s">
        <v>28</v>
      </c>
      <c r="D624" t="s">
        <v>16</v>
      </c>
      <c r="E624">
        <v>3</v>
      </c>
      <c r="F624">
        <f>MAX(-1,3-Tableau1[[#This Row],[Nb possédé (digital)]])</f>
        <v>0</v>
      </c>
      <c r="G624">
        <v>3</v>
      </c>
      <c r="H624">
        <f>MAX(-1,3-Tableau1[[#This Row],[Possédé (physique)]])</f>
        <v>0</v>
      </c>
      <c r="I624" t="str">
        <f>IF(Tableau1[[#This Row],[Manque (physique)]]&gt;Tableau1[[#This Row],[Manque (digital)]],"POD",IF(Tableau1[[#This Row],[Manque (digital)]]&gt;Tableau1[[#This Row],[Manque (physique)]],"MarketPlace",""))</f>
        <v/>
      </c>
      <c r="J624" t="s">
        <v>30</v>
      </c>
      <c r="K624" t="s">
        <v>36</v>
      </c>
      <c r="L624" t="s">
        <v>23</v>
      </c>
      <c r="M624" t="s">
        <v>23</v>
      </c>
      <c r="N624" t="s">
        <v>19</v>
      </c>
      <c r="O624" t="s">
        <v>19</v>
      </c>
      <c r="P624" t="s">
        <v>19</v>
      </c>
      <c r="Q624" t="s">
        <v>1116</v>
      </c>
    </row>
    <row r="625" spans="1:17" hidden="1" x14ac:dyDescent="0.25">
      <c r="A625" t="s">
        <v>162</v>
      </c>
      <c r="B625" t="s">
        <v>22</v>
      </c>
      <c r="C625" t="s">
        <v>28</v>
      </c>
      <c r="D625" t="s">
        <v>16</v>
      </c>
      <c r="E625">
        <v>3</v>
      </c>
      <c r="F625">
        <f>MAX(-1,3-Tableau1[[#This Row],[Nb possédé (digital)]])</f>
        <v>0</v>
      </c>
      <c r="G625">
        <v>3</v>
      </c>
      <c r="H625">
        <f>MAX(-1,3-Tableau1[[#This Row],[Possédé (physique)]])</f>
        <v>0</v>
      </c>
      <c r="I625" t="str">
        <f>IF(Tableau1[[#This Row],[Manque (physique)]]&gt;Tableau1[[#This Row],[Manque (digital)]],"POD",IF(Tableau1[[#This Row],[Manque (digital)]]&gt;Tableau1[[#This Row],[Manque (physique)]],"MarketPlace",""))</f>
        <v/>
      </c>
      <c r="J625" t="s">
        <v>30</v>
      </c>
      <c r="K625" t="s">
        <v>103</v>
      </c>
      <c r="L625" t="s">
        <v>52</v>
      </c>
      <c r="M625" t="s">
        <v>19</v>
      </c>
      <c r="N625" t="s">
        <v>19</v>
      </c>
      <c r="O625" t="s">
        <v>19</v>
      </c>
      <c r="P625" t="s">
        <v>19</v>
      </c>
      <c r="Q625" t="s">
        <v>163</v>
      </c>
    </row>
    <row r="626" spans="1:17" hidden="1" x14ac:dyDescent="0.25">
      <c r="A626" t="s">
        <v>344</v>
      </c>
      <c r="B626" t="s">
        <v>22</v>
      </c>
      <c r="C626" t="s">
        <v>28</v>
      </c>
      <c r="D626" t="s">
        <v>16</v>
      </c>
      <c r="E626">
        <v>3</v>
      </c>
      <c r="F626">
        <f>MAX(-1,3-Tableau1[[#This Row],[Nb possédé (digital)]])</f>
        <v>0</v>
      </c>
      <c r="G626">
        <v>3</v>
      </c>
      <c r="H626">
        <f>MAX(-1,3-Tableau1[[#This Row],[Possédé (physique)]])</f>
        <v>0</v>
      </c>
      <c r="I626" t="str">
        <f>IF(Tableau1[[#This Row],[Manque (physique)]]&gt;Tableau1[[#This Row],[Manque (digital)]],"POD",IF(Tableau1[[#This Row],[Manque (digital)]]&gt;Tableau1[[#This Row],[Manque (physique)]],"MarketPlace",""))</f>
        <v/>
      </c>
      <c r="J626" t="s">
        <v>30</v>
      </c>
      <c r="K626" t="s">
        <v>42</v>
      </c>
      <c r="L626" t="s">
        <v>52</v>
      </c>
      <c r="M626" t="s">
        <v>19</v>
      </c>
      <c r="N626" t="s">
        <v>23</v>
      </c>
      <c r="O626" t="s">
        <v>23</v>
      </c>
      <c r="P626" t="s">
        <v>23</v>
      </c>
      <c r="Q626" t="s">
        <v>345</v>
      </c>
    </row>
    <row r="627" spans="1:17" hidden="1" x14ac:dyDescent="0.25">
      <c r="A627" t="s">
        <v>304</v>
      </c>
      <c r="B627" t="s">
        <v>22</v>
      </c>
      <c r="C627" t="s">
        <v>28</v>
      </c>
      <c r="D627" t="s">
        <v>16</v>
      </c>
      <c r="E627">
        <v>3</v>
      </c>
      <c r="F627">
        <f>MAX(-1,3-Tableau1[[#This Row],[Nb possédé (digital)]])</f>
        <v>0</v>
      </c>
      <c r="G627">
        <v>3</v>
      </c>
      <c r="H627">
        <f>MAX(-1,3-Tableau1[[#This Row],[Possédé (physique)]])</f>
        <v>0</v>
      </c>
      <c r="I627" t="str">
        <f>IF(Tableau1[[#This Row],[Manque (physique)]]&gt;Tableau1[[#This Row],[Manque (digital)]],"POD",IF(Tableau1[[#This Row],[Manque (digital)]]&gt;Tableau1[[#This Row],[Manque (physique)]],"MarketPlace",""))</f>
        <v/>
      </c>
      <c r="J627" t="s">
        <v>30</v>
      </c>
      <c r="K627" t="s">
        <v>68</v>
      </c>
      <c r="L627" t="s">
        <v>52</v>
      </c>
      <c r="M627" t="s">
        <v>52</v>
      </c>
      <c r="N627" t="s">
        <v>89</v>
      </c>
      <c r="O627" t="s">
        <v>37</v>
      </c>
      <c r="P627" t="s">
        <v>37</v>
      </c>
      <c r="Q627" t="s">
        <v>306</v>
      </c>
    </row>
    <row r="628" spans="1:17" x14ac:dyDescent="0.25">
      <c r="A628" t="s">
        <v>372</v>
      </c>
      <c r="B628" t="s">
        <v>22</v>
      </c>
      <c r="C628" t="s">
        <v>28</v>
      </c>
      <c r="D628" t="s">
        <v>16</v>
      </c>
      <c r="E628">
        <v>4</v>
      </c>
      <c r="F628">
        <f>MAX(-1,3-Tableau1[[#This Row],[Nb possédé (digital)]])</f>
        <v>-1</v>
      </c>
      <c r="G628">
        <v>4</v>
      </c>
      <c r="H628">
        <f>MAX(-1,3-Tableau1[[#This Row],[Possédé (physique)]])</f>
        <v>-1</v>
      </c>
      <c r="I628" t="str">
        <f>IF(Tableau1[[#This Row],[Manque (physique)]]&gt;Tableau1[[#This Row],[Manque (digital)]],"POD",IF(Tableau1[[#This Row],[Manque (digital)]]&gt;Tableau1[[#This Row],[Manque (physique)]],"MarketPlace",""))</f>
        <v/>
      </c>
      <c r="J628" t="s">
        <v>17</v>
      </c>
      <c r="K628" t="s">
        <v>153</v>
      </c>
      <c r="L628" t="s">
        <v>52</v>
      </c>
      <c r="M628" t="s">
        <v>52</v>
      </c>
      <c r="Q628" t="s">
        <v>374</v>
      </c>
    </row>
    <row r="629" spans="1:17" hidden="1" x14ac:dyDescent="0.25">
      <c r="A629" t="s">
        <v>524</v>
      </c>
      <c r="B629" t="s">
        <v>22</v>
      </c>
      <c r="C629" t="s">
        <v>28</v>
      </c>
      <c r="D629" t="s">
        <v>16</v>
      </c>
      <c r="E629">
        <v>3</v>
      </c>
      <c r="F629">
        <f>MAX(-1,3-Tableau1[[#This Row],[Nb possédé (digital)]])</f>
        <v>0</v>
      </c>
      <c r="G629">
        <v>3</v>
      </c>
      <c r="H629">
        <f>MAX(-1,3-Tableau1[[#This Row],[Possédé (physique)]])</f>
        <v>0</v>
      </c>
      <c r="I629" t="str">
        <f>IF(Tableau1[[#This Row],[Manque (physique)]]&gt;Tableau1[[#This Row],[Manque (digital)]],"POD",IF(Tableau1[[#This Row],[Manque (digital)]]&gt;Tableau1[[#This Row],[Manque (physique)]],"MarketPlace",""))</f>
        <v/>
      </c>
      <c r="J629" t="s">
        <v>217</v>
      </c>
      <c r="K629" t="s">
        <v>218</v>
      </c>
      <c r="L629" t="s">
        <v>52</v>
      </c>
      <c r="M629" t="s">
        <v>52</v>
      </c>
      <c r="Q629" t="s">
        <v>525</v>
      </c>
    </row>
    <row r="630" spans="1:17" hidden="1" x14ac:dyDescent="0.25">
      <c r="A630" t="s">
        <v>639</v>
      </c>
      <c r="B630" t="s">
        <v>22</v>
      </c>
      <c r="C630" t="s">
        <v>28</v>
      </c>
      <c r="D630" t="s">
        <v>16</v>
      </c>
      <c r="E630">
        <v>3</v>
      </c>
      <c r="F630">
        <f>MAX(-1,3-Tableau1[[#This Row],[Nb possédé (digital)]])</f>
        <v>0</v>
      </c>
      <c r="G630">
        <v>3</v>
      </c>
      <c r="H630">
        <f>MAX(-1,3-Tableau1[[#This Row],[Possédé (physique)]])</f>
        <v>0</v>
      </c>
      <c r="I630" t="str">
        <f>IF(Tableau1[[#This Row],[Manque (physique)]]&gt;Tableau1[[#This Row],[Manque (digital)]],"POD",IF(Tableau1[[#This Row],[Manque (digital)]]&gt;Tableau1[[#This Row],[Manque (physique)]],"MarketPlace",""))</f>
        <v/>
      </c>
      <c r="J630" t="s">
        <v>217</v>
      </c>
      <c r="K630" t="s">
        <v>218</v>
      </c>
      <c r="L630" t="s">
        <v>52</v>
      </c>
      <c r="M630" t="s">
        <v>52</v>
      </c>
      <c r="Q630" t="s">
        <v>641</v>
      </c>
    </row>
    <row r="631" spans="1:17" hidden="1" x14ac:dyDescent="0.25">
      <c r="A631" t="s">
        <v>931</v>
      </c>
      <c r="B631" t="s">
        <v>22</v>
      </c>
      <c r="C631" t="s">
        <v>28</v>
      </c>
      <c r="D631" t="s">
        <v>16</v>
      </c>
      <c r="E631">
        <v>3</v>
      </c>
      <c r="F631">
        <f>MAX(-1,3-Tableau1[[#This Row],[Nb possédé (digital)]])</f>
        <v>0</v>
      </c>
      <c r="G631">
        <v>3</v>
      </c>
      <c r="H631">
        <f>MAX(-1,3-Tableau1[[#This Row],[Possédé (physique)]])</f>
        <v>0</v>
      </c>
      <c r="I631" t="str">
        <f>IF(Tableau1[[#This Row],[Manque (physique)]]&gt;Tableau1[[#This Row],[Manque (digital)]],"POD",IF(Tableau1[[#This Row],[Manque (digital)]]&gt;Tableau1[[#This Row],[Manque (physique)]],"MarketPlace",""))</f>
        <v/>
      </c>
      <c r="J631" t="s">
        <v>217</v>
      </c>
      <c r="K631" t="s">
        <v>218</v>
      </c>
      <c r="L631" t="s">
        <v>52</v>
      </c>
      <c r="M631" t="s">
        <v>52</v>
      </c>
      <c r="Q631" t="s">
        <v>932</v>
      </c>
    </row>
    <row r="632" spans="1:17" hidden="1" x14ac:dyDescent="0.25">
      <c r="A632" t="s">
        <v>841</v>
      </c>
      <c r="B632" t="s">
        <v>22</v>
      </c>
      <c r="C632" t="s">
        <v>28</v>
      </c>
      <c r="D632" t="s">
        <v>16</v>
      </c>
      <c r="E632">
        <v>3</v>
      </c>
      <c r="F632">
        <f>MAX(-1,3-Tableau1[[#This Row],[Nb possédé (digital)]])</f>
        <v>0</v>
      </c>
      <c r="G632">
        <v>3</v>
      </c>
      <c r="H632">
        <f>MAX(-1,3-Tableau1[[#This Row],[Possédé (physique)]])</f>
        <v>0</v>
      </c>
      <c r="I632" t="str">
        <f>IF(Tableau1[[#This Row],[Manque (physique)]]&gt;Tableau1[[#This Row],[Manque (digital)]],"POD",IF(Tableau1[[#This Row],[Manque (digital)]]&gt;Tableau1[[#This Row],[Manque (physique)]],"MarketPlace",""))</f>
        <v/>
      </c>
      <c r="J632" t="s">
        <v>17</v>
      </c>
      <c r="K632" t="s">
        <v>201</v>
      </c>
      <c r="L632" t="s">
        <v>52</v>
      </c>
      <c r="M632" t="s">
        <v>37</v>
      </c>
      <c r="Q632" t="s">
        <v>843</v>
      </c>
    </row>
    <row r="633" spans="1:17" hidden="1" x14ac:dyDescent="0.25">
      <c r="A633" t="s">
        <v>136</v>
      </c>
      <c r="B633" t="s">
        <v>22</v>
      </c>
      <c r="C633" t="s">
        <v>28</v>
      </c>
      <c r="D633" t="s">
        <v>16</v>
      </c>
      <c r="E633">
        <v>3</v>
      </c>
      <c r="F633">
        <f>MAX(-1,3-Tableau1[[#This Row],[Nb possédé (digital)]])</f>
        <v>0</v>
      </c>
      <c r="G633">
        <v>3</v>
      </c>
      <c r="H633">
        <f>MAX(-1,3-Tableau1[[#This Row],[Possédé (physique)]])</f>
        <v>0</v>
      </c>
      <c r="I633" t="str">
        <f>IF(Tableau1[[#This Row],[Manque (physique)]]&gt;Tableau1[[#This Row],[Manque (digital)]],"POD",IF(Tableau1[[#This Row],[Manque (digital)]]&gt;Tableau1[[#This Row],[Manque (physique)]],"MarketPlace",""))</f>
        <v/>
      </c>
      <c r="J633" t="s">
        <v>30</v>
      </c>
      <c r="K633" t="s">
        <v>51</v>
      </c>
      <c r="L633" t="s">
        <v>37</v>
      </c>
      <c r="M633" t="s">
        <v>23</v>
      </c>
      <c r="N633" t="s">
        <v>23</v>
      </c>
      <c r="O633" t="s">
        <v>52</v>
      </c>
      <c r="P633" t="s">
        <v>52</v>
      </c>
      <c r="Q633" t="s">
        <v>138</v>
      </c>
    </row>
    <row r="634" spans="1:17" hidden="1" x14ac:dyDescent="0.25">
      <c r="A634" t="s">
        <v>75</v>
      </c>
      <c r="B634" t="s">
        <v>22</v>
      </c>
      <c r="C634" t="s">
        <v>28</v>
      </c>
      <c r="D634" t="s">
        <v>16</v>
      </c>
      <c r="E634">
        <v>3</v>
      </c>
      <c r="F634">
        <f>MAX(-1,3-Tableau1[[#This Row],[Nb possédé (digital)]])</f>
        <v>0</v>
      </c>
      <c r="G634">
        <v>3</v>
      </c>
      <c r="H634">
        <f>MAX(-1,3-Tableau1[[#This Row],[Possédé (physique)]])</f>
        <v>0</v>
      </c>
      <c r="I634" t="str">
        <f>IF(Tableau1[[#This Row],[Manque (physique)]]&gt;Tableau1[[#This Row],[Manque (digital)]],"POD",IF(Tableau1[[#This Row],[Manque (digital)]]&gt;Tableau1[[#This Row],[Manque (physique)]],"MarketPlace",""))</f>
        <v/>
      </c>
      <c r="J634" t="s">
        <v>30</v>
      </c>
      <c r="K634" t="s">
        <v>63</v>
      </c>
      <c r="L634" t="s">
        <v>37</v>
      </c>
      <c r="M634" t="s">
        <v>37</v>
      </c>
      <c r="N634" t="s">
        <v>37</v>
      </c>
      <c r="O634" t="s">
        <v>37</v>
      </c>
      <c r="P634" t="s">
        <v>37</v>
      </c>
      <c r="Q634" t="s">
        <v>76</v>
      </c>
    </row>
    <row r="635" spans="1:17" hidden="1" x14ac:dyDescent="0.25">
      <c r="A635" t="s">
        <v>477</v>
      </c>
      <c r="B635" t="s">
        <v>22</v>
      </c>
      <c r="C635" t="s">
        <v>28</v>
      </c>
      <c r="D635" t="s">
        <v>16</v>
      </c>
      <c r="E635">
        <v>3</v>
      </c>
      <c r="F635">
        <f>MAX(-1,3-Tableau1[[#This Row],[Nb possédé (digital)]])</f>
        <v>0</v>
      </c>
      <c r="G635">
        <v>3</v>
      </c>
      <c r="H635">
        <f>MAX(-1,3-Tableau1[[#This Row],[Possédé (physique)]])</f>
        <v>0</v>
      </c>
      <c r="I635" t="str">
        <f>IF(Tableau1[[#This Row],[Manque (physique)]]&gt;Tableau1[[#This Row],[Manque (digital)]],"POD",IF(Tableau1[[#This Row],[Manque (digital)]]&gt;Tableau1[[#This Row],[Manque (physique)]],"MarketPlace",""))</f>
        <v/>
      </c>
      <c r="J635" t="s">
        <v>17</v>
      </c>
      <c r="K635" t="s">
        <v>153</v>
      </c>
      <c r="L635" t="s">
        <v>37</v>
      </c>
      <c r="M635" t="s">
        <v>37</v>
      </c>
      <c r="Q635" t="s">
        <v>479</v>
      </c>
    </row>
    <row r="636" spans="1:17" hidden="1" x14ac:dyDescent="0.25">
      <c r="A636" t="s">
        <v>592</v>
      </c>
      <c r="B636" t="s">
        <v>22</v>
      </c>
      <c r="C636" t="s">
        <v>28</v>
      </c>
      <c r="D636" t="s">
        <v>16</v>
      </c>
      <c r="E636">
        <v>3</v>
      </c>
      <c r="F636">
        <f>MAX(-1,3-Tableau1[[#This Row],[Nb possédé (digital)]])</f>
        <v>0</v>
      </c>
      <c r="G636">
        <v>3</v>
      </c>
      <c r="H636">
        <f>MAX(-1,3-Tableau1[[#This Row],[Possédé (physique)]])</f>
        <v>0</v>
      </c>
      <c r="I636" t="str">
        <f>IF(Tableau1[[#This Row],[Manque (physique)]]&gt;Tableau1[[#This Row],[Manque (digital)]],"POD",IF(Tableau1[[#This Row],[Manque (digital)]]&gt;Tableau1[[#This Row],[Manque (physique)]],"MarketPlace",""))</f>
        <v/>
      </c>
      <c r="J636" t="s">
        <v>30</v>
      </c>
      <c r="K636" t="s">
        <v>36</v>
      </c>
      <c r="L636" t="s">
        <v>37</v>
      </c>
      <c r="M636" t="s">
        <v>37</v>
      </c>
      <c r="N636" t="s">
        <v>23</v>
      </c>
      <c r="O636" t="s">
        <v>23</v>
      </c>
      <c r="P636" t="s">
        <v>23</v>
      </c>
      <c r="Q636" t="s">
        <v>594</v>
      </c>
    </row>
    <row r="637" spans="1:17" hidden="1" x14ac:dyDescent="0.25">
      <c r="A637" t="s">
        <v>486</v>
      </c>
      <c r="B637" t="s">
        <v>22</v>
      </c>
      <c r="C637" t="s">
        <v>28</v>
      </c>
      <c r="D637" t="s">
        <v>16</v>
      </c>
      <c r="E637">
        <v>3</v>
      </c>
      <c r="F637">
        <f>MAX(-1,3-Tableau1[[#This Row],[Nb possédé (digital)]])</f>
        <v>0</v>
      </c>
      <c r="G637">
        <v>3</v>
      </c>
      <c r="H637">
        <f>MAX(-1,3-Tableau1[[#This Row],[Possédé (physique)]])</f>
        <v>0</v>
      </c>
      <c r="I637" t="str">
        <f>IF(Tableau1[[#This Row],[Manque (physique)]]&gt;Tableau1[[#This Row],[Manque (digital)]],"POD",IF(Tableau1[[#This Row],[Manque (digital)]]&gt;Tableau1[[#This Row],[Manque (physique)]],"MarketPlace",""))</f>
        <v/>
      </c>
      <c r="J637" t="s">
        <v>30</v>
      </c>
      <c r="K637" t="s">
        <v>51</v>
      </c>
      <c r="L637" t="s">
        <v>39</v>
      </c>
      <c r="M637" t="s">
        <v>39</v>
      </c>
      <c r="N637" t="s">
        <v>52</v>
      </c>
      <c r="O637" t="s">
        <v>52</v>
      </c>
      <c r="P637" t="s">
        <v>52</v>
      </c>
      <c r="Q637" t="s">
        <v>487</v>
      </c>
    </row>
    <row r="638" spans="1:17" hidden="1" x14ac:dyDescent="0.25">
      <c r="A638" t="s">
        <v>961</v>
      </c>
      <c r="B638" t="s">
        <v>22</v>
      </c>
      <c r="C638" t="s">
        <v>28</v>
      </c>
      <c r="D638" t="s">
        <v>16</v>
      </c>
      <c r="E638">
        <v>3</v>
      </c>
      <c r="F638">
        <f>MAX(-1,3-Tableau1[[#This Row],[Nb possédé (digital)]])</f>
        <v>0</v>
      </c>
      <c r="G638">
        <v>3</v>
      </c>
      <c r="H638">
        <f>MAX(-1,3-Tableau1[[#This Row],[Possédé (physique)]])</f>
        <v>0</v>
      </c>
      <c r="I638" t="str">
        <f>IF(Tableau1[[#This Row],[Manque (physique)]]&gt;Tableau1[[#This Row],[Manque (digital)]],"POD",IF(Tableau1[[#This Row],[Manque (digital)]]&gt;Tableau1[[#This Row],[Manque (physique)]],"MarketPlace",""))</f>
        <v/>
      </c>
      <c r="J638" t="s">
        <v>217</v>
      </c>
      <c r="K638" t="s">
        <v>218</v>
      </c>
      <c r="L638" t="s">
        <v>39</v>
      </c>
      <c r="M638" t="s">
        <v>39</v>
      </c>
      <c r="Q638" t="s">
        <v>963</v>
      </c>
    </row>
    <row r="639" spans="1:17" hidden="1" x14ac:dyDescent="0.25">
      <c r="A639" t="s">
        <v>666</v>
      </c>
      <c r="B639" t="s">
        <v>22</v>
      </c>
      <c r="C639" t="s">
        <v>28</v>
      </c>
      <c r="D639" t="s">
        <v>58</v>
      </c>
      <c r="E639">
        <v>3</v>
      </c>
      <c r="F639">
        <f>MAX(-1,3-Tableau1[[#This Row],[Nb possédé (digital)]])</f>
        <v>0</v>
      </c>
      <c r="G639">
        <v>3</v>
      </c>
      <c r="H639">
        <f>MAX(-1,3-Tableau1[[#This Row],[Possédé (physique)]])</f>
        <v>0</v>
      </c>
      <c r="I639" t="str">
        <f>IF(Tableau1[[#This Row],[Manque (physique)]]&gt;Tableau1[[#This Row],[Manque (digital)]],"POD",IF(Tableau1[[#This Row],[Manque (digital)]]&gt;Tableau1[[#This Row],[Manque (physique)]],"MarketPlace",""))</f>
        <v/>
      </c>
      <c r="J639" t="s">
        <v>116</v>
      </c>
      <c r="K639" t="s">
        <v>117</v>
      </c>
      <c r="L639" t="s">
        <v>20</v>
      </c>
      <c r="M639" t="s">
        <v>20</v>
      </c>
      <c r="Q639" t="s">
        <v>668</v>
      </c>
    </row>
    <row r="640" spans="1:17" hidden="1" x14ac:dyDescent="0.25">
      <c r="A640" t="s">
        <v>679</v>
      </c>
      <c r="B640" t="s">
        <v>22</v>
      </c>
      <c r="C640" t="s">
        <v>28</v>
      </c>
      <c r="D640" t="s">
        <v>58</v>
      </c>
      <c r="E640">
        <v>3</v>
      </c>
      <c r="F640">
        <f>MAX(-1,3-Tableau1[[#This Row],[Nb possédé (digital)]])</f>
        <v>0</v>
      </c>
      <c r="G640">
        <v>3</v>
      </c>
      <c r="H640">
        <f>MAX(-1,3-Tableau1[[#This Row],[Possédé (physique)]])</f>
        <v>0</v>
      </c>
      <c r="I640" t="str">
        <f>IF(Tableau1[[#This Row],[Manque (physique)]]&gt;Tableau1[[#This Row],[Manque (digital)]],"POD",IF(Tableau1[[#This Row],[Manque (digital)]]&gt;Tableau1[[#This Row],[Manque (physique)]],"MarketPlace",""))</f>
        <v/>
      </c>
      <c r="J640" t="s">
        <v>30</v>
      </c>
      <c r="K640" t="s">
        <v>79</v>
      </c>
      <c r="L640" t="s">
        <v>20</v>
      </c>
      <c r="M640" t="s">
        <v>20</v>
      </c>
      <c r="N640" t="s">
        <v>20</v>
      </c>
      <c r="O640" t="s">
        <v>89</v>
      </c>
      <c r="P640" t="s">
        <v>20</v>
      </c>
      <c r="Q640" t="s">
        <v>681</v>
      </c>
    </row>
    <row r="641" spans="1:17" hidden="1" x14ac:dyDescent="0.25">
      <c r="A641" t="s">
        <v>748</v>
      </c>
      <c r="B641" t="s">
        <v>22</v>
      </c>
      <c r="C641" t="s">
        <v>28</v>
      </c>
      <c r="D641" t="s">
        <v>58</v>
      </c>
      <c r="E641">
        <v>3</v>
      </c>
      <c r="F641">
        <f>MAX(-1,3-Tableau1[[#This Row],[Nb possédé (digital)]])</f>
        <v>0</v>
      </c>
      <c r="G641">
        <v>3</v>
      </c>
      <c r="H641">
        <f>MAX(-1,3-Tableau1[[#This Row],[Possédé (physique)]])</f>
        <v>0</v>
      </c>
      <c r="I641" t="str">
        <f>IF(Tableau1[[#This Row],[Manque (physique)]]&gt;Tableau1[[#This Row],[Manque (digital)]],"POD",IF(Tableau1[[#This Row],[Manque (digital)]]&gt;Tableau1[[#This Row],[Manque (physique)]],"MarketPlace",""))</f>
        <v/>
      </c>
      <c r="J641" t="s">
        <v>30</v>
      </c>
      <c r="K641" t="s">
        <v>79</v>
      </c>
      <c r="L641" t="s">
        <v>20</v>
      </c>
      <c r="M641" t="s">
        <v>20</v>
      </c>
      <c r="N641" t="s">
        <v>20</v>
      </c>
      <c r="O641" t="s">
        <v>20</v>
      </c>
      <c r="P641" t="s">
        <v>89</v>
      </c>
      <c r="Q641" t="s">
        <v>749</v>
      </c>
    </row>
    <row r="642" spans="1:17" hidden="1" x14ac:dyDescent="0.25">
      <c r="A642" t="s">
        <v>752</v>
      </c>
      <c r="B642" t="s">
        <v>22</v>
      </c>
      <c r="C642" t="s">
        <v>28</v>
      </c>
      <c r="D642" t="s">
        <v>58</v>
      </c>
      <c r="E642">
        <v>3</v>
      </c>
      <c r="F642">
        <f>MAX(-1,3-Tableau1[[#This Row],[Nb possédé (digital)]])</f>
        <v>0</v>
      </c>
      <c r="G642">
        <v>3</v>
      </c>
      <c r="H642">
        <f>MAX(-1,3-Tableau1[[#This Row],[Possédé (physique)]])</f>
        <v>0</v>
      </c>
      <c r="I642" t="str">
        <f>IF(Tableau1[[#This Row],[Manque (physique)]]&gt;Tableau1[[#This Row],[Manque (digital)]],"POD",IF(Tableau1[[#This Row],[Manque (digital)]]&gt;Tableau1[[#This Row],[Manque (physique)]],"MarketPlace",""))</f>
        <v/>
      </c>
      <c r="J642" t="s">
        <v>17</v>
      </c>
      <c r="K642" t="s">
        <v>97</v>
      </c>
      <c r="L642" t="s">
        <v>20</v>
      </c>
      <c r="M642" t="s">
        <v>20</v>
      </c>
      <c r="Q642" t="s">
        <v>754</v>
      </c>
    </row>
    <row r="643" spans="1:17" hidden="1" x14ac:dyDescent="0.25">
      <c r="A643" t="s">
        <v>204</v>
      </c>
      <c r="B643" t="s">
        <v>22</v>
      </c>
      <c r="C643" t="s">
        <v>28</v>
      </c>
      <c r="D643" t="s">
        <v>58</v>
      </c>
      <c r="E643">
        <v>3</v>
      </c>
      <c r="F643">
        <f>MAX(-1,3-Tableau1[[#This Row],[Nb possédé (digital)]])</f>
        <v>0</v>
      </c>
      <c r="G643">
        <v>3</v>
      </c>
      <c r="H643">
        <f>MAX(-1,3-Tableau1[[#This Row],[Possédé (physique)]])</f>
        <v>0</v>
      </c>
      <c r="I643" t="str">
        <f>IF(Tableau1[[#This Row],[Manque (physique)]]&gt;Tableau1[[#This Row],[Manque (digital)]],"POD",IF(Tableau1[[#This Row],[Manque (digital)]]&gt;Tableau1[[#This Row],[Manque (physique)]],"MarketPlace",""))</f>
        <v/>
      </c>
      <c r="J643" t="s">
        <v>116</v>
      </c>
      <c r="K643" t="s">
        <v>117</v>
      </c>
      <c r="L643" t="s">
        <v>20</v>
      </c>
      <c r="M643" t="s">
        <v>19</v>
      </c>
      <c r="Q643" t="s">
        <v>206</v>
      </c>
    </row>
    <row r="644" spans="1:17" hidden="1" x14ac:dyDescent="0.25">
      <c r="A644" t="s">
        <v>645</v>
      </c>
      <c r="B644" t="s">
        <v>22</v>
      </c>
      <c r="C644" t="s">
        <v>28</v>
      </c>
      <c r="D644" t="s">
        <v>58</v>
      </c>
      <c r="E644">
        <v>3</v>
      </c>
      <c r="F644">
        <f>MAX(-1,3-Tableau1[[#This Row],[Nb possédé (digital)]])</f>
        <v>0</v>
      </c>
      <c r="G644">
        <v>3</v>
      </c>
      <c r="H644">
        <f>MAX(-1,3-Tableau1[[#This Row],[Possédé (physique)]])</f>
        <v>0</v>
      </c>
      <c r="I644" t="str">
        <f>IF(Tableau1[[#This Row],[Manque (physique)]]&gt;Tableau1[[#This Row],[Manque (digital)]],"POD",IF(Tableau1[[#This Row],[Manque (digital)]]&gt;Tableau1[[#This Row],[Manque (physique)]],"MarketPlace",""))</f>
        <v/>
      </c>
      <c r="J644" t="s">
        <v>30</v>
      </c>
      <c r="K644" t="s">
        <v>292</v>
      </c>
      <c r="L644" t="s">
        <v>20</v>
      </c>
      <c r="M644" t="s">
        <v>19</v>
      </c>
      <c r="N644" t="s">
        <v>52</v>
      </c>
      <c r="O644" t="s">
        <v>19</v>
      </c>
      <c r="P644" t="s">
        <v>52</v>
      </c>
      <c r="Q644" t="s">
        <v>646</v>
      </c>
    </row>
    <row r="645" spans="1:17" hidden="1" x14ac:dyDescent="0.25">
      <c r="A645" t="s">
        <v>395</v>
      </c>
      <c r="B645" t="s">
        <v>22</v>
      </c>
      <c r="C645" t="s">
        <v>28</v>
      </c>
      <c r="D645" t="s">
        <v>58</v>
      </c>
      <c r="E645">
        <v>3</v>
      </c>
      <c r="F645">
        <f>MAX(-1,3-Tableau1[[#This Row],[Nb possédé (digital)]])</f>
        <v>0</v>
      </c>
      <c r="G645">
        <v>3</v>
      </c>
      <c r="H645">
        <f>MAX(-1,3-Tableau1[[#This Row],[Possédé (physique)]])</f>
        <v>0</v>
      </c>
      <c r="I645" t="str">
        <f>IF(Tableau1[[#This Row],[Manque (physique)]]&gt;Tableau1[[#This Row],[Manque (digital)]],"POD",IF(Tableau1[[#This Row],[Manque (digital)]]&gt;Tableau1[[#This Row],[Manque (physique)]],"MarketPlace",""))</f>
        <v/>
      </c>
      <c r="J645" t="s">
        <v>30</v>
      </c>
      <c r="K645" t="s">
        <v>79</v>
      </c>
      <c r="L645" t="s">
        <v>19</v>
      </c>
      <c r="M645" t="s">
        <v>19</v>
      </c>
      <c r="N645" t="s">
        <v>19</v>
      </c>
      <c r="O645" t="s">
        <v>19</v>
      </c>
      <c r="P645" t="s">
        <v>19</v>
      </c>
      <c r="Q645" t="s">
        <v>396</v>
      </c>
    </row>
    <row r="646" spans="1:17" hidden="1" x14ac:dyDescent="0.25">
      <c r="A646" t="s">
        <v>770</v>
      </c>
      <c r="B646" t="s">
        <v>22</v>
      </c>
      <c r="C646" t="s">
        <v>28</v>
      </c>
      <c r="D646" t="s">
        <v>58</v>
      </c>
      <c r="E646">
        <v>3</v>
      </c>
      <c r="F646">
        <f>MAX(-1,3-Tableau1[[#This Row],[Nb possédé (digital)]])</f>
        <v>0</v>
      </c>
      <c r="G646">
        <v>3</v>
      </c>
      <c r="H646">
        <f>MAX(-1,3-Tableau1[[#This Row],[Possédé (physique)]])</f>
        <v>0</v>
      </c>
      <c r="I646" t="str">
        <f>IF(Tableau1[[#This Row],[Manque (physique)]]&gt;Tableau1[[#This Row],[Manque (digital)]],"POD",IF(Tableau1[[#This Row],[Manque (digital)]]&gt;Tableau1[[#This Row],[Manque (physique)]],"MarketPlace",""))</f>
        <v/>
      </c>
      <c r="J646" t="s">
        <v>30</v>
      </c>
      <c r="K646" t="s">
        <v>79</v>
      </c>
      <c r="L646" t="s">
        <v>19</v>
      </c>
      <c r="M646" t="s">
        <v>19</v>
      </c>
      <c r="N646" t="s">
        <v>19</v>
      </c>
      <c r="O646" t="s">
        <v>89</v>
      </c>
      <c r="P646" t="s">
        <v>23</v>
      </c>
      <c r="Q646" t="s">
        <v>772</v>
      </c>
    </row>
    <row r="647" spans="1:17" x14ac:dyDescent="0.25">
      <c r="A647" t="s">
        <v>1099</v>
      </c>
      <c r="B647" t="s">
        <v>22</v>
      </c>
      <c r="C647" t="s">
        <v>28</v>
      </c>
      <c r="D647" t="s">
        <v>58</v>
      </c>
      <c r="E647">
        <v>4</v>
      </c>
      <c r="F647">
        <f>MAX(-1,3-Tableau1[[#This Row],[Nb possédé (digital)]])</f>
        <v>-1</v>
      </c>
      <c r="G647">
        <v>3</v>
      </c>
      <c r="H647">
        <f>MAX(-1,3-Tableau1[[#This Row],[Possédé (physique)]])</f>
        <v>0</v>
      </c>
      <c r="I647" t="str">
        <f>IF(Tableau1[[#This Row],[Manque (physique)]]&gt;Tableau1[[#This Row],[Manque (digital)]],"POD",IF(Tableau1[[#This Row],[Manque (digital)]]&gt;Tableau1[[#This Row],[Manque (physique)]],"MarketPlace",""))</f>
        <v>POD</v>
      </c>
      <c r="J647" t="s">
        <v>30</v>
      </c>
      <c r="K647" t="s">
        <v>42</v>
      </c>
      <c r="L647" t="s">
        <v>19</v>
      </c>
      <c r="M647" t="s">
        <v>19</v>
      </c>
      <c r="N647" t="s">
        <v>20</v>
      </c>
      <c r="O647" t="s">
        <v>19</v>
      </c>
      <c r="P647" t="s">
        <v>19</v>
      </c>
      <c r="Q647" t="s">
        <v>1101</v>
      </c>
    </row>
    <row r="648" spans="1:17" hidden="1" x14ac:dyDescent="0.25">
      <c r="A648" t="s">
        <v>647</v>
      </c>
      <c r="B648" t="s">
        <v>22</v>
      </c>
      <c r="C648" t="s">
        <v>28</v>
      </c>
      <c r="D648" t="s">
        <v>58</v>
      </c>
      <c r="E648">
        <v>3</v>
      </c>
      <c r="F648">
        <f>MAX(-1,3-Tableau1[[#This Row],[Nb possédé (digital)]])</f>
        <v>0</v>
      </c>
      <c r="G648">
        <v>3</v>
      </c>
      <c r="H648">
        <f>MAX(-1,3-Tableau1[[#This Row],[Possédé (physique)]])</f>
        <v>0</v>
      </c>
      <c r="I648" t="str">
        <f>IF(Tableau1[[#This Row],[Manque (physique)]]&gt;Tableau1[[#This Row],[Manque (digital)]],"POD",IF(Tableau1[[#This Row],[Manque (digital)]]&gt;Tableau1[[#This Row],[Manque (physique)]],"MarketPlace",""))</f>
        <v/>
      </c>
      <c r="J648" t="s">
        <v>30</v>
      </c>
      <c r="K648" t="s">
        <v>68</v>
      </c>
      <c r="L648" t="s">
        <v>19</v>
      </c>
      <c r="M648" t="s">
        <v>23</v>
      </c>
      <c r="N648" t="s">
        <v>23</v>
      </c>
      <c r="O648" t="s">
        <v>19</v>
      </c>
      <c r="P648" t="s">
        <v>89</v>
      </c>
      <c r="Q648" t="s">
        <v>649</v>
      </c>
    </row>
    <row r="649" spans="1:17" hidden="1" x14ac:dyDescent="0.25">
      <c r="A649" t="s">
        <v>1006</v>
      </c>
      <c r="B649" t="s">
        <v>22</v>
      </c>
      <c r="C649" t="s">
        <v>28</v>
      </c>
      <c r="D649" t="s">
        <v>58</v>
      </c>
      <c r="E649">
        <v>3</v>
      </c>
      <c r="F649">
        <f>MAX(-1,3-Tableau1[[#This Row],[Nb possédé (digital)]])</f>
        <v>0</v>
      </c>
      <c r="G649">
        <v>3</v>
      </c>
      <c r="H649">
        <f>MAX(-1,3-Tableau1[[#This Row],[Possédé (physique)]])</f>
        <v>0</v>
      </c>
      <c r="I649" t="str">
        <f>IF(Tableau1[[#This Row],[Manque (physique)]]&gt;Tableau1[[#This Row],[Manque (digital)]],"POD",IF(Tableau1[[#This Row],[Manque (digital)]]&gt;Tableau1[[#This Row],[Manque (physique)]],"MarketPlace",""))</f>
        <v/>
      </c>
      <c r="J649" t="s">
        <v>30</v>
      </c>
      <c r="K649" t="s">
        <v>51</v>
      </c>
      <c r="L649" t="s">
        <v>19</v>
      </c>
      <c r="M649" t="s">
        <v>23</v>
      </c>
      <c r="N649" t="s">
        <v>19</v>
      </c>
      <c r="O649" t="s">
        <v>23</v>
      </c>
      <c r="P649" t="s">
        <v>19</v>
      </c>
      <c r="Q649" t="s">
        <v>1007</v>
      </c>
    </row>
    <row r="650" spans="1:17" hidden="1" x14ac:dyDescent="0.25">
      <c r="A650" t="s">
        <v>1135</v>
      </c>
      <c r="B650" t="s">
        <v>22</v>
      </c>
      <c r="C650" t="s">
        <v>28</v>
      </c>
      <c r="D650" t="s">
        <v>58</v>
      </c>
      <c r="E650">
        <v>3</v>
      </c>
      <c r="F650">
        <f>MAX(-1,3-Tableau1[[#This Row],[Nb possédé (digital)]])</f>
        <v>0</v>
      </c>
      <c r="G650">
        <v>3</v>
      </c>
      <c r="H650">
        <f>MAX(-1,3-Tableau1[[#This Row],[Possédé (physique)]])</f>
        <v>0</v>
      </c>
      <c r="I650" t="str">
        <f>IF(Tableau1[[#This Row],[Manque (physique)]]&gt;Tableau1[[#This Row],[Manque (digital)]],"POD",IF(Tableau1[[#This Row],[Manque (digital)]]&gt;Tableau1[[#This Row],[Manque (physique)]],"MarketPlace",""))</f>
        <v/>
      </c>
      <c r="J650" t="s">
        <v>30</v>
      </c>
      <c r="K650" t="s">
        <v>79</v>
      </c>
      <c r="L650" t="s">
        <v>23</v>
      </c>
      <c r="M650" t="s">
        <v>20</v>
      </c>
      <c r="N650" t="s">
        <v>20</v>
      </c>
      <c r="O650" t="s">
        <v>20</v>
      </c>
      <c r="P650" t="s">
        <v>19</v>
      </c>
      <c r="Q650" t="s">
        <v>763</v>
      </c>
    </row>
    <row r="651" spans="1:17" x14ac:dyDescent="0.25">
      <c r="A651" t="s">
        <v>924</v>
      </c>
      <c r="B651" t="s">
        <v>22</v>
      </c>
      <c r="C651" t="s">
        <v>28</v>
      </c>
      <c r="D651" t="s">
        <v>58</v>
      </c>
      <c r="E651">
        <v>5</v>
      </c>
      <c r="F651">
        <f>MAX(-1,3-Tableau1[[#This Row],[Nb possédé (digital)]])</f>
        <v>-1</v>
      </c>
      <c r="G651">
        <v>3</v>
      </c>
      <c r="H651">
        <f>MAX(-1,3-Tableau1[[#This Row],[Possédé (physique)]])</f>
        <v>0</v>
      </c>
      <c r="I651" t="str">
        <f>IF(Tableau1[[#This Row],[Manque (physique)]]&gt;Tableau1[[#This Row],[Manque (digital)]],"POD",IF(Tableau1[[#This Row],[Manque (digital)]]&gt;Tableau1[[#This Row],[Manque (physique)]],"MarketPlace",""))</f>
        <v>POD</v>
      </c>
      <c r="J651" t="s">
        <v>116</v>
      </c>
      <c r="K651" t="s">
        <v>117</v>
      </c>
      <c r="L651" t="s">
        <v>23</v>
      </c>
      <c r="M651" t="s">
        <v>20</v>
      </c>
      <c r="Q651" t="s">
        <v>926</v>
      </c>
    </row>
    <row r="652" spans="1:17" hidden="1" x14ac:dyDescent="0.25">
      <c r="A652" t="s">
        <v>484</v>
      </c>
      <c r="B652" t="s">
        <v>22</v>
      </c>
      <c r="C652" t="s">
        <v>28</v>
      </c>
      <c r="D652" t="s">
        <v>58</v>
      </c>
      <c r="E652">
        <v>3</v>
      </c>
      <c r="F652">
        <f>MAX(-1,3-Tableau1[[#This Row],[Nb possédé (digital)]])</f>
        <v>0</v>
      </c>
      <c r="G652">
        <v>3</v>
      </c>
      <c r="H652">
        <f>MAX(-1,3-Tableau1[[#This Row],[Possédé (physique)]])</f>
        <v>0</v>
      </c>
      <c r="I652" t="str">
        <f>IF(Tableau1[[#This Row],[Manque (physique)]]&gt;Tableau1[[#This Row],[Manque (digital)]],"POD",IF(Tableau1[[#This Row],[Manque (digital)]]&gt;Tableau1[[#This Row],[Manque (physique)]],"MarketPlace",""))</f>
        <v/>
      </c>
      <c r="J652" t="s">
        <v>268</v>
      </c>
      <c r="K652" t="s">
        <v>269</v>
      </c>
      <c r="L652" t="s">
        <v>23</v>
      </c>
      <c r="M652" t="s">
        <v>19</v>
      </c>
      <c r="Q652" t="s">
        <v>485</v>
      </c>
    </row>
    <row r="653" spans="1:17" hidden="1" x14ac:dyDescent="0.25">
      <c r="A653" t="s">
        <v>878</v>
      </c>
      <c r="B653" t="s">
        <v>22</v>
      </c>
      <c r="C653" t="s">
        <v>28</v>
      </c>
      <c r="D653" t="s">
        <v>58</v>
      </c>
      <c r="E653">
        <v>3</v>
      </c>
      <c r="F653">
        <f>MAX(-1,3-Tableau1[[#This Row],[Nb possédé (digital)]])</f>
        <v>0</v>
      </c>
      <c r="G653">
        <v>3</v>
      </c>
      <c r="H653">
        <f>MAX(-1,3-Tableau1[[#This Row],[Possédé (physique)]])</f>
        <v>0</v>
      </c>
      <c r="I653" t="str">
        <f>IF(Tableau1[[#This Row],[Manque (physique)]]&gt;Tableau1[[#This Row],[Manque (digital)]],"POD",IF(Tableau1[[#This Row],[Manque (digital)]]&gt;Tableau1[[#This Row],[Manque (physique)]],"MarketPlace",""))</f>
        <v/>
      </c>
      <c r="J653" t="s">
        <v>268</v>
      </c>
      <c r="K653" t="s">
        <v>269</v>
      </c>
      <c r="L653" t="s">
        <v>23</v>
      </c>
      <c r="M653" t="s">
        <v>19</v>
      </c>
      <c r="Q653" t="s">
        <v>879</v>
      </c>
    </row>
    <row r="654" spans="1:17" hidden="1" x14ac:dyDescent="0.25">
      <c r="A654" t="s">
        <v>152</v>
      </c>
      <c r="B654" t="s">
        <v>22</v>
      </c>
      <c r="C654" t="s">
        <v>28</v>
      </c>
      <c r="D654" t="s">
        <v>58</v>
      </c>
      <c r="E654">
        <v>3</v>
      </c>
      <c r="F654">
        <f>MAX(-1,3-Tableau1[[#This Row],[Nb possédé (digital)]])</f>
        <v>0</v>
      </c>
      <c r="G654">
        <v>3</v>
      </c>
      <c r="H654">
        <f>MAX(-1,3-Tableau1[[#This Row],[Possédé (physique)]])</f>
        <v>0</v>
      </c>
      <c r="I654" t="str">
        <f>IF(Tableau1[[#This Row],[Manque (physique)]]&gt;Tableau1[[#This Row],[Manque (digital)]],"POD",IF(Tableau1[[#This Row],[Manque (digital)]]&gt;Tableau1[[#This Row],[Manque (physique)]],"MarketPlace",""))</f>
        <v/>
      </c>
      <c r="J654" t="s">
        <v>17</v>
      </c>
      <c r="K654" t="s">
        <v>153</v>
      </c>
      <c r="L654" t="s">
        <v>23</v>
      </c>
      <c r="M654" t="s">
        <v>23</v>
      </c>
      <c r="Q654" t="s">
        <v>155</v>
      </c>
    </row>
    <row r="655" spans="1:17" hidden="1" x14ac:dyDescent="0.25">
      <c r="A655" t="s">
        <v>267</v>
      </c>
      <c r="B655" t="s">
        <v>22</v>
      </c>
      <c r="C655" t="s">
        <v>28</v>
      </c>
      <c r="D655" t="s">
        <v>58</v>
      </c>
      <c r="E655">
        <v>3</v>
      </c>
      <c r="F655">
        <f>MAX(-1,3-Tableau1[[#This Row],[Nb possédé (digital)]])</f>
        <v>0</v>
      </c>
      <c r="G655">
        <v>3</v>
      </c>
      <c r="H655">
        <f>MAX(-1,3-Tableau1[[#This Row],[Possédé (physique)]])</f>
        <v>0</v>
      </c>
      <c r="I655" t="str">
        <f>IF(Tableau1[[#This Row],[Manque (physique)]]&gt;Tableau1[[#This Row],[Manque (digital)]],"POD",IF(Tableau1[[#This Row],[Manque (digital)]]&gt;Tableau1[[#This Row],[Manque (physique)]],"MarketPlace",""))</f>
        <v/>
      </c>
      <c r="J655" t="s">
        <v>268</v>
      </c>
      <c r="K655" t="s">
        <v>269</v>
      </c>
      <c r="L655" t="s">
        <v>23</v>
      </c>
      <c r="M655" t="s">
        <v>23</v>
      </c>
      <c r="Q655" t="s">
        <v>270</v>
      </c>
    </row>
    <row r="656" spans="1:17" hidden="1" x14ac:dyDescent="0.25">
      <c r="A656" t="s">
        <v>764</v>
      </c>
      <c r="B656" t="s">
        <v>22</v>
      </c>
      <c r="C656" t="s">
        <v>28</v>
      </c>
      <c r="D656" t="s">
        <v>58</v>
      </c>
      <c r="E656">
        <v>3</v>
      </c>
      <c r="F656">
        <f>MAX(-1,3-Tableau1[[#This Row],[Nb possédé (digital)]])</f>
        <v>0</v>
      </c>
      <c r="G656">
        <v>3</v>
      </c>
      <c r="H656">
        <f>MAX(-1,3-Tableau1[[#This Row],[Possédé (physique)]])</f>
        <v>0</v>
      </c>
      <c r="I656" t="str">
        <f>IF(Tableau1[[#This Row],[Manque (physique)]]&gt;Tableau1[[#This Row],[Manque (digital)]],"POD",IF(Tableau1[[#This Row],[Manque (digital)]]&gt;Tableau1[[#This Row],[Manque (physique)]],"MarketPlace",""))</f>
        <v/>
      </c>
      <c r="J656" t="s">
        <v>30</v>
      </c>
      <c r="K656" t="s">
        <v>79</v>
      </c>
      <c r="L656" t="s">
        <v>23</v>
      </c>
      <c r="M656" t="s">
        <v>23</v>
      </c>
      <c r="N656" t="s">
        <v>89</v>
      </c>
      <c r="O656" t="s">
        <v>52</v>
      </c>
      <c r="P656" t="s">
        <v>52</v>
      </c>
      <c r="Q656" t="s">
        <v>765</v>
      </c>
    </row>
    <row r="657" spans="1:17" hidden="1" x14ac:dyDescent="0.25">
      <c r="A657" t="s">
        <v>817</v>
      </c>
      <c r="B657" t="s">
        <v>22</v>
      </c>
      <c r="C657" t="s">
        <v>28</v>
      </c>
      <c r="D657" t="s">
        <v>58</v>
      </c>
      <c r="E657">
        <v>3</v>
      </c>
      <c r="F657">
        <f>MAX(-1,3-Tableau1[[#This Row],[Nb possédé (digital)]])</f>
        <v>0</v>
      </c>
      <c r="G657">
        <v>3</v>
      </c>
      <c r="H657">
        <f>MAX(-1,3-Tableau1[[#This Row],[Possédé (physique)]])</f>
        <v>0</v>
      </c>
      <c r="I657" t="str">
        <f>IF(Tableau1[[#This Row],[Manque (physique)]]&gt;Tableau1[[#This Row],[Manque (digital)]],"POD",IF(Tableau1[[#This Row],[Manque (digital)]]&gt;Tableau1[[#This Row],[Manque (physique)]],"MarketPlace",""))</f>
        <v/>
      </c>
      <c r="J657" t="s">
        <v>30</v>
      </c>
      <c r="K657" t="s">
        <v>68</v>
      </c>
      <c r="L657" t="s">
        <v>23</v>
      </c>
      <c r="M657" t="s">
        <v>23</v>
      </c>
      <c r="N657" t="s">
        <v>23</v>
      </c>
      <c r="O657" t="s">
        <v>89</v>
      </c>
      <c r="P657" t="s">
        <v>23</v>
      </c>
      <c r="Q657" t="s">
        <v>818</v>
      </c>
    </row>
    <row r="658" spans="1:17" hidden="1" x14ac:dyDescent="0.25">
      <c r="A658" t="s">
        <v>889</v>
      </c>
      <c r="B658" t="s">
        <v>22</v>
      </c>
      <c r="C658" t="s">
        <v>28</v>
      </c>
      <c r="D658" t="s">
        <v>58</v>
      </c>
      <c r="E658">
        <v>3</v>
      </c>
      <c r="F658">
        <f>MAX(-1,3-Tableau1[[#This Row],[Nb possédé (digital)]])</f>
        <v>0</v>
      </c>
      <c r="G658">
        <v>3</v>
      </c>
      <c r="H658">
        <f>MAX(-1,3-Tableau1[[#This Row],[Possédé (physique)]])</f>
        <v>0</v>
      </c>
      <c r="I658" t="str">
        <f>IF(Tableau1[[#This Row],[Manque (physique)]]&gt;Tableau1[[#This Row],[Manque (digital)]],"POD",IF(Tableau1[[#This Row],[Manque (digital)]]&gt;Tableau1[[#This Row],[Manque (physique)]],"MarketPlace",""))</f>
        <v/>
      </c>
      <c r="J658" t="s">
        <v>30</v>
      </c>
      <c r="K658" t="s">
        <v>83</v>
      </c>
      <c r="L658" t="s">
        <v>23</v>
      </c>
      <c r="M658" t="s">
        <v>23</v>
      </c>
      <c r="N658" t="s">
        <v>19</v>
      </c>
      <c r="O658" t="s">
        <v>23</v>
      </c>
      <c r="P658" t="s">
        <v>19</v>
      </c>
      <c r="Q658" t="s">
        <v>891</v>
      </c>
    </row>
    <row r="659" spans="1:17" hidden="1" x14ac:dyDescent="0.25">
      <c r="A659" t="s">
        <v>987</v>
      </c>
      <c r="B659" t="s">
        <v>22</v>
      </c>
      <c r="C659" t="s">
        <v>28</v>
      </c>
      <c r="D659" t="s">
        <v>58</v>
      </c>
      <c r="E659">
        <v>3</v>
      </c>
      <c r="F659">
        <f>MAX(-1,3-Tableau1[[#This Row],[Nb possédé (digital)]])</f>
        <v>0</v>
      </c>
      <c r="G659">
        <v>3</v>
      </c>
      <c r="H659">
        <f>MAX(-1,3-Tableau1[[#This Row],[Possédé (physique)]])</f>
        <v>0</v>
      </c>
      <c r="I659" t="str">
        <f>IF(Tableau1[[#This Row],[Manque (physique)]]&gt;Tableau1[[#This Row],[Manque (digital)]],"POD",IF(Tableau1[[#This Row],[Manque (digital)]]&gt;Tableau1[[#This Row],[Manque (physique)]],"MarketPlace",""))</f>
        <v/>
      </c>
      <c r="J659" t="s">
        <v>30</v>
      </c>
      <c r="K659" t="s">
        <v>83</v>
      </c>
      <c r="L659" t="s">
        <v>23</v>
      </c>
      <c r="M659" t="s">
        <v>23</v>
      </c>
      <c r="N659" t="s">
        <v>20</v>
      </c>
      <c r="O659" t="s">
        <v>52</v>
      </c>
      <c r="P659" t="s">
        <v>52</v>
      </c>
      <c r="Q659" t="s">
        <v>988</v>
      </c>
    </row>
    <row r="660" spans="1:17" hidden="1" x14ac:dyDescent="0.25">
      <c r="A660" t="s">
        <v>761</v>
      </c>
      <c r="B660" t="s">
        <v>22</v>
      </c>
      <c r="C660" t="s">
        <v>28</v>
      </c>
      <c r="D660" t="s">
        <v>58</v>
      </c>
      <c r="E660">
        <v>3</v>
      </c>
      <c r="F660">
        <f>MAX(-1,3-Tableau1[[#This Row],[Nb possédé (digital)]])</f>
        <v>0</v>
      </c>
      <c r="G660">
        <v>3</v>
      </c>
      <c r="H660">
        <f>MAX(-1,3-Tableau1[[#This Row],[Possédé (physique)]])</f>
        <v>0</v>
      </c>
      <c r="I660" t="str">
        <f>IF(Tableau1[[#This Row],[Manque (physique)]]&gt;Tableau1[[#This Row],[Manque (digital)]],"POD",IF(Tableau1[[#This Row],[Manque (digital)]]&gt;Tableau1[[#This Row],[Manque (physique)]],"MarketPlace",""))</f>
        <v/>
      </c>
      <c r="J660" t="s">
        <v>30</v>
      </c>
      <c r="K660" t="s">
        <v>762</v>
      </c>
      <c r="L660" t="s">
        <v>52</v>
      </c>
      <c r="M660" t="s">
        <v>23</v>
      </c>
      <c r="N660" t="s">
        <v>52</v>
      </c>
      <c r="O660" t="s">
        <v>23</v>
      </c>
      <c r="P660" t="s">
        <v>52</v>
      </c>
      <c r="Q660" t="s">
        <v>763</v>
      </c>
    </row>
    <row r="661" spans="1:17" hidden="1" x14ac:dyDescent="0.25">
      <c r="A661" t="s">
        <v>712</v>
      </c>
      <c r="B661" t="s">
        <v>22</v>
      </c>
      <c r="C661" t="s">
        <v>28</v>
      </c>
      <c r="D661" t="s">
        <v>58</v>
      </c>
      <c r="E661">
        <v>3</v>
      </c>
      <c r="F661">
        <f>MAX(-1,3-Tableau1[[#This Row],[Nb possédé (digital)]])</f>
        <v>0</v>
      </c>
      <c r="G661">
        <v>3</v>
      </c>
      <c r="H661">
        <f>MAX(-1,3-Tableau1[[#This Row],[Possédé (physique)]])</f>
        <v>0</v>
      </c>
      <c r="I661" t="str">
        <f>IF(Tableau1[[#This Row],[Manque (physique)]]&gt;Tableau1[[#This Row],[Manque (digital)]],"POD",IF(Tableau1[[#This Row],[Manque (digital)]]&gt;Tableau1[[#This Row],[Manque (physique)]],"MarketPlace",""))</f>
        <v/>
      </c>
      <c r="J661" t="s">
        <v>268</v>
      </c>
      <c r="K661" t="s">
        <v>269</v>
      </c>
      <c r="L661" t="s">
        <v>52</v>
      </c>
      <c r="M661" t="s">
        <v>52</v>
      </c>
      <c r="Q661" t="s">
        <v>714</v>
      </c>
    </row>
    <row r="662" spans="1:17" hidden="1" x14ac:dyDescent="0.25">
      <c r="A662" t="s">
        <v>912</v>
      </c>
      <c r="B662" t="s">
        <v>22</v>
      </c>
      <c r="C662" t="s">
        <v>28</v>
      </c>
      <c r="D662" t="s">
        <v>58</v>
      </c>
      <c r="E662">
        <v>3</v>
      </c>
      <c r="F662">
        <f>MAX(-1,3-Tableau1[[#This Row],[Nb possédé (digital)]])</f>
        <v>0</v>
      </c>
      <c r="G662">
        <v>3</v>
      </c>
      <c r="H662">
        <f>MAX(-1,3-Tableau1[[#This Row],[Possédé (physique)]])</f>
        <v>0</v>
      </c>
      <c r="I662" t="str">
        <f>IF(Tableau1[[#This Row],[Manque (physique)]]&gt;Tableau1[[#This Row],[Manque (digital)]],"POD",IF(Tableau1[[#This Row],[Manque (digital)]]&gt;Tableau1[[#This Row],[Manque (physique)]],"MarketPlace",""))</f>
        <v/>
      </c>
      <c r="J662" t="s">
        <v>30</v>
      </c>
      <c r="K662" t="s">
        <v>292</v>
      </c>
      <c r="L662" t="s">
        <v>52</v>
      </c>
      <c r="M662" t="s">
        <v>52</v>
      </c>
      <c r="N662" t="s">
        <v>37</v>
      </c>
      <c r="O662" t="s">
        <v>37</v>
      </c>
      <c r="P662" t="s">
        <v>37</v>
      </c>
      <c r="Q662" t="s">
        <v>914</v>
      </c>
    </row>
    <row r="663" spans="1:17" hidden="1" x14ac:dyDescent="0.25">
      <c r="A663" t="s">
        <v>933</v>
      </c>
      <c r="B663" t="s">
        <v>22</v>
      </c>
      <c r="C663" t="s">
        <v>28</v>
      </c>
      <c r="D663" t="s">
        <v>58</v>
      </c>
      <c r="E663">
        <v>3</v>
      </c>
      <c r="F663">
        <f>MAX(-1,3-Tableau1[[#This Row],[Nb possédé (digital)]])</f>
        <v>0</v>
      </c>
      <c r="G663">
        <v>3</v>
      </c>
      <c r="H663">
        <f>MAX(-1,3-Tableau1[[#This Row],[Possédé (physique)]])</f>
        <v>0</v>
      </c>
      <c r="I663" t="str">
        <f>IF(Tableau1[[#This Row],[Manque (physique)]]&gt;Tableau1[[#This Row],[Manque (digital)]],"POD",IF(Tableau1[[#This Row],[Manque (digital)]]&gt;Tableau1[[#This Row],[Manque (physique)]],"MarketPlace",""))</f>
        <v/>
      </c>
      <c r="J663" t="s">
        <v>268</v>
      </c>
      <c r="K663" t="s">
        <v>438</v>
      </c>
      <c r="L663" t="s">
        <v>52</v>
      </c>
      <c r="M663" t="s">
        <v>52</v>
      </c>
      <c r="Q663" t="s">
        <v>935</v>
      </c>
    </row>
    <row r="664" spans="1:17" hidden="1" x14ac:dyDescent="0.25">
      <c r="A664" t="s">
        <v>1121</v>
      </c>
      <c r="B664" t="s">
        <v>22</v>
      </c>
      <c r="C664" t="s">
        <v>28</v>
      </c>
      <c r="D664" t="s">
        <v>58</v>
      </c>
      <c r="E664">
        <v>3</v>
      </c>
      <c r="F664">
        <f>MAX(-1,3-Tableau1[[#This Row],[Nb possédé (digital)]])</f>
        <v>0</v>
      </c>
      <c r="G664">
        <v>3</v>
      </c>
      <c r="H664">
        <f>MAX(-1,3-Tableau1[[#This Row],[Possédé (physique)]])</f>
        <v>0</v>
      </c>
      <c r="I664" t="str">
        <f>IF(Tableau1[[#This Row],[Manque (physique)]]&gt;Tableau1[[#This Row],[Manque (digital)]],"POD",IF(Tableau1[[#This Row],[Manque (digital)]]&gt;Tableau1[[#This Row],[Manque (physique)]],"MarketPlace",""))</f>
        <v/>
      </c>
      <c r="J664" t="s">
        <v>30</v>
      </c>
      <c r="K664" t="s">
        <v>51</v>
      </c>
      <c r="L664" t="s">
        <v>52</v>
      </c>
      <c r="M664" t="s">
        <v>52</v>
      </c>
      <c r="N664" t="s">
        <v>19</v>
      </c>
      <c r="O664" t="s">
        <v>19</v>
      </c>
      <c r="P664" t="s">
        <v>19</v>
      </c>
      <c r="Q664" t="s">
        <v>1122</v>
      </c>
    </row>
    <row r="665" spans="1:17" hidden="1" x14ac:dyDescent="0.25">
      <c r="A665" t="s">
        <v>192</v>
      </c>
      <c r="B665" t="s">
        <v>22</v>
      </c>
      <c r="C665" t="s">
        <v>28</v>
      </c>
      <c r="D665" t="s">
        <v>58</v>
      </c>
      <c r="E665">
        <v>3</v>
      </c>
      <c r="F665">
        <f>MAX(-1,3-Tableau1[[#This Row],[Nb possédé (digital)]])</f>
        <v>0</v>
      </c>
      <c r="G665">
        <v>3</v>
      </c>
      <c r="H665">
        <f>MAX(-1,3-Tableau1[[#This Row],[Possédé (physique)]])</f>
        <v>0</v>
      </c>
      <c r="I665" t="str">
        <f>IF(Tableau1[[#This Row],[Manque (physique)]]&gt;Tableau1[[#This Row],[Manque (digital)]],"POD",IF(Tableau1[[#This Row],[Manque (digital)]]&gt;Tableau1[[#This Row],[Manque (physique)]],"MarketPlace",""))</f>
        <v/>
      </c>
      <c r="J665" t="s">
        <v>17</v>
      </c>
      <c r="K665" t="s">
        <v>153</v>
      </c>
      <c r="L665" t="s">
        <v>37</v>
      </c>
      <c r="M665" t="s">
        <v>37</v>
      </c>
      <c r="Q665" t="s">
        <v>194</v>
      </c>
    </row>
    <row r="666" spans="1:17" hidden="1" x14ac:dyDescent="0.25">
      <c r="A666" t="s">
        <v>503</v>
      </c>
      <c r="B666" t="s">
        <v>22</v>
      </c>
      <c r="C666" t="s">
        <v>28</v>
      </c>
      <c r="D666" t="s">
        <v>58</v>
      </c>
      <c r="E666">
        <v>3</v>
      </c>
      <c r="F666">
        <f>MAX(-1,3-Tableau1[[#This Row],[Nb possédé (digital)]])</f>
        <v>0</v>
      </c>
      <c r="G666">
        <v>3</v>
      </c>
      <c r="H666">
        <f>MAX(-1,3-Tableau1[[#This Row],[Possédé (physique)]])</f>
        <v>0</v>
      </c>
      <c r="I666" t="str">
        <f>IF(Tableau1[[#This Row],[Manque (physique)]]&gt;Tableau1[[#This Row],[Manque (digital)]],"POD",IF(Tableau1[[#This Row],[Manque (digital)]]&gt;Tableau1[[#This Row],[Manque (physique)]],"MarketPlace",""))</f>
        <v/>
      </c>
      <c r="J666" t="s">
        <v>30</v>
      </c>
      <c r="K666" t="s">
        <v>504</v>
      </c>
      <c r="L666" t="s">
        <v>39</v>
      </c>
      <c r="M666" t="s">
        <v>39</v>
      </c>
      <c r="N666" t="s">
        <v>37</v>
      </c>
      <c r="O666" t="s">
        <v>37</v>
      </c>
      <c r="P666" t="s">
        <v>37</v>
      </c>
      <c r="Q666" t="s">
        <v>506</v>
      </c>
    </row>
    <row r="667" spans="1:17" hidden="1" x14ac:dyDescent="0.25">
      <c r="A667" t="s">
        <v>827</v>
      </c>
      <c r="B667" t="s">
        <v>22</v>
      </c>
      <c r="C667" t="s">
        <v>28</v>
      </c>
      <c r="D667" t="s">
        <v>58</v>
      </c>
      <c r="E667">
        <v>3</v>
      </c>
      <c r="F667">
        <f>MAX(-1,3-Tableau1[[#This Row],[Nb possédé (digital)]])</f>
        <v>0</v>
      </c>
      <c r="G667">
        <v>3</v>
      </c>
      <c r="H667">
        <f>MAX(-1,3-Tableau1[[#This Row],[Possédé (physique)]])</f>
        <v>0</v>
      </c>
      <c r="I667" t="str">
        <f>IF(Tableau1[[#This Row],[Manque (physique)]]&gt;Tableau1[[#This Row],[Manque (digital)]],"POD",IF(Tableau1[[#This Row],[Manque (digital)]]&gt;Tableau1[[#This Row],[Manque (physique)]],"MarketPlace",""))</f>
        <v/>
      </c>
      <c r="J667" t="s">
        <v>17</v>
      </c>
      <c r="K667" t="s">
        <v>201</v>
      </c>
      <c r="L667" t="s">
        <v>380</v>
      </c>
      <c r="M667" t="s">
        <v>380</v>
      </c>
      <c r="Q667" t="s">
        <v>829</v>
      </c>
    </row>
    <row r="668" spans="1:17" hidden="1" x14ac:dyDescent="0.25">
      <c r="A668" t="s">
        <v>1552</v>
      </c>
      <c r="B668" t="s">
        <v>22</v>
      </c>
      <c r="C668" t="s">
        <v>28</v>
      </c>
      <c r="D668" t="s">
        <v>1496</v>
      </c>
      <c r="E668">
        <v>0</v>
      </c>
      <c r="F668">
        <f>MAX(-1,3-Tableau1[[#This Row],[Nb possédé (digital)]])</f>
        <v>3</v>
      </c>
      <c r="G668">
        <v>3</v>
      </c>
      <c r="H668">
        <f>MAX(-1,3-Tableau1[[#This Row],[Possédé (physique)]])</f>
        <v>0</v>
      </c>
      <c r="I668" t="str">
        <f>IF(Tableau1[[#This Row],[Manque (physique)]]&gt;Tableau1[[#This Row],[Manque (digital)]],"POD",IF(Tableau1[[#This Row],[Manque (digital)]]&gt;Tableau1[[#This Row],[Manque (physique)]],"MarketPlace",""))</f>
        <v>MarketPlace</v>
      </c>
      <c r="J668" t="s">
        <v>116</v>
      </c>
      <c r="K668" t="s">
        <v>117</v>
      </c>
      <c r="L668" t="s">
        <v>20</v>
      </c>
      <c r="M668" t="s">
        <v>20</v>
      </c>
      <c r="Q668" t="s">
        <v>1718</v>
      </c>
    </row>
    <row r="669" spans="1:17" hidden="1" x14ac:dyDescent="0.25">
      <c r="A669" t="s">
        <v>1533</v>
      </c>
      <c r="B669" t="s">
        <v>22</v>
      </c>
      <c r="C669" t="s">
        <v>28</v>
      </c>
      <c r="D669" t="s">
        <v>1496</v>
      </c>
      <c r="E669">
        <v>0</v>
      </c>
      <c r="F669">
        <f>MAX(-1,3-Tableau1[[#This Row],[Nb possédé (digital)]])</f>
        <v>3</v>
      </c>
      <c r="G669">
        <v>3</v>
      </c>
      <c r="H669">
        <f>MAX(-1,3-Tableau1[[#This Row],[Possédé (physique)]])</f>
        <v>0</v>
      </c>
      <c r="I669" t="str">
        <f>IF(Tableau1[[#This Row],[Manque (physique)]]&gt;Tableau1[[#This Row],[Manque (digital)]],"POD",IF(Tableau1[[#This Row],[Manque (digital)]]&gt;Tableau1[[#This Row],[Manque (physique)]],"MarketPlace",""))</f>
        <v>MarketPlace</v>
      </c>
      <c r="J669" t="s">
        <v>30</v>
      </c>
      <c r="K669" t="s">
        <v>68</v>
      </c>
      <c r="L669" t="s">
        <v>20</v>
      </c>
      <c r="M669" t="s">
        <v>19</v>
      </c>
      <c r="N669" t="s">
        <v>19</v>
      </c>
      <c r="O669" t="s">
        <v>89</v>
      </c>
      <c r="P669" t="s">
        <v>20</v>
      </c>
      <c r="Q669" t="s">
        <v>1678</v>
      </c>
    </row>
    <row r="670" spans="1:17" hidden="1" x14ac:dyDescent="0.25">
      <c r="A670" t="s">
        <v>1557</v>
      </c>
      <c r="B670" t="s">
        <v>22</v>
      </c>
      <c r="C670" t="s">
        <v>28</v>
      </c>
      <c r="D670" t="s">
        <v>1496</v>
      </c>
      <c r="E670">
        <v>2</v>
      </c>
      <c r="F670">
        <f>MAX(-1,3-Tableau1[[#This Row],[Nb possédé (digital)]])</f>
        <v>1</v>
      </c>
      <c r="G670">
        <v>3</v>
      </c>
      <c r="H670">
        <f>MAX(-1,3-Tableau1[[#This Row],[Possédé (physique)]])</f>
        <v>0</v>
      </c>
      <c r="I670" t="str">
        <f>IF(Tableau1[[#This Row],[Manque (physique)]]&gt;Tableau1[[#This Row],[Manque (digital)]],"POD",IF(Tableau1[[#This Row],[Manque (digital)]]&gt;Tableau1[[#This Row],[Manque (physique)]],"MarketPlace",""))</f>
        <v>MarketPlace</v>
      </c>
      <c r="J670" t="s">
        <v>30</v>
      </c>
      <c r="K670" t="s">
        <v>42</v>
      </c>
      <c r="L670" t="s">
        <v>20</v>
      </c>
      <c r="M670" t="s">
        <v>19</v>
      </c>
      <c r="N670" t="s">
        <v>20</v>
      </c>
      <c r="O670" t="s">
        <v>20</v>
      </c>
      <c r="P670" t="s">
        <v>20</v>
      </c>
      <c r="Q670" t="s">
        <v>1731</v>
      </c>
    </row>
    <row r="671" spans="1:17" hidden="1" x14ac:dyDescent="0.25">
      <c r="A671" t="s">
        <v>1590</v>
      </c>
      <c r="B671" t="s">
        <v>22</v>
      </c>
      <c r="C671" t="s">
        <v>28</v>
      </c>
      <c r="D671" t="s">
        <v>1496</v>
      </c>
      <c r="E671">
        <v>2</v>
      </c>
      <c r="F671">
        <f>MAX(-1,3-Tableau1[[#This Row],[Nb possédé (digital)]])</f>
        <v>1</v>
      </c>
      <c r="G671">
        <v>3</v>
      </c>
      <c r="H671">
        <f>MAX(-1,3-Tableau1[[#This Row],[Possédé (physique)]])</f>
        <v>0</v>
      </c>
      <c r="I671" t="str">
        <f>IF(Tableau1[[#This Row],[Manque (physique)]]&gt;Tableau1[[#This Row],[Manque (digital)]],"POD",IF(Tableau1[[#This Row],[Manque (digital)]]&gt;Tableau1[[#This Row],[Manque (physique)]],"MarketPlace",""))</f>
        <v>MarketPlace</v>
      </c>
      <c r="J671" t="s">
        <v>116</v>
      </c>
      <c r="K671" t="s">
        <v>117</v>
      </c>
      <c r="L671" t="s">
        <v>19</v>
      </c>
      <c r="M671" t="s">
        <v>20</v>
      </c>
      <c r="Q671" t="s">
        <v>1806</v>
      </c>
    </row>
    <row r="672" spans="1:17" hidden="1" x14ac:dyDescent="0.25">
      <c r="A672" t="s">
        <v>1499</v>
      </c>
      <c r="B672" t="s">
        <v>22</v>
      </c>
      <c r="C672" t="s">
        <v>28</v>
      </c>
      <c r="D672" t="s">
        <v>1496</v>
      </c>
      <c r="E672">
        <v>1</v>
      </c>
      <c r="F672">
        <f>MAX(-1,3-Tableau1[[#This Row],[Nb possédé (digital)]])</f>
        <v>2</v>
      </c>
      <c r="G672">
        <v>3</v>
      </c>
      <c r="H672">
        <f>MAX(-1,3-Tableau1[[#This Row],[Possédé (physique)]])</f>
        <v>0</v>
      </c>
      <c r="I672" t="str">
        <f>IF(Tableau1[[#This Row],[Manque (physique)]]&gt;Tableau1[[#This Row],[Manque (digital)]],"POD",IF(Tableau1[[#This Row],[Manque (digital)]]&gt;Tableau1[[#This Row],[Manque (physique)]],"MarketPlace",""))</f>
        <v>MarketPlace</v>
      </c>
      <c r="J672" t="s">
        <v>116</v>
      </c>
      <c r="K672" t="s">
        <v>117</v>
      </c>
      <c r="L672" t="s">
        <v>19</v>
      </c>
      <c r="M672" t="s">
        <v>19</v>
      </c>
      <c r="Q672" t="s">
        <v>1605</v>
      </c>
    </row>
    <row r="673" spans="1:17" hidden="1" x14ac:dyDescent="0.25">
      <c r="A673" t="s">
        <v>1515</v>
      </c>
      <c r="B673" t="s">
        <v>22</v>
      </c>
      <c r="C673" t="s">
        <v>28</v>
      </c>
      <c r="D673" t="s">
        <v>1496</v>
      </c>
      <c r="E673">
        <v>0</v>
      </c>
      <c r="F673">
        <f>MAX(-1,3-Tableau1[[#This Row],[Nb possédé (digital)]])</f>
        <v>3</v>
      </c>
      <c r="G673">
        <v>3</v>
      </c>
      <c r="H673">
        <f>MAX(-1,3-Tableau1[[#This Row],[Possédé (physique)]])</f>
        <v>0</v>
      </c>
      <c r="I673" t="str">
        <f>IF(Tableau1[[#This Row],[Manque (physique)]]&gt;Tableau1[[#This Row],[Manque (digital)]],"POD",IF(Tableau1[[#This Row],[Manque (digital)]]&gt;Tableau1[[#This Row],[Manque (physique)]],"MarketPlace",""))</f>
        <v>MarketPlace</v>
      </c>
      <c r="J673" t="s">
        <v>30</v>
      </c>
      <c r="K673" t="s">
        <v>1639</v>
      </c>
      <c r="L673" t="s">
        <v>19</v>
      </c>
      <c r="M673" t="s">
        <v>19</v>
      </c>
      <c r="N673" t="s">
        <v>89</v>
      </c>
      <c r="O673" t="s">
        <v>23</v>
      </c>
      <c r="P673" t="s">
        <v>23</v>
      </c>
      <c r="Q673" t="s">
        <v>890</v>
      </c>
    </row>
    <row r="674" spans="1:17" hidden="1" x14ac:dyDescent="0.25">
      <c r="A674" t="s">
        <v>1519</v>
      </c>
      <c r="B674" t="s">
        <v>22</v>
      </c>
      <c r="C674" t="s">
        <v>28</v>
      </c>
      <c r="D674" t="s">
        <v>1496</v>
      </c>
      <c r="E674">
        <v>3</v>
      </c>
      <c r="F674">
        <f>MAX(-1,3-Tableau1[[#This Row],[Nb possédé (digital)]])</f>
        <v>0</v>
      </c>
      <c r="G674">
        <v>3</v>
      </c>
      <c r="H674">
        <f>MAX(-1,3-Tableau1[[#This Row],[Possédé (physique)]])</f>
        <v>0</v>
      </c>
      <c r="I674" t="str">
        <f>IF(Tableau1[[#This Row],[Manque (physique)]]&gt;Tableau1[[#This Row],[Manque (digital)]],"POD",IF(Tableau1[[#This Row],[Manque (digital)]]&gt;Tableau1[[#This Row],[Manque (physique)]],"MarketPlace",""))</f>
        <v/>
      </c>
      <c r="J674" t="s">
        <v>268</v>
      </c>
      <c r="K674" t="s">
        <v>269</v>
      </c>
      <c r="L674" t="s">
        <v>19</v>
      </c>
      <c r="M674" t="s">
        <v>19</v>
      </c>
      <c r="Q674" t="s">
        <v>1647</v>
      </c>
    </row>
    <row r="675" spans="1:17" hidden="1" x14ac:dyDescent="0.25">
      <c r="A675" t="s">
        <v>1548</v>
      </c>
      <c r="B675" t="s">
        <v>22</v>
      </c>
      <c r="C675" t="s">
        <v>28</v>
      </c>
      <c r="D675" t="s">
        <v>1496</v>
      </c>
      <c r="E675">
        <v>1</v>
      </c>
      <c r="F675">
        <f>MAX(-1,3-Tableau1[[#This Row],[Nb possédé (digital)]])</f>
        <v>2</v>
      </c>
      <c r="G675">
        <v>3</v>
      </c>
      <c r="H675">
        <f>MAX(-1,3-Tableau1[[#This Row],[Possédé (physique)]])</f>
        <v>0</v>
      </c>
      <c r="I675" t="str">
        <f>IF(Tableau1[[#This Row],[Manque (physique)]]&gt;Tableau1[[#This Row],[Manque (digital)]],"POD",IF(Tableau1[[#This Row],[Manque (digital)]]&gt;Tableau1[[#This Row],[Manque (physique)]],"MarketPlace",""))</f>
        <v>MarketPlace</v>
      </c>
      <c r="J675" t="s">
        <v>30</v>
      </c>
      <c r="K675" t="s">
        <v>1708</v>
      </c>
      <c r="L675" t="s">
        <v>19</v>
      </c>
      <c r="M675" t="s">
        <v>19</v>
      </c>
      <c r="N675" t="s">
        <v>19</v>
      </c>
      <c r="O675" t="s">
        <v>23</v>
      </c>
      <c r="P675" t="s">
        <v>89</v>
      </c>
      <c r="Q675" t="s">
        <v>1710</v>
      </c>
    </row>
    <row r="676" spans="1:17" hidden="1" x14ac:dyDescent="0.25">
      <c r="A676" t="s">
        <v>1549</v>
      </c>
      <c r="B676" t="s">
        <v>22</v>
      </c>
      <c r="C676" t="s">
        <v>28</v>
      </c>
      <c r="D676" t="s">
        <v>1496</v>
      </c>
      <c r="E676">
        <v>0</v>
      </c>
      <c r="F676">
        <f>MAX(-1,3-Tableau1[[#This Row],[Nb possédé (digital)]])</f>
        <v>3</v>
      </c>
      <c r="G676">
        <v>3</v>
      </c>
      <c r="H676">
        <f>MAX(-1,3-Tableau1[[#This Row],[Possédé (physique)]])</f>
        <v>0</v>
      </c>
      <c r="I676" t="str">
        <f>IF(Tableau1[[#This Row],[Manque (physique)]]&gt;Tableau1[[#This Row],[Manque (digital)]],"POD",IF(Tableau1[[#This Row],[Manque (digital)]]&gt;Tableau1[[#This Row],[Manque (physique)]],"MarketPlace",""))</f>
        <v>MarketPlace</v>
      </c>
      <c r="J676" t="s">
        <v>30</v>
      </c>
      <c r="K676" t="s">
        <v>42</v>
      </c>
      <c r="L676" t="s">
        <v>19</v>
      </c>
      <c r="M676" t="s">
        <v>19</v>
      </c>
      <c r="N676" t="s">
        <v>20</v>
      </c>
      <c r="O676" t="s">
        <v>20</v>
      </c>
      <c r="P676" t="s">
        <v>20</v>
      </c>
      <c r="Q676" t="s">
        <v>1712</v>
      </c>
    </row>
    <row r="677" spans="1:17" x14ac:dyDescent="0.25">
      <c r="A677" t="s">
        <v>1551</v>
      </c>
      <c r="B677" t="s">
        <v>22</v>
      </c>
      <c r="C677" t="s">
        <v>28</v>
      </c>
      <c r="D677" t="s">
        <v>1496</v>
      </c>
      <c r="E677">
        <v>4</v>
      </c>
      <c r="F677">
        <f>MAX(-1,3-Tableau1[[#This Row],[Nb possédé (digital)]])</f>
        <v>-1</v>
      </c>
      <c r="G677">
        <v>4</v>
      </c>
      <c r="H677">
        <f>MAX(-1,3-Tableau1[[#This Row],[Possédé (physique)]])</f>
        <v>-1</v>
      </c>
      <c r="I677" t="str">
        <f>IF(Tableau1[[#This Row],[Manque (physique)]]&gt;Tableau1[[#This Row],[Manque (digital)]],"POD",IF(Tableau1[[#This Row],[Manque (digital)]]&gt;Tableau1[[#This Row],[Manque (physique)]],"MarketPlace",""))</f>
        <v/>
      </c>
      <c r="J677" t="s">
        <v>30</v>
      </c>
      <c r="K677" t="s">
        <v>171</v>
      </c>
      <c r="L677" t="s">
        <v>19</v>
      </c>
      <c r="M677" t="s">
        <v>19</v>
      </c>
      <c r="N677" t="s">
        <v>20</v>
      </c>
      <c r="O677" t="s">
        <v>20</v>
      </c>
      <c r="P677" t="s">
        <v>19</v>
      </c>
      <c r="Q677" t="s">
        <v>1716</v>
      </c>
    </row>
    <row r="678" spans="1:17" hidden="1" x14ac:dyDescent="0.25">
      <c r="A678" t="s">
        <v>1573</v>
      </c>
      <c r="B678" t="s">
        <v>22</v>
      </c>
      <c r="C678" t="s">
        <v>28</v>
      </c>
      <c r="D678" t="s">
        <v>1496</v>
      </c>
      <c r="E678">
        <v>0</v>
      </c>
      <c r="F678">
        <f>MAX(-1,3-Tableau1[[#This Row],[Nb possédé (digital)]])</f>
        <v>3</v>
      </c>
      <c r="G678">
        <v>3</v>
      </c>
      <c r="H678">
        <f>MAX(-1,3-Tableau1[[#This Row],[Possédé (physique)]])</f>
        <v>0</v>
      </c>
      <c r="I678" t="str">
        <f>IF(Tableau1[[#This Row],[Manque (physique)]]&gt;Tableau1[[#This Row],[Manque (digital)]],"POD",IF(Tableau1[[#This Row],[Manque (digital)]]&gt;Tableau1[[#This Row],[Manque (physique)]],"MarketPlace",""))</f>
        <v>MarketPlace</v>
      </c>
      <c r="J678" t="s">
        <v>17</v>
      </c>
      <c r="K678" t="s">
        <v>201</v>
      </c>
      <c r="L678" t="s">
        <v>19</v>
      </c>
      <c r="M678" t="s">
        <v>19</v>
      </c>
      <c r="Q678" t="s">
        <v>1764</v>
      </c>
    </row>
    <row r="679" spans="1:17" hidden="1" x14ac:dyDescent="0.25">
      <c r="A679" t="s">
        <v>1586</v>
      </c>
      <c r="B679" t="s">
        <v>22</v>
      </c>
      <c r="C679" t="s">
        <v>28</v>
      </c>
      <c r="D679" t="s">
        <v>1496</v>
      </c>
      <c r="E679">
        <v>0</v>
      </c>
      <c r="F679">
        <f>MAX(-1,3-Tableau1[[#This Row],[Nb possédé (digital)]])</f>
        <v>3</v>
      </c>
      <c r="G679">
        <v>3</v>
      </c>
      <c r="H679">
        <f>MAX(-1,3-Tableau1[[#This Row],[Possédé (physique)]])</f>
        <v>0</v>
      </c>
      <c r="I679" t="str">
        <f>IF(Tableau1[[#This Row],[Manque (physique)]]&gt;Tableau1[[#This Row],[Manque (digital)]],"POD",IF(Tableau1[[#This Row],[Manque (digital)]]&gt;Tableau1[[#This Row],[Manque (physique)]],"MarketPlace",""))</f>
        <v>MarketPlace</v>
      </c>
      <c r="J679" t="s">
        <v>30</v>
      </c>
      <c r="K679" t="s">
        <v>1796</v>
      </c>
      <c r="L679" t="s">
        <v>19</v>
      </c>
      <c r="M679" t="s">
        <v>19</v>
      </c>
      <c r="N679" t="s">
        <v>23</v>
      </c>
      <c r="O679" t="s">
        <v>19</v>
      </c>
      <c r="P679" t="s">
        <v>19</v>
      </c>
      <c r="Q679" t="s">
        <v>1798</v>
      </c>
    </row>
    <row r="680" spans="1:17" x14ac:dyDescent="0.25">
      <c r="A680" t="s">
        <v>1588</v>
      </c>
      <c r="B680" t="s">
        <v>22</v>
      </c>
      <c r="C680" t="s">
        <v>28</v>
      </c>
      <c r="D680" t="s">
        <v>1496</v>
      </c>
      <c r="E680">
        <v>7</v>
      </c>
      <c r="F680">
        <f>MAX(-1,3-Tableau1[[#This Row],[Nb possédé (digital)]])</f>
        <v>-1</v>
      </c>
      <c r="G680">
        <v>7</v>
      </c>
      <c r="H680">
        <f>MAX(-1,3-Tableau1[[#This Row],[Possédé (physique)]])</f>
        <v>-1</v>
      </c>
      <c r="I680" t="str">
        <f>IF(Tableau1[[#This Row],[Manque (physique)]]&gt;Tableau1[[#This Row],[Manque (digital)]],"POD",IF(Tableau1[[#This Row],[Manque (digital)]]&gt;Tableau1[[#This Row],[Manque (physique)]],"MarketPlace",""))</f>
        <v/>
      </c>
      <c r="J680" t="s">
        <v>30</v>
      </c>
      <c r="K680" t="s">
        <v>1801</v>
      </c>
      <c r="L680" t="s">
        <v>19</v>
      </c>
      <c r="M680" t="s">
        <v>19</v>
      </c>
      <c r="N680" t="s">
        <v>20</v>
      </c>
      <c r="O680" t="s">
        <v>20</v>
      </c>
      <c r="P680" t="s">
        <v>20</v>
      </c>
      <c r="Q680" t="s">
        <v>1803</v>
      </c>
    </row>
    <row r="681" spans="1:17" hidden="1" x14ac:dyDescent="0.25">
      <c r="A681" t="s">
        <v>1517</v>
      </c>
      <c r="B681" t="s">
        <v>22</v>
      </c>
      <c r="C681" t="s">
        <v>28</v>
      </c>
      <c r="D681" t="s">
        <v>1496</v>
      </c>
      <c r="E681">
        <v>2</v>
      </c>
      <c r="F681">
        <f>MAX(-1,3-Tableau1[[#This Row],[Nb possédé (digital)]])</f>
        <v>1</v>
      </c>
      <c r="G681">
        <v>3</v>
      </c>
      <c r="H681">
        <f>MAX(-1,3-Tableau1[[#This Row],[Possédé (physique)]])</f>
        <v>0</v>
      </c>
      <c r="I681" t="str">
        <f>IF(Tableau1[[#This Row],[Manque (physique)]]&gt;Tableau1[[#This Row],[Manque (digital)]],"POD",IF(Tableau1[[#This Row],[Manque (digital)]]&gt;Tableau1[[#This Row],[Manque (physique)]],"MarketPlace",""))</f>
        <v>MarketPlace</v>
      </c>
      <c r="J681" t="s">
        <v>17</v>
      </c>
      <c r="K681" t="s">
        <v>153</v>
      </c>
      <c r="L681" t="s">
        <v>19</v>
      </c>
      <c r="M681" t="s">
        <v>23</v>
      </c>
      <c r="Q681" t="s">
        <v>1643</v>
      </c>
    </row>
    <row r="682" spans="1:17" hidden="1" x14ac:dyDescent="0.25">
      <c r="A682" t="s">
        <v>1538</v>
      </c>
      <c r="B682" t="s">
        <v>22</v>
      </c>
      <c r="C682" t="s">
        <v>28</v>
      </c>
      <c r="D682" t="s">
        <v>1496</v>
      </c>
      <c r="E682">
        <v>2</v>
      </c>
      <c r="F682">
        <f>MAX(-1,3-Tableau1[[#This Row],[Nb possédé (digital)]])</f>
        <v>1</v>
      </c>
      <c r="G682">
        <v>3</v>
      </c>
      <c r="H682">
        <f>MAX(-1,3-Tableau1[[#This Row],[Possédé (physique)]])</f>
        <v>0</v>
      </c>
      <c r="I682" t="str">
        <f>IF(Tableau1[[#This Row],[Manque (physique)]]&gt;Tableau1[[#This Row],[Manque (digital)]],"POD",IF(Tableau1[[#This Row],[Manque (digital)]]&gt;Tableau1[[#This Row],[Manque (physique)]],"MarketPlace",""))</f>
        <v>MarketPlace</v>
      </c>
      <c r="J682" t="s">
        <v>30</v>
      </c>
      <c r="K682" t="s">
        <v>292</v>
      </c>
      <c r="L682" t="s">
        <v>19</v>
      </c>
      <c r="M682" t="s">
        <v>23</v>
      </c>
      <c r="N682" t="s">
        <v>23</v>
      </c>
      <c r="O682" t="s">
        <v>23</v>
      </c>
      <c r="P682" t="s">
        <v>20</v>
      </c>
      <c r="Q682" t="s">
        <v>1687</v>
      </c>
    </row>
    <row r="683" spans="1:17" hidden="1" x14ac:dyDescent="0.25">
      <c r="A683" t="s">
        <v>1558</v>
      </c>
      <c r="B683" t="s">
        <v>22</v>
      </c>
      <c r="C683" t="s">
        <v>28</v>
      </c>
      <c r="D683" t="s">
        <v>1496</v>
      </c>
      <c r="E683">
        <v>1</v>
      </c>
      <c r="F683">
        <f>MAX(-1,3-Tableau1[[#This Row],[Nb possédé (digital)]])</f>
        <v>2</v>
      </c>
      <c r="G683">
        <v>3</v>
      </c>
      <c r="H683">
        <f>MAX(-1,3-Tableau1[[#This Row],[Possédé (physique)]])</f>
        <v>0</v>
      </c>
      <c r="I683" t="str">
        <f>IF(Tableau1[[#This Row],[Manque (physique)]]&gt;Tableau1[[#This Row],[Manque (digital)]],"POD",IF(Tableau1[[#This Row],[Manque (digital)]]&gt;Tableau1[[#This Row],[Manque (physique)]],"MarketPlace",""))</f>
        <v>MarketPlace</v>
      </c>
      <c r="J683" t="s">
        <v>30</v>
      </c>
      <c r="K683" t="s">
        <v>252</v>
      </c>
      <c r="L683" t="s">
        <v>19</v>
      </c>
      <c r="M683" t="s">
        <v>23</v>
      </c>
      <c r="N683" t="s">
        <v>20</v>
      </c>
      <c r="O683" t="s">
        <v>23</v>
      </c>
      <c r="P683" t="s">
        <v>20</v>
      </c>
      <c r="Q683" t="s">
        <v>1733</v>
      </c>
    </row>
    <row r="684" spans="1:17" hidden="1" x14ac:dyDescent="0.25">
      <c r="A684" t="s">
        <v>1500</v>
      </c>
      <c r="B684" t="s">
        <v>22</v>
      </c>
      <c r="C684" t="s">
        <v>28</v>
      </c>
      <c r="D684" t="s">
        <v>1496</v>
      </c>
      <c r="E684">
        <v>1</v>
      </c>
      <c r="F684">
        <f>MAX(-1,3-Tableau1[[#This Row],[Nb possédé (digital)]])</f>
        <v>2</v>
      </c>
      <c r="G684">
        <v>3</v>
      </c>
      <c r="H684">
        <f>MAX(-1,3-Tableau1[[#This Row],[Possédé (physique)]])</f>
        <v>0</v>
      </c>
      <c r="I684" t="str">
        <f>IF(Tableau1[[#This Row],[Manque (physique)]]&gt;Tableau1[[#This Row],[Manque (digital)]],"POD",IF(Tableau1[[#This Row],[Manque (digital)]]&gt;Tableau1[[#This Row],[Manque (physique)]],"MarketPlace",""))</f>
        <v>MarketPlace</v>
      </c>
      <c r="J684" t="s">
        <v>30</v>
      </c>
      <c r="K684" t="s">
        <v>1606</v>
      </c>
      <c r="L684" t="s">
        <v>19</v>
      </c>
      <c r="M684" t="s">
        <v>52</v>
      </c>
      <c r="N684" t="s">
        <v>19</v>
      </c>
      <c r="O684" t="s">
        <v>19</v>
      </c>
      <c r="P684" t="s">
        <v>23</v>
      </c>
      <c r="Q684" t="s">
        <v>1608</v>
      </c>
    </row>
    <row r="685" spans="1:17" hidden="1" x14ac:dyDescent="0.25">
      <c r="A685" t="s">
        <v>1593</v>
      </c>
      <c r="B685" t="s">
        <v>22</v>
      </c>
      <c r="C685" t="s">
        <v>28</v>
      </c>
      <c r="D685" t="s">
        <v>1496</v>
      </c>
      <c r="E685">
        <v>0</v>
      </c>
      <c r="F685">
        <f>MAX(-1,3-Tableau1[[#This Row],[Nb possédé (digital)]])</f>
        <v>3</v>
      </c>
      <c r="G685">
        <v>3</v>
      </c>
      <c r="H685">
        <f>MAX(-1,3-Tableau1[[#This Row],[Possédé (physique)]])</f>
        <v>0</v>
      </c>
      <c r="I685" t="str">
        <f>IF(Tableau1[[#This Row],[Manque (physique)]]&gt;Tableau1[[#This Row],[Manque (digital)]],"POD",IF(Tableau1[[#This Row],[Manque (digital)]]&gt;Tableau1[[#This Row],[Manque (physique)]],"MarketPlace",""))</f>
        <v>MarketPlace</v>
      </c>
      <c r="J685" t="s">
        <v>30</v>
      </c>
      <c r="K685" t="s">
        <v>83</v>
      </c>
      <c r="L685" t="s">
        <v>19</v>
      </c>
      <c r="M685" t="s">
        <v>52</v>
      </c>
      <c r="N685" t="s">
        <v>89</v>
      </c>
      <c r="O685" t="s">
        <v>23</v>
      </c>
      <c r="P685" t="s">
        <v>23</v>
      </c>
      <c r="Q685" t="s">
        <v>1813</v>
      </c>
    </row>
    <row r="686" spans="1:17" hidden="1" x14ac:dyDescent="0.25">
      <c r="A686" t="s">
        <v>1505</v>
      </c>
      <c r="B686" t="s">
        <v>22</v>
      </c>
      <c r="C686" t="s">
        <v>28</v>
      </c>
      <c r="D686" t="s">
        <v>1496</v>
      </c>
      <c r="E686">
        <v>1</v>
      </c>
      <c r="F686">
        <f>MAX(-1,3-Tableau1[[#This Row],[Nb possédé (digital)]])</f>
        <v>2</v>
      </c>
      <c r="G686">
        <v>3</v>
      </c>
      <c r="H686">
        <f>MAX(-1,3-Tableau1[[#This Row],[Possédé (physique)]])</f>
        <v>0</v>
      </c>
      <c r="I686" t="str">
        <f>IF(Tableau1[[#This Row],[Manque (physique)]]&gt;Tableau1[[#This Row],[Manque (digital)]],"POD",IF(Tableau1[[#This Row],[Manque (digital)]]&gt;Tableau1[[#This Row],[Manque (physique)]],"MarketPlace",""))</f>
        <v>MarketPlace</v>
      </c>
      <c r="J686" t="s">
        <v>30</v>
      </c>
      <c r="K686" t="s">
        <v>1618</v>
      </c>
      <c r="L686" t="s">
        <v>23</v>
      </c>
      <c r="M686" t="s">
        <v>19</v>
      </c>
      <c r="N686" t="s">
        <v>23</v>
      </c>
      <c r="O686" t="s">
        <v>23</v>
      </c>
      <c r="P686" t="s">
        <v>89</v>
      </c>
      <c r="Q686" t="s">
        <v>1620</v>
      </c>
    </row>
    <row r="687" spans="1:17" x14ac:dyDescent="0.25">
      <c r="A687" t="s">
        <v>1562</v>
      </c>
      <c r="B687" t="s">
        <v>22</v>
      </c>
      <c r="C687" t="s">
        <v>28</v>
      </c>
      <c r="D687" t="s">
        <v>1496</v>
      </c>
      <c r="E687">
        <v>4</v>
      </c>
      <c r="F687">
        <f>MAX(-1,3-Tableau1[[#This Row],[Nb possédé (digital)]])</f>
        <v>-1</v>
      </c>
      <c r="G687">
        <v>4</v>
      </c>
      <c r="H687">
        <f>MAX(-1,3-Tableau1[[#This Row],[Possédé (physique)]])</f>
        <v>-1</v>
      </c>
      <c r="I687" t="str">
        <f>IF(Tableau1[[#This Row],[Manque (physique)]]&gt;Tableau1[[#This Row],[Manque (digital)]],"POD",IF(Tableau1[[#This Row],[Manque (digital)]]&gt;Tableau1[[#This Row],[Manque (physique)]],"MarketPlace",""))</f>
        <v/>
      </c>
      <c r="J687" t="s">
        <v>17</v>
      </c>
      <c r="K687" t="s">
        <v>97</v>
      </c>
      <c r="L687" t="s">
        <v>23</v>
      </c>
      <c r="M687" t="s">
        <v>19</v>
      </c>
      <c r="Q687" t="s">
        <v>1742</v>
      </c>
    </row>
    <row r="688" spans="1:17" hidden="1" x14ac:dyDescent="0.25">
      <c r="A688" t="s">
        <v>1572</v>
      </c>
      <c r="B688" t="s">
        <v>22</v>
      </c>
      <c r="C688" t="s">
        <v>28</v>
      </c>
      <c r="D688" t="s">
        <v>1496</v>
      </c>
      <c r="E688">
        <v>0</v>
      </c>
      <c r="F688">
        <f>MAX(-1,3-Tableau1[[#This Row],[Nb possédé (digital)]])</f>
        <v>3</v>
      </c>
      <c r="G688">
        <v>3</v>
      </c>
      <c r="H688">
        <f>MAX(-1,3-Tableau1[[#This Row],[Possédé (physique)]])</f>
        <v>0</v>
      </c>
      <c r="I688" t="str">
        <f>IF(Tableau1[[#This Row],[Manque (physique)]]&gt;Tableau1[[#This Row],[Manque (digital)]],"POD",IF(Tableau1[[#This Row],[Manque (digital)]]&gt;Tableau1[[#This Row],[Manque (physique)]],"MarketPlace",""))</f>
        <v>MarketPlace</v>
      </c>
      <c r="J688" t="s">
        <v>17</v>
      </c>
      <c r="K688" t="s">
        <v>1271</v>
      </c>
      <c r="L688" t="s">
        <v>23</v>
      </c>
      <c r="M688" t="s">
        <v>19</v>
      </c>
      <c r="Q688" t="s">
        <v>1762</v>
      </c>
    </row>
    <row r="689" spans="1:17" hidden="1" x14ac:dyDescent="0.25">
      <c r="A689" t="s">
        <v>1523</v>
      </c>
      <c r="B689" t="s">
        <v>22</v>
      </c>
      <c r="C689" t="s">
        <v>28</v>
      </c>
      <c r="D689" t="s">
        <v>1496</v>
      </c>
      <c r="E689">
        <v>3</v>
      </c>
      <c r="F689">
        <f>MAX(-1,3-Tableau1[[#This Row],[Nb possédé (digital)]])</f>
        <v>0</v>
      </c>
      <c r="G689">
        <v>3</v>
      </c>
      <c r="H689">
        <f>MAX(-1,3-Tableau1[[#This Row],[Possédé (physique)]])</f>
        <v>0</v>
      </c>
      <c r="I689" t="str">
        <f>IF(Tableau1[[#This Row],[Manque (physique)]]&gt;Tableau1[[#This Row],[Manque (digital)]],"POD",IF(Tableau1[[#This Row],[Manque (digital)]]&gt;Tableau1[[#This Row],[Manque (physique)]],"MarketPlace",""))</f>
        <v/>
      </c>
      <c r="J689" t="s">
        <v>268</v>
      </c>
      <c r="K689" t="s">
        <v>269</v>
      </c>
      <c r="L689" t="s">
        <v>23</v>
      </c>
      <c r="M689" t="s">
        <v>23</v>
      </c>
      <c r="Q689" t="s">
        <v>1657</v>
      </c>
    </row>
    <row r="690" spans="1:17" hidden="1" x14ac:dyDescent="0.25">
      <c r="A690" t="s">
        <v>1535</v>
      </c>
      <c r="B690" t="s">
        <v>22</v>
      </c>
      <c r="C690" t="s">
        <v>28</v>
      </c>
      <c r="D690" t="s">
        <v>1496</v>
      </c>
      <c r="E690">
        <v>0</v>
      </c>
      <c r="F690">
        <f>MAX(-1,3-Tableau1[[#This Row],[Nb possédé (digital)]])</f>
        <v>3</v>
      </c>
      <c r="G690">
        <v>3</v>
      </c>
      <c r="H690">
        <f>MAX(-1,3-Tableau1[[#This Row],[Possédé (physique)]])</f>
        <v>0</v>
      </c>
      <c r="I690" t="str">
        <f>IF(Tableau1[[#This Row],[Manque (physique)]]&gt;Tableau1[[#This Row],[Manque (digital)]],"POD",IF(Tableau1[[#This Row],[Manque (digital)]]&gt;Tableau1[[#This Row],[Manque (physique)]],"MarketPlace",""))</f>
        <v>MarketPlace</v>
      </c>
      <c r="J690" t="s">
        <v>30</v>
      </c>
      <c r="K690" t="s">
        <v>79</v>
      </c>
      <c r="L690" t="s">
        <v>23</v>
      </c>
      <c r="M690" t="s">
        <v>23</v>
      </c>
      <c r="N690" t="s">
        <v>23</v>
      </c>
      <c r="O690" t="s">
        <v>23</v>
      </c>
      <c r="P690" t="s">
        <v>23</v>
      </c>
      <c r="Q690" t="s">
        <v>1682</v>
      </c>
    </row>
    <row r="691" spans="1:17" hidden="1" x14ac:dyDescent="0.25">
      <c r="A691" t="s">
        <v>1547</v>
      </c>
      <c r="B691" t="s">
        <v>22</v>
      </c>
      <c r="C691" t="s">
        <v>28</v>
      </c>
      <c r="D691" t="s">
        <v>1496</v>
      </c>
      <c r="E691">
        <v>1</v>
      </c>
      <c r="F691">
        <f>MAX(-1,3-Tableau1[[#This Row],[Nb possédé (digital)]])</f>
        <v>2</v>
      </c>
      <c r="G691">
        <v>3</v>
      </c>
      <c r="H691">
        <f>MAX(-1,3-Tableau1[[#This Row],[Possédé (physique)]])</f>
        <v>0</v>
      </c>
      <c r="I691" t="str">
        <f>IF(Tableau1[[#This Row],[Manque (physique)]]&gt;Tableau1[[#This Row],[Manque (digital)]],"POD",IF(Tableau1[[#This Row],[Manque (digital)]]&gt;Tableau1[[#This Row],[Manque (physique)]],"MarketPlace",""))</f>
        <v>MarketPlace</v>
      </c>
      <c r="J691" t="s">
        <v>30</v>
      </c>
      <c r="K691" t="s">
        <v>42</v>
      </c>
      <c r="L691" t="s">
        <v>23</v>
      </c>
      <c r="M691" t="s">
        <v>23</v>
      </c>
      <c r="N691" t="s">
        <v>23</v>
      </c>
      <c r="O691" t="s">
        <v>23</v>
      </c>
      <c r="P691" t="s">
        <v>19</v>
      </c>
      <c r="Q691" t="s">
        <v>1706</v>
      </c>
    </row>
    <row r="692" spans="1:17" hidden="1" x14ac:dyDescent="0.25">
      <c r="A692" t="s">
        <v>1550</v>
      </c>
      <c r="B692" t="s">
        <v>22</v>
      </c>
      <c r="C692" t="s">
        <v>28</v>
      </c>
      <c r="D692" t="s">
        <v>1496</v>
      </c>
      <c r="E692">
        <v>1</v>
      </c>
      <c r="F692">
        <f>MAX(-1,3-Tableau1[[#This Row],[Nb possédé (digital)]])</f>
        <v>2</v>
      </c>
      <c r="G692">
        <v>3</v>
      </c>
      <c r="H692">
        <f>MAX(-1,3-Tableau1[[#This Row],[Possédé (physique)]])</f>
        <v>0</v>
      </c>
      <c r="I692" t="str">
        <f>IF(Tableau1[[#This Row],[Manque (physique)]]&gt;Tableau1[[#This Row],[Manque (digital)]],"POD",IF(Tableau1[[#This Row],[Manque (digital)]]&gt;Tableau1[[#This Row],[Manque (physique)]],"MarketPlace",""))</f>
        <v>MarketPlace</v>
      </c>
      <c r="J692" t="s">
        <v>30</v>
      </c>
      <c r="K692" t="s">
        <v>107</v>
      </c>
      <c r="L692" t="s">
        <v>23</v>
      </c>
      <c r="M692" t="s">
        <v>23</v>
      </c>
      <c r="N692" t="s">
        <v>19</v>
      </c>
      <c r="O692" t="s">
        <v>19</v>
      </c>
      <c r="P692" t="s">
        <v>23</v>
      </c>
      <c r="Q692" t="s">
        <v>1714</v>
      </c>
    </row>
    <row r="693" spans="1:17" hidden="1" x14ac:dyDescent="0.25">
      <c r="A693" t="s">
        <v>1566</v>
      </c>
      <c r="B693" t="s">
        <v>22</v>
      </c>
      <c r="C693" t="s">
        <v>28</v>
      </c>
      <c r="D693" t="s">
        <v>1496</v>
      </c>
      <c r="E693">
        <v>0</v>
      </c>
      <c r="F693">
        <f>MAX(-1,3-Tableau1[[#This Row],[Nb possédé (digital)]])</f>
        <v>3</v>
      </c>
      <c r="G693">
        <v>3</v>
      </c>
      <c r="H693">
        <f>MAX(-1,3-Tableau1[[#This Row],[Possédé (physique)]])</f>
        <v>0</v>
      </c>
      <c r="I693" t="str">
        <f>IF(Tableau1[[#This Row],[Manque (physique)]]&gt;Tableau1[[#This Row],[Manque (digital)]],"POD",IF(Tableau1[[#This Row],[Manque (digital)]]&gt;Tableau1[[#This Row],[Manque (physique)]],"MarketPlace",""))</f>
        <v>MarketPlace</v>
      </c>
      <c r="J693" t="s">
        <v>30</v>
      </c>
      <c r="K693" t="s">
        <v>68</v>
      </c>
      <c r="L693" t="s">
        <v>23</v>
      </c>
      <c r="M693" t="s">
        <v>37</v>
      </c>
      <c r="N693" t="s">
        <v>23</v>
      </c>
      <c r="O693" t="s">
        <v>23</v>
      </c>
      <c r="P693" t="s">
        <v>52</v>
      </c>
      <c r="Q693" t="s">
        <v>1750</v>
      </c>
    </row>
    <row r="694" spans="1:17" hidden="1" x14ac:dyDescent="0.25">
      <c r="A694" t="s">
        <v>1502</v>
      </c>
      <c r="B694" t="s">
        <v>22</v>
      </c>
      <c r="C694" t="s">
        <v>28</v>
      </c>
      <c r="D694" t="s">
        <v>1496</v>
      </c>
      <c r="E694">
        <v>0</v>
      </c>
      <c r="F694">
        <f>MAX(-1,3-Tableau1[[#This Row],[Nb possédé (digital)]])</f>
        <v>3</v>
      </c>
      <c r="G694">
        <v>3</v>
      </c>
      <c r="H694">
        <f>MAX(-1,3-Tableau1[[#This Row],[Possédé (physique)]])</f>
        <v>0</v>
      </c>
      <c r="I694" t="str">
        <f>IF(Tableau1[[#This Row],[Manque (physique)]]&gt;Tableau1[[#This Row],[Manque (digital)]],"POD",IF(Tableau1[[#This Row],[Manque (digital)]]&gt;Tableau1[[#This Row],[Manque (physique)]],"MarketPlace",""))</f>
        <v>MarketPlace</v>
      </c>
      <c r="J694" t="s">
        <v>30</v>
      </c>
      <c r="K694" t="s">
        <v>42</v>
      </c>
      <c r="L694" t="s">
        <v>52</v>
      </c>
      <c r="M694" t="s">
        <v>23</v>
      </c>
      <c r="N694" t="s">
        <v>23</v>
      </c>
      <c r="O694" t="s">
        <v>52</v>
      </c>
      <c r="P694" t="s">
        <v>52</v>
      </c>
      <c r="Q694" t="s">
        <v>1612</v>
      </c>
    </row>
    <row r="695" spans="1:17" x14ac:dyDescent="0.25">
      <c r="A695" t="s">
        <v>1585</v>
      </c>
      <c r="B695" t="s">
        <v>22</v>
      </c>
      <c r="C695" t="s">
        <v>28</v>
      </c>
      <c r="D695" t="s">
        <v>1496</v>
      </c>
      <c r="E695">
        <v>4</v>
      </c>
      <c r="F695">
        <f>MAX(-1,3-Tableau1[[#This Row],[Nb possédé (digital)]])</f>
        <v>-1</v>
      </c>
      <c r="G695">
        <v>4</v>
      </c>
      <c r="H695">
        <f>MAX(-1,3-Tableau1[[#This Row],[Possédé (physique)]])</f>
        <v>-1</v>
      </c>
      <c r="I695" t="str">
        <f>IF(Tableau1[[#This Row],[Manque (physique)]]&gt;Tableau1[[#This Row],[Manque (digital)]],"POD",IF(Tableau1[[#This Row],[Manque (digital)]]&gt;Tableau1[[#This Row],[Manque (physique)]],"MarketPlace",""))</f>
        <v/>
      </c>
      <c r="J695" t="s">
        <v>30</v>
      </c>
      <c r="K695" t="s">
        <v>1793</v>
      </c>
      <c r="L695" t="s">
        <v>37</v>
      </c>
      <c r="M695" t="s">
        <v>52</v>
      </c>
      <c r="N695" t="s">
        <v>52</v>
      </c>
      <c r="O695" t="s">
        <v>52</v>
      </c>
      <c r="P695" t="s">
        <v>52</v>
      </c>
      <c r="Q695" t="s">
        <v>1795</v>
      </c>
    </row>
    <row r="696" spans="1:17" hidden="1" x14ac:dyDescent="0.25">
      <c r="A696" t="s">
        <v>1541</v>
      </c>
      <c r="B696" t="s">
        <v>22</v>
      </c>
      <c r="C696" t="s">
        <v>28</v>
      </c>
      <c r="D696" t="s">
        <v>1496</v>
      </c>
      <c r="E696">
        <v>2</v>
      </c>
      <c r="F696">
        <f>MAX(-1,3-Tableau1[[#This Row],[Nb possédé (digital)]])</f>
        <v>1</v>
      </c>
      <c r="G696">
        <v>3</v>
      </c>
      <c r="H696">
        <f>MAX(-1,3-Tableau1[[#This Row],[Possédé (physique)]])</f>
        <v>0</v>
      </c>
      <c r="I696" t="str">
        <f>IF(Tableau1[[#This Row],[Manque (physique)]]&gt;Tableau1[[#This Row],[Manque (digital)]],"POD",IF(Tableau1[[#This Row],[Manque (digital)]]&gt;Tableau1[[#This Row],[Manque (physique)]],"MarketPlace",""))</f>
        <v>MarketPlace</v>
      </c>
      <c r="J696" t="s">
        <v>268</v>
      </c>
      <c r="K696" t="s">
        <v>269</v>
      </c>
      <c r="L696" t="s">
        <v>37</v>
      </c>
      <c r="M696" t="s">
        <v>37</v>
      </c>
      <c r="Q696" t="s">
        <v>1693</v>
      </c>
    </row>
    <row r="697" spans="1:17" hidden="1" x14ac:dyDescent="0.25">
      <c r="A697" t="s">
        <v>1542</v>
      </c>
      <c r="B697" t="s">
        <v>22</v>
      </c>
      <c r="C697" t="s">
        <v>28</v>
      </c>
      <c r="D697" t="s">
        <v>1496</v>
      </c>
      <c r="E697">
        <v>1</v>
      </c>
      <c r="F697">
        <f>MAX(-1,3-Tableau1[[#This Row],[Nb possédé (digital)]])</f>
        <v>2</v>
      </c>
      <c r="G697">
        <v>3</v>
      </c>
      <c r="H697">
        <f>MAX(-1,3-Tableau1[[#This Row],[Possédé (physique)]])</f>
        <v>0</v>
      </c>
      <c r="I697" t="str">
        <f>IF(Tableau1[[#This Row],[Manque (physique)]]&gt;Tableau1[[#This Row],[Manque (digital)]],"POD",IF(Tableau1[[#This Row],[Manque (digital)]]&gt;Tableau1[[#This Row],[Manque (physique)]],"MarketPlace",""))</f>
        <v>MarketPlace</v>
      </c>
      <c r="J697" t="s">
        <v>268</v>
      </c>
      <c r="K697" t="s">
        <v>269</v>
      </c>
      <c r="L697" t="s">
        <v>37</v>
      </c>
      <c r="M697" t="s">
        <v>37</v>
      </c>
      <c r="Q697" t="s">
        <v>1696</v>
      </c>
    </row>
    <row r="698" spans="1:17" hidden="1" x14ac:dyDescent="0.25">
      <c r="A698" t="s">
        <v>1583</v>
      </c>
      <c r="B698" t="s">
        <v>22</v>
      </c>
      <c r="C698" t="s">
        <v>28</v>
      </c>
      <c r="D698" t="s">
        <v>1496</v>
      </c>
      <c r="E698">
        <v>2</v>
      </c>
      <c r="F698">
        <f>MAX(-1,3-Tableau1[[#This Row],[Nb possédé (digital)]])</f>
        <v>1</v>
      </c>
      <c r="G698">
        <v>3</v>
      </c>
      <c r="H698">
        <f>MAX(-1,3-Tableau1[[#This Row],[Possédé (physique)]])</f>
        <v>0</v>
      </c>
      <c r="I698" t="str">
        <f>IF(Tableau1[[#This Row],[Manque (physique)]]&gt;Tableau1[[#This Row],[Manque (digital)]],"POD",IF(Tableau1[[#This Row],[Manque (digital)]]&gt;Tableau1[[#This Row],[Manque (physique)]],"MarketPlace",""))</f>
        <v>MarketPlace</v>
      </c>
      <c r="J698" t="s">
        <v>30</v>
      </c>
      <c r="K698" t="s">
        <v>292</v>
      </c>
      <c r="L698" t="s">
        <v>37</v>
      </c>
      <c r="M698" t="s">
        <v>37</v>
      </c>
      <c r="N698" t="s">
        <v>52</v>
      </c>
      <c r="O698" t="s">
        <v>52</v>
      </c>
      <c r="P698" t="s">
        <v>52</v>
      </c>
      <c r="Q698" t="s">
        <v>1790</v>
      </c>
    </row>
    <row r="699" spans="1:17" hidden="1" x14ac:dyDescent="0.25">
      <c r="A699" t="s">
        <v>1545</v>
      </c>
      <c r="B699" t="s">
        <v>22</v>
      </c>
      <c r="C699" t="s">
        <v>28</v>
      </c>
      <c r="D699" t="s">
        <v>1496</v>
      </c>
      <c r="E699">
        <v>1</v>
      </c>
      <c r="F699">
        <f>MAX(-1,3-Tableau1[[#This Row],[Nb possédé (digital)]])</f>
        <v>2</v>
      </c>
      <c r="G699">
        <v>3</v>
      </c>
      <c r="H699">
        <f>MAX(-1,3-Tableau1[[#This Row],[Possédé (physique)]])</f>
        <v>0</v>
      </c>
      <c r="I699" t="str">
        <f>IF(Tableau1[[#This Row],[Manque (physique)]]&gt;Tableau1[[#This Row],[Manque (digital)]],"POD",IF(Tableau1[[#This Row],[Manque (digital)]]&gt;Tableau1[[#This Row],[Manque (physique)]],"MarketPlace",""))</f>
        <v>MarketPlace</v>
      </c>
      <c r="J699" t="s">
        <v>268</v>
      </c>
      <c r="K699" t="s">
        <v>438</v>
      </c>
      <c r="L699" t="s">
        <v>39</v>
      </c>
      <c r="M699" t="s">
        <v>39</v>
      </c>
      <c r="Q699" t="s">
        <v>1702</v>
      </c>
    </row>
    <row r="700" spans="1:17" hidden="1" x14ac:dyDescent="0.25">
      <c r="A700" t="s">
        <v>200</v>
      </c>
      <c r="B700" t="s">
        <v>22</v>
      </c>
      <c r="C700" t="s">
        <v>28</v>
      </c>
      <c r="D700" t="s">
        <v>29</v>
      </c>
      <c r="E700">
        <v>0</v>
      </c>
      <c r="F700">
        <f>MAX(-1,3-Tableau1[[#This Row],[Nb possédé (digital)]])</f>
        <v>3</v>
      </c>
      <c r="G700">
        <v>3</v>
      </c>
      <c r="H700">
        <f>MAX(-1,3-Tableau1[[#This Row],[Possédé (physique)]])</f>
        <v>0</v>
      </c>
      <c r="I700" t="str">
        <f>IF(Tableau1[[#This Row],[Manque (physique)]]&gt;Tableau1[[#This Row],[Manque (digital)]],"POD",IF(Tableau1[[#This Row],[Manque (digital)]]&gt;Tableau1[[#This Row],[Manque (physique)]],"MarketPlace",""))</f>
        <v>MarketPlace</v>
      </c>
      <c r="J700" t="s">
        <v>17</v>
      </c>
      <c r="K700" t="s">
        <v>201</v>
      </c>
      <c r="L700" t="s">
        <v>20</v>
      </c>
      <c r="M700" t="s">
        <v>20</v>
      </c>
      <c r="Q700" t="s">
        <v>203</v>
      </c>
    </row>
    <row r="701" spans="1:17" hidden="1" x14ac:dyDescent="0.25">
      <c r="A701" t="s">
        <v>945</v>
      </c>
      <c r="B701" t="s">
        <v>22</v>
      </c>
      <c r="C701" t="s">
        <v>28</v>
      </c>
      <c r="D701" t="s">
        <v>29</v>
      </c>
      <c r="E701">
        <v>0</v>
      </c>
      <c r="F701">
        <f>MAX(-1,3-Tableau1[[#This Row],[Nb possédé (digital)]])</f>
        <v>3</v>
      </c>
      <c r="G701">
        <v>3</v>
      </c>
      <c r="H701">
        <f>MAX(-1,3-Tableau1[[#This Row],[Possédé (physique)]])</f>
        <v>0</v>
      </c>
      <c r="I701" t="str">
        <f>IF(Tableau1[[#This Row],[Manque (physique)]]&gt;Tableau1[[#This Row],[Manque (digital)]],"POD",IF(Tableau1[[#This Row],[Manque (digital)]]&gt;Tableau1[[#This Row],[Manque (physique)]],"MarketPlace",""))</f>
        <v>MarketPlace</v>
      </c>
      <c r="J701" t="s">
        <v>30</v>
      </c>
      <c r="K701" t="s">
        <v>79</v>
      </c>
      <c r="L701" t="s">
        <v>20</v>
      </c>
      <c r="M701" t="s">
        <v>20</v>
      </c>
      <c r="N701" t="s">
        <v>89</v>
      </c>
      <c r="O701" t="s">
        <v>20</v>
      </c>
      <c r="P701" t="s">
        <v>20</v>
      </c>
      <c r="Q701" t="s">
        <v>947</v>
      </c>
    </row>
    <row r="702" spans="1:17" hidden="1" x14ac:dyDescent="0.25">
      <c r="A702" t="s">
        <v>1039</v>
      </c>
      <c r="B702" t="s">
        <v>22</v>
      </c>
      <c r="C702" t="s">
        <v>28</v>
      </c>
      <c r="D702" t="s">
        <v>29</v>
      </c>
      <c r="E702">
        <v>2</v>
      </c>
      <c r="F702">
        <f>MAX(-1,3-Tableau1[[#This Row],[Nb possédé (digital)]])</f>
        <v>1</v>
      </c>
      <c r="G702">
        <v>3</v>
      </c>
      <c r="H702">
        <f>MAX(-1,3-Tableau1[[#This Row],[Possédé (physique)]])</f>
        <v>0</v>
      </c>
      <c r="I702" t="str">
        <f>IF(Tableau1[[#This Row],[Manque (physique)]]&gt;Tableau1[[#This Row],[Manque (digital)]],"POD",IF(Tableau1[[#This Row],[Manque (digital)]]&gt;Tableau1[[#This Row],[Manque (physique)]],"MarketPlace",""))</f>
        <v>MarketPlace</v>
      </c>
      <c r="J702" t="s">
        <v>17</v>
      </c>
      <c r="K702" t="s">
        <v>18</v>
      </c>
      <c r="L702" t="s">
        <v>20</v>
      </c>
      <c r="M702" t="s">
        <v>19</v>
      </c>
      <c r="Q702" t="s">
        <v>1040</v>
      </c>
    </row>
    <row r="703" spans="1:17" hidden="1" x14ac:dyDescent="0.25">
      <c r="A703" t="s">
        <v>349</v>
      </c>
      <c r="B703" t="s">
        <v>22</v>
      </c>
      <c r="C703" t="s">
        <v>28</v>
      </c>
      <c r="D703" t="s">
        <v>29</v>
      </c>
      <c r="E703">
        <v>0</v>
      </c>
      <c r="F703">
        <f>MAX(-1,3-Tableau1[[#This Row],[Nb possédé (digital)]])</f>
        <v>3</v>
      </c>
      <c r="G703">
        <v>3</v>
      </c>
      <c r="H703">
        <f>MAX(-1,3-Tableau1[[#This Row],[Possédé (physique)]])</f>
        <v>0</v>
      </c>
      <c r="I703" t="str">
        <f>IF(Tableau1[[#This Row],[Manque (physique)]]&gt;Tableau1[[#This Row],[Manque (digital)]],"POD",IF(Tableau1[[#This Row],[Manque (digital)]]&gt;Tableau1[[#This Row],[Manque (physique)]],"MarketPlace",""))</f>
        <v>MarketPlace</v>
      </c>
      <c r="J703" t="s">
        <v>30</v>
      </c>
      <c r="K703" t="s">
        <v>350</v>
      </c>
      <c r="L703" t="s">
        <v>20</v>
      </c>
      <c r="M703" t="s">
        <v>23</v>
      </c>
      <c r="N703" t="s">
        <v>20</v>
      </c>
      <c r="O703" t="s">
        <v>20</v>
      </c>
      <c r="P703" t="s">
        <v>20</v>
      </c>
      <c r="Q703" t="s">
        <v>351</v>
      </c>
    </row>
    <row r="704" spans="1:17" hidden="1" x14ac:dyDescent="0.25">
      <c r="A704" t="s">
        <v>867</v>
      </c>
      <c r="B704" t="s">
        <v>22</v>
      </c>
      <c r="C704" t="s">
        <v>28</v>
      </c>
      <c r="D704" t="s">
        <v>29</v>
      </c>
      <c r="E704">
        <v>2</v>
      </c>
      <c r="F704">
        <f>MAX(-1,3-Tableau1[[#This Row],[Nb possédé (digital)]])</f>
        <v>1</v>
      </c>
      <c r="G704">
        <v>3</v>
      </c>
      <c r="H704">
        <f>MAX(-1,3-Tableau1[[#This Row],[Possédé (physique)]])</f>
        <v>0</v>
      </c>
      <c r="I704" t="str">
        <f>IF(Tableau1[[#This Row],[Manque (physique)]]&gt;Tableau1[[#This Row],[Manque (digital)]],"POD",IF(Tableau1[[#This Row],[Manque (digital)]]&gt;Tableau1[[#This Row],[Manque (physique)]],"MarketPlace",""))</f>
        <v>MarketPlace</v>
      </c>
      <c r="J704" t="s">
        <v>30</v>
      </c>
      <c r="K704" t="s">
        <v>868</v>
      </c>
      <c r="L704" t="s">
        <v>20</v>
      </c>
      <c r="M704" t="s">
        <v>23</v>
      </c>
      <c r="N704" t="s">
        <v>20</v>
      </c>
      <c r="O704" t="s">
        <v>20</v>
      </c>
      <c r="P704" t="s">
        <v>20</v>
      </c>
      <c r="Q704" t="s">
        <v>869</v>
      </c>
    </row>
    <row r="705" spans="1:17" hidden="1" x14ac:dyDescent="0.25">
      <c r="A705" t="s">
        <v>430</v>
      </c>
      <c r="B705" t="s">
        <v>22</v>
      </c>
      <c r="C705" t="s">
        <v>28</v>
      </c>
      <c r="D705" t="s">
        <v>29</v>
      </c>
      <c r="E705">
        <v>1</v>
      </c>
      <c r="F705">
        <f>MAX(-1,3-Tableau1[[#This Row],[Nb possédé (digital)]])</f>
        <v>2</v>
      </c>
      <c r="G705">
        <v>3</v>
      </c>
      <c r="H705">
        <f>MAX(-1,3-Tableau1[[#This Row],[Possédé (physique)]])</f>
        <v>0</v>
      </c>
      <c r="I705" t="str">
        <f>IF(Tableau1[[#This Row],[Manque (physique)]]&gt;Tableau1[[#This Row],[Manque (digital)]],"POD",IF(Tableau1[[#This Row],[Manque (digital)]]&gt;Tableau1[[#This Row],[Manque (physique)]],"MarketPlace",""))</f>
        <v>MarketPlace</v>
      </c>
      <c r="J705" t="s">
        <v>30</v>
      </c>
      <c r="K705" t="s">
        <v>68</v>
      </c>
      <c r="L705" t="s">
        <v>19</v>
      </c>
      <c r="M705" t="s">
        <v>19</v>
      </c>
      <c r="N705" t="s">
        <v>20</v>
      </c>
      <c r="O705" t="s">
        <v>20</v>
      </c>
      <c r="P705" t="s">
        <v>23</v>
      </c>
      <c r="Q705" t="s">
        <v>432</v>
      </c>
    </row>
    <row r="706" spans="1:17" hidden="1" x14ac:dyDescent="0.25">
      <c r="A706" t="s">
        <v>653</v>
      </c>
      <c r="B706" t="s">
        <v>22</v>
      </c>
      <c r="C706" t="s">
        <v>28</v>
      </c>
      <c r="D706" t="s">
        <v>29</v>
      </c>
      <c r="E706">
        <v>2</v>
      </c>
      <c r="F706">
        <f>MAX(-1,3-Tableau1[[#This Row],[Nb possédé (digital)]])</f>
        <v>1</v>
      </c>
      <c r="G706">
        <v>3</v>
      </c>
      <c r="H706">
        <f>MAX(-1,3-Tableau1[[#This Row],[Possédé (physique)]])</f>
        <v>0</v>
      </c>
      <c r="I706" t="str">
        <f>IF(Tableau1[[#This Row],[Manque (physique)]]&gt;Tableau1[[#This Row],[Manque (digital)]],"POD",IF(Tableau1[[#This Row],[Manque (digital)]]&gt;Tableau1[[#This Row],[Manque (physique)]],"MarketPlace",""))</f>
        <v>MarketPlace</v>
      </c>
      <c r="J706" t="s">
        <v>268</v>
      </c>
      <c r="K706" t="s">
        <v>438</v>
      </c>
      <c r="L706" t="s">
        <v>19</v>
      </c>
      <c r="M706" t="s">
        <v>19</v>
      </c>
      <c r="Q706" t="s">
        <v>655</v>
      </c>
    </row>
    <row r="707" spans="1:17" hidden="1" x14ac:dyDescent="0.25">
      <c r="A707" t="s">
        <v>746</v>
      </c>
      <c r="B707" t="s">
        <v>22</v>
      </c>
      <c r="C707" t="s">
        <v>28</v>
      </c>
      <c r="D707" t="s">
        <v>29</v>
      </c>
      <c r="E707">
        <v>0</v>
      </c>
      <c r="F707">
        <f>MAX(-1,3-Tableau1[[#This Row],[Nb possédé (digital)]])</f>
        <v>3</v>
      </c>
      <c r="G707">
        <v>3</v>
      </c>
      <c r="H707">
        <f>MAX(-1,3-Tableau1[[#This Row],[Possédé (physique)]])</f>
        <v>0</v>
      </c>
      <c r="I707" t="str">
        <f>IF(Tableau1[[#This Row],[Manque (physique)]]&gt;Tableau1[[#This Row],[Manque (digital)]],"POD",IF(Tableau1[[#This Row],[Manque (digital)]]&gt;Tableau1[[#This Row],[Manque (physique)]],"MarketPlace",""))</f>
        <v>MarketPlace</v>
      </c>
      <c r="J707" t="s">
        <v>30</v>
      </c>
      <c r="K707" t="s">
        <v>42</v>
      </c>
      <c r="L707" t="s">
        <v>19</v>
      </c>
      <c r="M707" t="s">
        <v>19</v>
      </c>
      <c r="N707" t="s">
        <v>19</v>
      </c>
      <c r="O707" t="s">
        <v>19</v>
      </c>
      <c r="P707" t="s">
        <v>19</v>
      </c>
      <c r="Q707" t="s">
        <v>747</v>
      </c>
    </row>
    <row r="708" spans="1:17" hidden="1" x14ac:dyDescent="0.25">
      <c r="A708" t="s">
        <v>1096</v>
      </c>
      <c r="B708" t="s">
        <v>22</v>
      </c>
      <c r="C708" t="s">
        <v>28</v>
      </c>
      <c r="D708" t="s">
        <v>29</v>
      </c>
      <c r="E708">
        <v>2</v>
      </c>
      <c r="F708">
        <f>MAX(-1,3-Tableau1[[#This Row],[Nb possédé (digital)]])</f>
        <v>1</v>
      </c>
      <c r="G708">
        <v>3</v>
      </c>
      <c r="H708">
        <f>MAX(-1,3-Tableau1[[#This Row],[Possédé (physique)]])</f>
        <v>0</v>
      </c>
      <c r="I708" t="str">
        <f>IF(Tableau1[[#This Row],[Manque (physique)]]&gt;Tableau1[[#This Row],[Manque (digital)]],"POD",IF(Tableau1[[#This Row],[Manque (digital)]]&gt;Tableau1[[#This Row],[Manque (physique)]],"MarketPlace",""))</f>
        <v>MarketPlace</v>
      </c>
      <c r="J708" t="s">
        <v>268</v>
      </c>
      <c r="K708" t="s">
        <v>438</v>
      </c>
      <c r="L708" t="s">
        <v>19</v>
      </c>
      <c r="M708" t="s">
        <v>19</v>
      </c>
      <c r="Q708" t="s">
        <v>1098</v>
      </c>
    </row>
    <row r="709" spans="1:17" hidden="1" x14ac:dyDescent="0.25">
      <c r="A709" t="s">
        <v>260</v>
      </c>
      <c r="B709" t="s">
        <v>22</v>
      </c>
      <c r="C709" t="s">
        <v>28</v>
      </c>
      <c r="D709" t="s">
        <v>29</v>
      </c>
      <c r="E709">
        <v>1</v>
      </c>
      <c r="F709">
        <f>MAX(-1,3-Tableau1[[#This Row],[Nb possédé (digital)]])</f>
        <v>2</v>
      </c>
      <c r="G709">
        <v>3</v>
      </c>
      <c r="H709">
        <f>MAX(-1,3-Tableau1[[#This Row],[Possédé (physique)]])</f>
        <v>0</v>
      </c>
      <c r="I709" t="str">
        <f>IF(Tableau1[[#This Row],[Manque (physique)]]&gt;Tableau1[[#This Row],[Manque (digital)]],"POD",IF(Tableau1[[#This Row],[Manque (digital)]]&gt;Tableau1[[#This Row],[Manque (physique)]],"MarketPlace",""))</f>
        <v>MarketPlace</v>
      </c>
      <c r="J709" t="s">
        <v>30</v>
      </c>
      <c r="K709" t="s">
        <v>171</v>
      </c>
      <c r="L709" t="s">
        <v>19</v>
      </c>
      <c r="M709" t="s">
        <v>23</v>
      </c>
      <c r="N709" t="s">
        <v>19</v>
      </c>
      <c r="O709" t="s">
        <v>89</v>
      </c>
      <c r="P709" t="s">
        <v>19</v>
      </c>
      <c r="Q709" t="s">
        <v>262</v>
      </c>
    </row>
    <row r="710" spans="1:17" hidden="1" x14ac:dyDescent="0.25">
      <c r="A710" t="s">
        <v>353</v>
      </c>
      <c r="B710" t="s">
        <v>22</v>
      </c>
      <c r="C710" t="s">
        <v>28</v>
      </c>
      <c r="D710" t="s">
        <v>29</v>
      </c>
      <c r="E710">
        <v>0</v>
      </c>
      <c r="F710">
        <f>MAX(-1,3-Tableau1[[#This Row],[Nb possédé (digital)]])</f>
        <v>3</v>
      </c>
      <c r="G710">
        <v>3</v>
      </c>
      <c r="H710">
        <f>MAX(-1,3-Tableau1[[#This Row],[Possédé (physique)]])</f>
        <v>0</v>
      </c>
      <c r="I710" t="str">
        <f>IF(Tableau1[[#This Row],[Manque (physique)]]&gt;Tableau1[[#This Row],[Manque (digital)]],"POD",IF(Tableau1[[#This Row],[Manque (digital)]]&gt;Tableau1[[#This Row],[Manque (physique)]],"MarketPlace",""))</f>
        <v>MarketPlace</v>
      </c>
      <c r="J710" t="s">
        <v>30</v>
      </c>
      <c r="K710" t="s">
        <v>292</v>
      </c>
      <c r="L710" t="s">
        <v>19</v>
      </c>
      <c r="M710" t="s">
        <v>23</v>
      </c>
      <c r="N710" t="s">
        <v>20</v>
      </c>
      <c r="O710" t="s">
        <v>19</v>
      </c>
      <c r="P710" t="s">
        <v>19</v>
      </c>
      <c r="Q710" t="s">
        <v>355</v>
      </c>
    </row>
    <row r="711" spans="1:17" hidden="1" x14ac:dyDescent="0.25">
      <c r="A711" t="s">
        <v>1047</v>
      </c>
      <c r="B711" t="s">
        <v>22</v>
      </c>
      <c r="C711" t="s">
        <v>28</v>
      </c>
      <c r="D711" t="s">
        <v>29</v>
      </c>
      <c r="E711">
        <v>2</v>
      </c>
      <c r="F711">
        <f>MAX(-1,3-Tableau1[[#This Row],[Nb possédé (digital)]])</f>
        <v>1</v>
      </c>
      <c r="G711">
        <v>3</v>
      </c>
      <c r="H711">
        <f>MAX(-1,3-Tableau1[[#This Row],[Possédé (physique)]])</f>
        <v>0</v>
      </c>
      <c r="I711" t="str">
        <f>IF(Tableau1[[#This Row],[Manque (physique)]]&gt;Tableau1[[#This Row],[Manque (digital)]],"POD",IF(Tableau1[[#This Row],[Manque (digital)]]&gt;Tableau1[[#This Row],[Manque (physique)]],"MarketPlace",""))</f>
        <v>MarketPlace</v>
      </c>
      <c r="J711" t="s">
        <v>30</v>
      </c>
      <c r="K711" t="s">
        <v>292</v>
      </c>
      <c r="L711" t="s">
        <v>19</v>
      </c>
      <c r="M711" t="s">
        <v>23</v>
      </c>
      <c r="N711" t="s">
        <v>19</v>
      </c>
      <c r="O711" t="s">
        <v>19</v>
      </c>
      <c r="P711" t="s">
        <v>20</v>
      </c>
      <c r="Q711" t="s">
        <v>1049</v>
      </c>
    </row>
    <row r="712" spans="1:17" hidden="1" x14ac:dyDescent="0.25">
      <c r="A712" t="s">
        <v>1144</v>
      </c>
      <c r="B712" t="s">
        <v>22</v>
      </c>
      <c r="C712" t="s">
        <v>28</v>
      </c>
      <c r="D712" t="s">
        <v>29</v>
      </c>
      <c r="E712">
        <v>1</v>
      </c>
      <c r="F712">
        <f>MAX(-1,3-Tableau1[[#This Row],[Nb possédé (digital)]])</f>
        <v>2</v>
      </c>
      <c r="G712">
        <v>3</v>
      </c>
      <c r="H712">
        <f>MAX(-1,3-Tableau1[[#This Row],[Possédé (physique)]])</f>
        <v>0</v>
      </c>
      <c r="I712" t="str">
        <f>IF(Tableau1[[#This Row],[Manque (physique)]]&gt;Tableau1[[#This Row],[Manque (digital)]],"POD",IF(Tableau1[[#This Row],[Manque (digital)]]&gt;Tableau1[[#This Row],[Manque (physique)]],"MarketPlace",""))</f>
        <v>MarketPlace</v>
      </c>
      <c r="J712" t="s">
        <v>17</v>
      </c>
      <c r="K712" t="s">
        <v>153</v>
      </c>
      <c r="L712" t="s">
        <v>19</v>
      </c>
      <c r="M712" t="s">
        <v>52</v>
      </c>
      <c r="Q712" t="s">
        <v>1146</v>
      </c>
    </row>
    <row r="713" spans="1:17" hidden="1" x14ac:dyDescent="0.25">
      <c r="A713" t="s">
        <v>221</v>
      </c>
      <c r="B713" t="s">
        <v>22</v>
      </c>
      <c r="C713" t="s">
        <v>28</v>
      </c>
      <c r="D713" t="s">
        <v>29</v>
      </c>
      <c r="E713">
        <v>3</v>
      </c>
      <c r="F713">
        <f>MAX(-1,3-Tableau1[[#This Row],[Nb possédé (digital)]])</f>
        <v>0</v>
      </c>
      <c r="G713">
        <v>3</v>
      </c>
      <c r="H713">
        <f>MAX(-1,3-Tableau1[[#This Row],[Possédé (physique)]])</f>
        <v>0</v>
      </c>
      <c r="I713" t="str">
        <f>IF(Tableau1[[#This Row],[Manque (physique)]]&gt;Tableau1[[#This Row],[Manque (digital)]],"POD",IF(Tableau1[[#This Row],[Manque (digital)]]&gt;Tableau1[[#This Row],[Manque (physique)]],"MarketPlace",""))</f>
        <v/>
      </c>
      <c r="J713" t="s">
        <v>116</v>
      </c>
      <c r="K713" t="s">
        <v>117</v>
      </c>
      <c r="L713" t="s">
        <v>23</v>
      </c>
      <c r="M713" t="s">
        <v>19</v>
      </c>
      <c r="Q713" t="s">
        <v>223</v>
      </c>
    </row>
    <row r="714" spans="1:17" hidden="1" x14ac:dyDescent="0.25">
      <c r="A714" t="s">
        <v>498</v>
      </c>
      <c r="B714" t="s">
        <v>22</v>
      </c>
      <c r="C714" t="s">
        <v>28</v>
      </c>
      <c r="D714" t="s">
        <v>29</v>
      </c>
      <c r="E714">
        <v>2</v>
      </c>
      <c r="F714">
        <f>MAX(-1,3-Tableau1[[#This Row],[Nb possédé (digital)]])</f>
        <v>1</v>
      </c>
      <c r="G714">
        <v>3</v>
      </c>
      <c r="H714">
        <f>MAX(-1,3-Tableau1[[#This Row],[Possédé (physique)]])</f>
        <v>0</v>
      </c>
      <c r="I714" t="str">
        <f>IF(Tableau1[[#This Row],[Manque (physique)]]&gt;Tableau1[[#This Row],[Manque (digital)]],"POD",IF(Tableau1[[#This Row],[Manque (digital)]]&gt;Tableau1[[#This Row],[Manque (physique)]],"MarketPlace",""))</f>
        <v>MarketPlace</v>
      </c>
      <c r="J714" t="s">
        <v>30</v>
      </c>
      <c r="K714" t="s">
        <v>42</v>
      </c>
      <c r="L714" t="s">
        <v>23</v>
      </c>
      <c r="M714" t="s">
        <v>19</v>
      </c>
      <c r="N714" t="s">
        <v>19</v>
      </c>
      <c r="O714" t="s">
        <v>19</v>
      </c>
      <c r="P714" t="s">
        <v>19</v>
      </c>
      <c r="Q714" t="s">
        <v>500</v>
      </c>
    </row>
    <row r="715" spans="1:17" hidden="1" x14ac:dyDescent="0.25">
      <c r="A715" t="s">
        <v>568</v>
      </c>
      <c r="B715" t="s">
        <v>22</v>
      </c>
      <c r="C715" t="s">
        <v>28</v>
      </c>
      <c r="D715" t="s">
        <v>29</v>
      </c>
      <c r="E715">
        <v>2</v>
      </c>
      <c r="F715">
        <f>MAX(-1,3-Tableau1[[#This Row],[Nb possédé (digital)]])</f>
        <v>1</v>
      </c>
      <c r="G715">
        <v>3</v>
      </c>
      <c r="H715">
        <f>MAX(-1,3-Tableau1[[#This Row],[Possédé (physique)]])</f>
        <v>0</v>
      </c>
      <c r="I715" t="str">
        <f>IF(Tableau1[[#This Row],[Manque (physique)]]&gt;Tableau1[[#This Row],[Manque (digital)]],"POD",IF(Tableau1[[#This Row],[Manque (digital)]]&gt;Tableau1[[#This Row],[Manque (physique)]],"MarketPlace",""))</f>
        <v>MarketPlace</v>
      </c>
      <c r="J715" t="s">
        <v>30</v>
      </c>
      <c r="K715" t="s">
        <v>124</v>
      </c>
      <c r="L715" t="s">
        <v>23</v>
      </c>
      <c r="M715" t="s">
        <v>19</v>
      </c>
      <c r="N715" t="s">
        <v>19</v>
      </c>
      <c r="O715" t="s">
        <v>19</v>
      </c>
      <c r="P715" t="s">
        <v>19</v>
      </c>
      <c r="Q715" t="s">
        <v>570</v>
      </c>
    </row>
    <row r="716" spans="1:17" hidden="1" x14ac:dyDescent="0.25">
      <c r="A716" t="s">
        <v>27</v>
      </c>
      <c r="B716" t="s">
        <v>22</v>
      </c>
      <c r="C716" t="s">
        <v>28</v>
      </c>
      <c r="D716" t="s">
        <v>29</v>
      </c>
      <c r="E716">
        <v>2</v>
      </c>
      <c r="F716">
        <f>MAX(-1,3-Tableau1[[#This Row],[Nb possédé (digital)]])</f>
        <v>1</v>
      </c>
      <c r="G716">
        <v>3</v>
      </c>
      <c r="H716">
        <f>MAX(-1,3-Tableau1[[#This Row],[Possédé (physique)]])</f>
        <v>0</v>
      </c>
      <c r="I716" t="str">
        <f>IF(Tableau1[[#This Row],[Manque (physique)]]&gt;Tableau1[[#This Row],[Manque (digital)]],"POD",IF(Tableau1[[#This Row],[Manque (digital)]]&gt;Tableau1[[#This Row],[Manque (physique)]],"MarketPlace",""))</f>
        <v>MarketPlace</v>
      </c>
      <c r="J716" t="s">
        <v>30</v>
      </c>
      <c r="K716" t="s">
        <v>31</v>
      </c>
      <c r="L716" t="s">
        <v>23</v>
      </c>
      <c r="M716" t="s">
        <v>23</v>
      </c>
      <c r="N716" t="s">
        <v>23</v>
      </c>
      <c r="O716" t="s">
        <v>19</v>
      </c>
      <c r="P716" t="s">
        <v>23</v>
      </c>
      <c r="Q716" t="s">
        <v>33</v>
      </c>
    </row>
    <row r="717" spans="1:17" hidden="1" x14ac:dyDescent="0.25">
      <c r="A717" t="s">
        <v>274</v>
      </c>
      <c r="B717" t="s">
        <v>22</v>
      </c>
      <c r="C717" t="s">
        <v>28</v>
      </c>
      <c r="D717" t="s">
        <v>29</v>
      </c>
      <c r="E717">
        <v>2</v>
      </c>
      <c r="F717">
        <f>MAX(-1,3-Tableau1[[#This Row],[Nb possédé (digital)]])</f>
        <v>1</v>
      </c>
      <c r="G717">
        <v>3</v>
      </c>
      <c r="H717">
        <f>MAX(-1,3-Tableau1[[#This Row],[Possédé (physique)]])</f>
        <v>0</v>
      </c>
      <c r="I717" t="str">
        <f>IF(Tableau1[[#This Row],[Manque (physique)]]&gt;Tableau1[[#This Row],[Manque (digital)]],"POD",IF(Tableau1[[#This Row],[Manque (digital)]]&gt;Tableau1[[#This Row],[Manque (physique)]],"MarketPlace",""))</f>
        <v>MarketPlace</v>
      </c>
      <c r="J717" t="s">
        <v>30</v>
      </c>
      <c r="K717" t="s">
        <v>107</v>
      </c>
      <c r="L717" t="s">
        <v>23</v>
      </c>
      <c r="M717" t="s">
        <v>23</v>
      </c>
      <c r="N717" t="s">
        <v>20</v>
      </c>
      <c r="O717" t="s">
        <v>20</v>
      </c>
      <c r="P717" t="s">
        <v>19</v>
      </c>
      <c r="Q717" t="s">
        <v>276</v>
      </c>
    </row>
    <row r="718" spans="1:17" hidden="1" x14ac:dyDescent="0.25">
      <c r="A718" t="s">
        <v>437</v>
      </c>
      <c r="B718" t="s">
        <v>22</v>
      </c>
      <c r="C718" t="s">
        <v>28</v>
      </c>
      <c r="D718" t="s">
        <v>29</v>
      </c>
      <c r="E718">
        <v>2</v>
      </c>
      <c r="F718">
        <f>MAX(-1,3-Tableau1[[#This Row],[Nb possédé (digital)]])</f>
        <v>1</v>
      </c>
      <c r="G718">
        <v>3</v>
      </c>
      <c r="H718">
        <f>MAX(-1,3-Tableau1[[#This Row],[Possédé (physique)]])</f>
        <v>0</v>
      </c>
      <c r="I718" t="str">
        <f>IF(Tableau1[[#This Row],[Manque (physique)]]&gt;Tableau1[[#This Row],[Manque (digital)]],"POD",IF(Tableau1[[#This Row],[Manque (digital)]]&gt;Tableau1[[#This Row],[Manque (physique)]],"MarketPlace",""))</f>
        <v>MarketPlace</v>
      </c>
      <c r="J718" t="s">
        <v>268</v>
      </c>
      <c r="K718" t="s">
        <v>438</v>
      </c>
      <c r="L718" t="s">
        <v>23</v>
      </c>
      <c r="M718" t="s">
        <v>23</v>
      </c>
      <c r="Q718" t="s">
        <v>440</v>
      </c>
    </row>
    <row r="719" spans="1:17" hidden="1" x14ac:dyDescent="0.25">
      <c r="A719" t="s">
        <v>742</v>
      </c>
      <c r="B719" t="s">
        <v>22</v>
      </c>
      <c r="C719" t="s">
        <v>28</v>
      </c>
      <c r="D719" t="s">
        <v>29</v>
      </c>
      <c r="E719">
        <v>2</v>
      </c>
      <c r="F719">
        <f>MAX(-1,3-Tableau1[[#This Row],[Nb possédé (digital)]])</f>
        <v>1</v>
      </c>
      <c r="G719">
        <v>2</v>
      </c>
      <c r="H719">
        <f>MAX(-1,3-Tableau1[[#This Row],[Possédé (physique)]])</f>
        <v>1</v>
      </c>
      <c r="I719" t="str">
        <f>IF(Tableau1[[#This Row],[Manque (physique)]]&gt;Tableau1[[#This Row],[Manque (digital)]],"POD",IF(Tableau1[[#This Row],[Manque (digital)]]&gt;Tableau1[[#This Row],[Manque (physique)]],"MarketPlace",""))</f>
        <v/>
      </c>
      <c r="J719" t="s">
        <v>268</v>
      </c>
      <c r="K719" t="s">
        <v>438</v>
      </c>
      <c r="L719" t="s">
        <v>23</v>
      </c>
      <c r="M719" t="s">
        <v>23</v>
      </c>
      <c r="Q719" t="s">
        <v>744</v>
      </c>
    </row>
    <row r="720" spans="1:17" hidden="1" x14ac:dyDescent="0.25">
      <c r="A720" t="s">
        <v>1055</v>
      </c>
      <c r="B720" t="s">
        <v>22</v>
      </c>
      <c r="C720" t="s">
        <v>28</v>
      </c>
      <c r="D720" t="s">
        <v>29</v>
      </c>
      <c r="E720">
        <v>1</v>
      </c>
      <c r="F720">
        <f>MAX(-1,3-Tableau1[[#This Row],[Nb possédé (digital)]])</f>
        <v>2</v>
      </c>
      <c r="G720">
        <v>3</v>
      </c>
      <c r="H720">
        <f>MAX(-1,3-Tableau1[[#This Row],[Possédé (physique)]])</f>
        <v>0</v>
      </c>
      <c r="I720" t="str">
        <f>IF(Tableau1[[#This Row],[Manque (physique)]]&gt;Tableau1[[#This Row],[Manque (digital)]],"POD",IF(Tableau1[[#This Row],[Manque (digital)]]&gt;Tableau1[[#This Row],[Manque (physique)]],"MarketPlace",""))</f>
        <v>MarketPlace</v>
      </c>
      <c r="J720" t="s">
        <v>30</v>
      </c>
      <c r="K720" t="s">
        <v>36</v>
      </c>
      <c r="L720" t="s">
        <v>23</v>
      </c>
      <c r="M720" t="s">
        <v>23</v>
      </c>
      <c r="N720" t="s">
        <v>19</v>
      </c>
      <c r="O720" t="s">
        <v>19</v>
      </c>
      <c r="P720" t="s">
        <v>23</v>
      </c>
      <c r="Q720" t="s">
        <v>1057</v>
      </c>
    </row>
    <row r="721" spans="1:17" hidden="1" x14ac:dyDescent="0.25">
      <c r="A721" t="s">
        <v>559</v>
      </c>
      <c r="B721" t="s">
        <v>22</v>
      </c>
      <c r="C721" t="s">
        <v>28</v>
      </c>
      <c r="D721" t="s">
        <v>29</v>
      </c>
      <c r="E721">
        <v>2</v>
      </c>
      <c r="F721">
        <f>MAX(-1,3-Tableau1[[#This Row],[Nb possédé (digital)]])</f>
        <v>1</v>
      </c>
      <c r="G721">
        <v>3</v>
      </c>
      <c r="H721">
        <f>MAX(-1,3-Tableau1[[#This Row],[Possédé (physique)]])</f>
        <v>0</v>
      </c>
      <c r="I721" t="str">
        <f>IF(Tableau1[[#This Row],[Manque (physique)]]&gt;Tableau1[[#This Row],[Manque (digital)]],"POD",IF(Tableau1[[#This Row],[Manque (digital)]]&gt;Tableau1[[#This Row],[Manque (physique)]],"MarketPlace",""))</f>
        <v>MarketPlace</v>
      </c>
      <c r="J721" t="s">
        <v>30</v>
      </c>
      <c r="K721" t="s">
        <v>83</v>
      </c>
      <c r="L721" t="s">
        <v>52</v>
      </c>
      <c r="M721" t="s">
        <v>23</v>
      </c>
      <c r="N721" t="s">
        <v>52</v>
      </c>
      <c r="O721" t="s">
        <v>52</v>
      </c>
      <c r="P721" t="s">
        <v>19</v>
      </c>
      <c r="Q721" t="s">
        <v>561</v>
      </c>
    </row>
    <row r="722" spans="1:17" hidden="1" x14ac:dyDescent="0.25">
      <c r="A722" t="s">
        <v>174</v>
      </c>
      <c r="B722" t="s">
        <v>22</v>
      </c>
      <c r="C722" t="s">
        <v>28</v>
      </c>
      <c r="D722" t="s">
        <v>29</v>
      </c>
      <c r="E722">
        <v>0</v>
      </c>
      <c r="F722">
        <f>MAX(-1,3-Tableau1[[#This Row],[Nb possédé (digital)]])</f>
        <v>3</v>
      </c>
      <c r="G722">
        <v>3</v>
      </c>
      <c r="H722">
        <f>MAX(-1,3-Tableau1[[#This Row],[Possédé (physique)]])</f>
        <v>0</v>
      </c>
      <c r="I722" t="str">
        <f>IF(Tableau1[[#This Row],[Manque (physique)]]&gt;Tableau1[[#This Row],[Manque (digital)]],"POD",IF(Tableau1[[#This Row],[Manque (digital)]]&gt;Tableau1[[#This Row],[Manque (physique)]],"MarketPlace",""))</f>
        <v>MarketPlace</v>
      </c>
      <c r="J722" t="s">
        <v>30</v>
      </c>
      <c r="K722" t="s">
        <v>171</v>
      </c>
      <c r="L722" t="s">
        <v>52</v>
      </c>
      <c r="M722" t="s">
        <v>52</v>
      </c>
      <c r="N722" t="s">
        <v>52</v>
      </c>
      <c r="O722" t="s">
        <v>52</v>
      </c>
      <c r="P722" t="s">
        <v>89</v>
      </c>
      <c r="Q722" t="s">
        <v>176</v>
      </c>
    </row>
    <row r="723" spans="1:17" hidden="1" x14ac:dyDescent="0.25">
      <c r="A723" t="s">
        <v>369</v>
      </c>
      <c r="B723" t="s">
        <v>22</v>
      </c>
      <c r="C723" t="s">
        <v>28</v>
      </c>
      <c r="D723" t="s">
        <v>29</v>
      </c>
      <c r="E723">
        <v>1</v>
      </c>
      <c r="F723">
        <f>MAX(-1,3-Tableau1[[#This Row],[Nb possédé (digital)]])</f>
        <v>2</v>
      </c>
      <c r="G723">
        <v>3</v>
      </c>
      <c r="H723">
        <f>MAX(-1,3-Tableau1[[#This Row],[Possédé (physique)]])</f>
        <v>0</v>
      </c>
      <c r="I723" t="str">
        <f>IF(Tableau1[[#This Row],[Manque (physique)]]&gt;Tableau1[[#This Row],[Manque (digital)]],"POD",IF(Tableau1[[#This Row],[Manque (digital)]]&gt;Tableau1[[#This Row],[Manque (physique)]],"MarketPlace",""))</f>
        <v>MarketPlace</v>
      </c>
      <c r="J723" t="s">
        <v>17</v>
      </c>
      <c r="K723" t="s">
        <v>153</v>
      </c>
      <c r="L723" t="s">
        <v>52</v>
      </c>
      <c r="M723" t="s">
        <v>52</v>
      </c>
      <c r="Q723" t="s">
        <v>371</v>
      </c>
    </row>
    <row r="724" spans="1:17" hidden="1" x14ac:dyDescent="0.25">
      <c r="A724" t="s">
        <v>542</v>
      </c>
      <c r="B724" t="s">
        <v>22</v>
      </c>
      <c r="C724" t="s">
        <v>28</v>
      </c>
      <c r="D724" t="s">
        <v>29</v>
      </c>
      <c r="E724">
        <v>0</v>
      </c>
      <c r="F724">
        <f>MAX(-1,3-Tableau1[[#This Row],[Nb possédé (digital)]])</f>
        <v>3</v>
      </c>
      <c r="G724">
        <v>3</v>
      </c>
      <c r="H724">
        <f>MAX(-1,3-Tableau1[[#This Row],[Possédé (physique)]])</f>
        <v>0</v>
      </c>
      <c r="I724" t="str">
        <f>IF(Tableau1[[#This Row],[Manque (physique)]]&gt;Tableau1[[#This Row],[Manque (digital)]],"POD",IF(Tableau1[[#This Row],[Manque (digital)]]&gt;Tableau1[[#This Row],[Manque (physique)]],"MarketPlace",""))</f>
        <v>MarketPlace</v>
      </c>
      <c r="J724" t="s">
        <v>30</v>
      </c>
      <c r="K724" t="s">
        <v>51</v>
      </c>
      <c r="L724" t="s">
        <v>52</v>
      </c>
      <c r="M724" t="s">
        <v>52</v>
      </c>
      <c r="N724" t="s">
        <v>52</v>
      </c>
      <c r="O724" t="s">
        <v>19</v>
      </c>
      <c r="P724" t="s">
        <v>52</v>
      </c>
    </row>
    <row r="725" spans="1:17" hidden="1" x14ac:dyDescent="0.25">
      <c r="A725" t="s">
        <v>385</v>
      </c>
      <c r="B725" t="s">
        <v>22</v>
      </c>
      <c r="C725" t="s">
        <v>28</v>
      </c>
      <c r="D725" t="s">
        <v>29</v>
      </c>
      <c r="E725">
        <v>1</v>
      </c>
      <c r="F725">
        <f>MAX(-1,3-Tableau1[[#This Row],[Nb possédé (digital)]])</f>
        <v>2</v>
      </c>
      <c r="G725">
        <v>3</v>
      </c>
      <c r="H725">
        <f>MAX(-1,3-Tableau1[[#This Row],[Possédé (physique)]])</f>
        <v>0</v>
      </c>
      <c r="I725" t="str">
        <f>IF(Tableau1[[#This Row],[Manque (physique)]]&gt;Tableau1[[#This Row],[Manque (digital)]],"POD",IF(Tableau1[[#This Row],[Manque (digital)]]&gt;Tableau1[[#This Row],[Manque (physique)]],"MarketPlace",""))</f>
        <v>MarketPlace</v>
      </c>
      <c r="J725" t="s">
        <v>30</v>
      </c>
      <c r="K725" t="s">
        <v>171</v>
      </c>
      <c r="L725" t="s">
        <v>37</v>
      </c>
      <c r="M725" t="s">
        <v>23</v>
      </c>
      <c r="N725" t="s">
        <v>52</v>
      </c>
      <c r="O725" t="s">
        <v>52</v>
      </c>
      <c r="P725" t="s">
        <v>52</v>
      </c>
      <c r="Q725" t="s">
        <v>387</v>
      </c>
    </row>
    <row r="726" spans="1:17" hidden="1" x14ac:dyDescent="0.25">
      <c r="A726" t="s">
        <v>795</v>
      </c>
      <c r="B726" t="s">
        <v>22</v>
      </c>
      <c r="C726" t="s">
        <v>28</v>
      </c>
      <c r="D726" t="s">
        <v>29</v>
      </c>
      <c r="E726">
        <v>1</v>
      </c>
      <c r="F726">
        <f>MAX(-1,3-Tableau1[[#This Row],[Nb possédé (digital)]])</f>
        <v>2</v>
      </c>
      <c r="G726">
        <v>3</v>
      </c>
      <c r="H726">
        <f>MAX(-1,3-Tableau1[[#This Row],[Possédé (physique)]])</f>
        <v>0</v>
      </c>
      <c r="I726" t="str">
        <f>IF(Tableau1[[#This Row],[Manque (physique)]]&gt;Tableau1[[#This Row],[Manque (digital)]],"POD",IF(Tableau1[[#This Row],[Manque (digital)]]&gt;Tableau1[[#This Row],[Manque (physique)]],"MarketPlace",""))</f>
        <v>MarketPlace</v>
      </c>
      <c r="J726" t="s">
        <v>268</v>
      </c>
      <c r="K726" t="s">
        <v>438</v>
      </c>
      <c r="L726" t="s">
        <v>37</v>
      </c>
      <c r="M726" t="s">
        <v>37</v>
      </c>
      <c r="Q726" t="s">
        <v>797</v>
      </c>
    </row>
    <row r="727" spans="1:17" hidden="1" x14ac:dyDescent="0.25">
      <c r="A727" t="s">
        <v>908</v>
      </c>
      <c r="B727" t="s">
        <v>22</v>
      </c>
      <c r="C727" t="s">
        <v>28</v>
      </c>
      <c r="D727" t="s">
        <v>29</v>
      </c>
      <c r="E727">
        <v>2</v>
      </c>
      <c r="F727">
        <f>MAX(-1,3-Tableau1[[#This Row],[Nb possédé (digital)]])</f>
        <v>1</v>
      </c>
      <c r="G727">
        <v>3</v>
      </c>
      <c r="H727">
        <f>MAX(-1,3-Tableau1[[#This Row],[Possédé (physique)]])</f>
        <v>0</v>
      </c>
      <c r="I727" t="str">
        <f>IF(Tableau1[[#This Row],[Manque (physique)]]&gt;Tableau1[[#This Row],[Manque (digital)]],"POD",IF(Tableau1[[#This Row],[Manque (digital)]]&gt;Tableau1[[#This Row],[Manque (physique)]],"MarketPlace",""))</f>
        <v>MarketPlace</v>
      </c>
      <c r="J727" t="s">
        <v>30</v>
      </c>
      <c r="K727" t="s">
        <v>292</v>
      </c>
      <c r="L727" t="s">
        <v>37</v>
      </c>
      <c r="M727" t="s">
        <v>39</v>
      </c>
      <c r="N727" t="s">
        <v>37</v>
      </c>
      <c r="O727" t="s">
        <v>37</v>
      </c>
      <c r="P727" t="s">
        <v>37</v>
      </c>
      <c r="Q727" t="s">
        <v>910</v>
      </c>
    </row>
    <row r="728" spans="1:17" hidden="1" x14ac:dyDescent="0.25">
      <c r="A728" t="s">
        <v>792</v>
      </c>
      <c r="B728" t="s">
        <v>22</v>
      </c>
      <c r="C728" t="s">
        <v>28</v>
      </c>
      <c r="D728" t="s">
        <v>29</v>
      </c>
      <c r="E728">
        <v>1</v>
      </c>
      <c r="F728">
        <f>MAX(-1,3-Tableau1[[#This Row],[Nb possédé (digital)]])</f>
        <v>2</v>
      </c>
      <c r="G728">
        <v>3</v>
      </c>
      <c r="H728">
        <f>MAX(-1,3-Tableau1[[#This Row],[Possédé (physique)]])</f>
        <v>0</v>
      </c>
      <c r="I728" t="str">
        <f>IF(Tableau1[[#This Row],[Manque (physique)]]&gt;Tableau1[[#This Row],[Manque (digital)]],"POD",IF(Tableau1[[#This Row],[Manque (digital)]]&gt;Tableau1[[#This Row],[Manque (physique)]],"MarketPlace",""))</f>
        <v>MarketPlace</v>
      </c>
      <c r="J728" t="s">
        <v>30</v>
      </c>
      <c r="K728" t="s">
        <v>124</v>
      </c>
      <c r="L728" t="s">
        <v>39</v>
      </c>
      <c r="M728" t="s">
        <v>23</v>
      </c>
      <c r="N728" t="s">
        <v>23</v>
      </c>
      <c r="O728" t="s">
        <v>23</v>
      </c>
      <c r="P728" t="s">
        <v>23</v>
      </c>
      <c r="Q728" t="s">
        <v>794</v>
      </c>
    </row>
    <row r="729" spans="1:17" hidden="1" x14ac:dyDescent="0.25">
      <c r="A729" t="s">
        <v>327</v>
      </c>
      <c r="B729" t="s">
        <v>22</v>
      </c>
      <c r="C729" t="s">
        <v>28</v>
      </c>
      <c r="D729" t="s">
        <v>29</v>
      </c>
      <c r="E729">
        <v>2</v>
      </c>
      <c r="F729">
        <f>MAX(-1,3-Tableau1[[#This Row],[Nb possédé (digital)]])</f>
        <v>1</v>
      </c>
      <c r="G729">
        <v>3</v>
      </c>
      <c r="H729">
        <f>MAX(-1,3-Tableau1[[#This Row],[Possédé (physique)]])</f>
        <v>0</v>
      </c>
      <c r="I729" t="str">
        <f>IF(Tableau1[[#This Row],[Manque (physique)]]&gt;Tableau1[[#This Row],[Manque (digital)]],"POD",IF(Tableau1[[#This Row],[Manque (digital)]]&gt;Tableau1[[#This Row],[Manque (physique)]],"MarketPlace",""))</f>
        <v>MarketPlace</v>
      </c>
      <c r="J729" t="s">
        <v>30</v>
      </c>
      <c r="K729" t="s">
        <v>328</v>
      </c>
      <c r="L729" t="s">
        <v>39</v>
      </c>
      <c r="M729" t="s">
        <v>39</v>
      </c>
      <c r="N729" t="s">
        <v>37</v>
      </c>
      <c r="O729" t="s">
        <v>37</v>
      </c>
      <c r="P729" t="s">
        <v>23</v>
      </c>
      <c r="Q729" t="s">
        <v>329</v>
      </c>
    </row>
    <row r="730" spans="1:17" hidden="1" x14ac:dyDescent="0.25">
      <c r="A730" t="s">
        <v>1189</v>
      </c>
      <c r="B730" t="s">
        <v>22</v>
      </c>
      <c r="C730" t="s">
        <v>28</v>
      </c>
      <c r="D730" t="s">
        <v>1156</v>
      </c>
      <c r="E730">
        <v>3</v>
      </c>
      <c r="F730">
        <f>MAX(-1,3-Tableau1[[#This Row],[Nb possédé (digital)]])</f>
        <v>0</v>
      </c>
      <c r="G730">
        <v>3</v>
      </c>
      <c r="H730">
        <f>MAX(-1,3-Tableau1[[#This Row],[Possédé (physique)]])</f>
        <v>0</v>
      </c>
      <c r="I730" t="str">
        <f>IF(Tableau1[[#This Row],[Manque (physique)]]&gt;Tableau1[[#This Row],[Manque (digital)]],"POD",IF(Tableau1[[#This Row],[Manque (digital)]]&gt;Tableau1[[#This Row],[Manque (physique)]],"MarketPlace",""))</f>
        <v/>
      </c>
      <c r="J730" t="s">
        <v>30</v>
      </c>
      <c r="K730" t="s">
        <v>68</v>
      </c>
      <c r="L730" t="s">
        <v>20</v>
      </c>
      <c r="M730" t="s">
        <v>20</v>
      </c>
      <c r="N730" t="s">
        <v>89</v>
      </c>
      <c r="O730" t="s">
        <v>20</v>
      </c>
      <c r="P730" t="s">
        <v>20</v>
      </c>
      <c r="Q730" t="s">
        <v>1337</v>
      </c>
    </row>
    <row r="731" spans="1:17" hidden="1" x14ac:dyDescent="0.25">
      <c r="A731" t="s">
        <v>1229</v>
      </c>
      <c r="B731" t="s">
        <v>22</v>
      </c>
      <c r="C731" t="s">
        <v>28</v>
      </c>
      <c r="D731" t="s">
        <v>1156</v>
      </c>
      <c r="E731">
        <v>1</v>
      </c>
      <c r="F731">
        <f>MAX(-1,3-Tableau1[[#This Row],[Nb possédé (digital)]])</f>
        <v>2</v>
      </c>
      <c r="G731">
        <v>3</v>
      </c>
      <c r="H731">
        <f>MAX(-1,3-Tableau1[[#This Row],[Possédé (physique)]])</f>
        <v>0</v>
      </c>
      <c r="I731" t="str">
        <f>IF(Tableau1[[#This Row],[Manque (physique)]]&gt;Tableau1[[#This Row],[Manque (digital)]],"POD",IF(Tableau1[[#This Row],[Manque (digital)]]&gt;Tableau1[[#This Row],[Manque (physique)]],"MarketPlace",""))</f>
        <v>MarketPlace</v>
      </c>
      <c r="J731" t="s">
        <v>30</v>
      </c>
      <c r="K731" t="s">
        <v>328</v>
      </c>
      <c r="L731" t="s">
        <v>20</v>
      </c>
      <c r="M731" t="s">
        <v>20</v>
      </c>
      <c r="N731" t="s">
        <v>20</v>
      </c>
      <c r="O731" t="s">
        <v>20</v>
      </c>
      <c r="P731" t="s">
        <v>20</v>
      </c>
      <c r="Q731" t="s">
        <v>1422</v>
      </c>
    </row>
    <row r="732" spans="1:17" hidden="1" x14ac:dyDescent="0.25">
      <c r="A732" t="s">
        <v>1155</v>
      </c>
      <c r="B732" t="s">
        <v>22</v>
      </c>
      <c r="C732" t="s">
        <v>28</v>
      </c>
      <c r="D732" t="s">
        <v>1156</v>
      </c>
      <c r="E732">
        <v>1</v>
      </c>
      <c r="F732">
        <f>MAX(-1,3-Tableau1[[#This Row],[Nb possédé (digital)]])</f>
        <v>2</v>
      </c>
      <c r="G732">
        <v>3</v>
      </c>
      <c r="H732">
        <f>MAX(-1,3-Tableau1[[#This Row],[Possédé (physique)]])</f>
        <v>0</v>
      </c>
      <c r="I732" t="str">
        <f>IF(Tableau1[[#This Row],[Manque (physique)]]&gt;Tableau1[[#This Row],[Manque (digital)]],"POD",IF(Tableau1[[#This Row],[Manque (digital)]]&gt;Tableau1[[#This Row],[Manque (physique)]],"MarketPlace",""))</f>
        <v>MarketPlace</v>
      </c>
      <c r="J732" t="s">
        <v>30</v>
      </c>
      <c r="K732" t="s">
        <v>124</v>
      </c>
      <c r="L732" t="s">
        <v>19</v>
      </c>
      <c r="M732" t="s">
        <v>20</v>
      </c>
      <c r="N732" t="s">
        <v>20</v>
      </c>
      <c r="O732" t="s">
        <v>20</v>
      </c>
      <c r="P732" t="s">
        <v>20</v>
      </c>
      <c r="Q732" t="s">
        <v>1267</v>
      </c>
    </row>
    <row r="733" spans="1:17" hidden="1" x14ac:dyDescent="0.25">
      <c r="A733" t="s">
        <v>1162</v>
      </c>
      <c r="B733" t="s">
        <v>22</v>
      </c>
      <c r="C733" t="s">
        <v>28</v>
      </c>
      <c r="D733" t="s">
        <v>1156</v>
      </c>
      <c r="E733">
        <v>2</v>
      </c>
      <c r="F733">
        <f>MAX(-1,3-Tableau1[[#This Row],[Nb possédé (digital)]])</f>
        <v>1</v>
      </c>
      <c r="G733">
        <v>3</v>
      </c>
      <c r="H733">
        <f>MAX(-1,3-Tableau1[[#This Row],[Possédé (physique)]])</f>
        <v>0</v>
      </c>
      <c r="I733" t="str">
        <f>IF(Tableau1[[#This Row],[Manque (physique)]]&gt;Tableau1[[#This Row],[Manque (digital)]],"POD",IF(Tableau1[[#This Row],[Manque (digital)]]&gt;Tableau1[[#This Row],[Manque (physique)]],"MarketPlace",""))</f>
        <v>MarketPlace</v>
      </c>
      <c r="J733" t="s">
        <v>30</v>
      </c>
      <c r="K733" t="s">
        <v>83</v>
      </c>
      <c r="L733" t="s">
        <v>19</v>
      </c>
      <c r="M733" t="s">
        <v>19</v>
      </c>
      <c r="N733" t="s">
        <v>19</v>
      </c>
      <c r="O733" t="s">
        <v>19</v>
      </c>
      <c r="P733" t="s">
        <v>19</v>
      </c>
      <c r="Q733" t="s">
        <v>1279</v>
      </c>
    </row>
    <row r="734" spans="1:17" hidden="1" x14ac:dyDescent="0.25">
      <c r="A734" t="s">
        <v>1163</v>
      </c>
      <c r="B734" t="s">
        <v>22</v>
      </c>
      <c r="C734" t="s">
        <v>28</v>
      </c>
      <c r="D734" t="s">
        <v>1156</v>
      </c>
      <c r="E734">
        <v>1</v>
      </c>
      <c r="F734">
        <f>MAX(-1,3-Tableau1[[#This Row],[Nb possédé (digital)]])</f>
        <v>2</v>
      </c>
      <c r="G734">
        <v>3</v>
      </c>
      <c r="H734">
        <f>MAX(-1,3-Tableau1[[#This Row],[Possédé (physique)]])</f>
        <v>0</v>
      </c>
      <c r="I734" t="str">
        <f>IF(Tableau1[[#This Row],[Manque (physique)]]&gt;Tableau1[[#This Row],[Manque (digital)]],"POD",IF(Tableau1[[#This Row],[Manque (digital)]]&gt;Tableau1[[#This Row],[Manque (physique)]],"MarketPlace",""))</f>
        <v>MarketPlace</v>
      </c>
      <c r="J734" t="s">
        <v>30</v>
      </c>
      <c r="K734" t="s">
        <v>107</v>
      </c>
      <c r="L734" t="s">
        <v>19</v>
      </c>
      <c r="M734" t="s">
        <v>19</v>
      </c>
      <c r="N734" t="s">
        <v>19</v>
      </c>
      <c r="O734" t="s">
        <v>19</v>
      </c>
      <c r="P734" t="s">
        <v>19</v>
      </c>
      <c r="Q734" t="s">
        <v>1282</v>
      </c>
    </row>
    <row r="735" spans="1:17" hidden="1" x14ac:dyDescent="0.25">
      <c r="A735" t="s">
        <v>1170</v>
      </c>
      <c r="B735" t="s">
        <v>22</v>
      </c>
      <c r="C735" t="s">
        <v>28</v>
      </c>
      <c r="D735" t="s">
        <v>1156</v>
      </c>
      <c r="E735">
        <v>1</v>
      </c>
      <c r="F735">
        <f>MAX(-1,3-Tableau1[[#This Row],[Nb possédé (digital)]])</f>
        <v>2</v>
      </c>
      <c r="G735">
        <v>3</v>
      </c>
      <c r="H735">
        <f>MAX(-1,3-Tableau1[[#This Row],[Possédé (physique)]])</f>
        <v>0</v>
      </c>
      <c r="I735" t="str">
        <f>IF(Tableau1[[#This Row],[Manque (physique)]]&gt;Tableau1[[#This Row],[Manque (digital)]],"POD",IF(Tableau1[[#This Row],[Manque (digital)]]&gt;Tableau1[[#This Row],[Manque (physique)]],"MarketPlace",""))</f>
        <v>MarketPlace</v>
      </c>
      <c r="J735" t="s">
        <v>268</v>
      </c>
      <c r="K735" t="s">
        <v>269</v>
      </c>
      <c r="L735" t="s">
        <v>19</v>
      </c>
      <c r="M735" t="s">
        <v>19</v>
      </c>
      <c r="Q735" t="s">
        <v>1295</v>
      </c>
    </row>
    <row r="736" spans="1:17" hidden="1" x14ac:dyDescent="0.25">
      <c r="A736" t="s">
        <v>1181</v>
      </c>
      <c r="B736" t="s">
        <v>22</v>
      </c>
      <c r="C736" t="s">
        <v>28</v>
      </c>
      <c r="D736" t="s">
        <v>1156</v>
      </c>
      <c r="E736">
        <v>1</v>
      </c>
      <c r="F736">
        <f>MAX(-1,3-Tableau1[[#This Row],[Nb possédé (digital)]])</f>
        <v>2</v>
      </c>
      <c r="G736">
        <v>3</v>
      </c>
      <c r="H736">
        <f>MAX(-1,3-Tableau1[[#This Row],[Possédé (physique)]])</f>
        <v>0</v>
      </c>
      <c r="I736" t="str">
        <f>IF(Tableau1[[#This Row],[Manque (physique)]]&gt;Tableau1[[#This Row],[Manque (digital)]],"POD",IF(Tableau1[[#This Row],[Manque (digital)]]&gt;Tableau1[[#This Row],[Manque (physique)]],"MarketPlace",""))</f>
        <v>MarketPlace</v>
      </c>
      <c r="J736" t="s">
        <v>268</v>
      </c>
      <c r="K736" t="s">
        <v>269</v>
      </c>
      <c r="L736" t="s">
        <v>19</v>
      </c>
      <c r="M736" t="s">
        <v>19</v>
      </c>
      <c r="Q736" t="s">
        <v>1321</v>
      </c>
    </row>
    <row r="737" spans="1:17" hidden="1" x14ac:dyDescent="0.25">
      <c r="A737" t="s">
        <v>1185</v>
      </c>
      <c r="B737" t="s">
        <v>22</v>
      </c>
      <c r="C737" t="s">
        <v>28</v>
      </c>
      <c r="D737" t="s">
        <v>1156</v>
      </c>
      <c r="E737">
        <v>1</v>
      </c>
      <c r="F737">
        <f>MAX(-1,3-Tableau1[[#This Row],[Nb possédé (digital)]])</f>
        <v>2</v>
      </c>
      <c r="G737">
        <v>3</v>
      </c>
      <c r="H737">
        <f>MAX(-1,3-Tableau1[[#This Row],[Possédé (physique)]])</f>
        <v>0</v>
      </c>
      <c r="I737" t="str">
        <f>IF(Tableau1[[#This Row],[Manque (physique)]]&gt;Tableau1[[#This Row],[Manque (digital)]],"POD",IF(Tableau1[[#This Row],[Manque (digital)]]&gt;Tableau1[[#This Row],[Manque (physique)]],"MarketPlace",""))</f>
        <v>MarketPlace</v>
      </c>
      <c r="J737" t="s">
        <v>30</v>
      </c>
      <c r="K737" t="s">
        <v>42</v>
      </c>
      <c r="L737" t="s">
        <v>19</v>
      </c>
      <c r="M737" t="s">
        <v>19</v>
      </c>
      <c r="N737" t="s">
        <v>19</v>
      </c>
      <c r="O737" t="s">
        <v>19</v>
      </c>
      <c r="P737" t="s">
        <v>20</v>
      </c>
      <c r="Q737" t="s">
        <v>1328</v>
      </c>
    </row>
    <row r="738" spans="1:17" hidden="1" x14ac:dyDescent="0.25">
      <c r="A738" t="s">
        <v>1199</v>
      </c>
      <c r="B738" t="s">
        <v>22</v>
      </c>
      <c r="C738" t="s">
        <v>28</v>
      </c>
      <c r="D738" t="s">
        <v>1156</v>
      </c>
      <c r="E738">
        <v>0</v>
      </c>
      <c r="F738">
        <f>MAX(-1,3-Tableau1[[#This Row],[Nb possédé (digital)]])</f>
        <v>3</v>
      </c>
      <c r="G738">
        <v>3</v>
      </c>
      <c r="H738">
        <f>MAX(-1,3-Tableau1[[#This Row],[Possédé (physique)]])</f>
        <v>0</v>
      </c>
      <c r="I738" t="str">
        <f>IF(Tableau1[[#This Row],[Manque (physique)]]&gt;Tableau1[[#This Row],[Manque (digital)]],"POD",IF(Tableau1[[#This Row],[Manque (digital)]]&gt;Tableau1[[#This Row],[Manque (physique)]],"MarketPlace",""))</f>
        <v>MarketPlace</v>
      </c>
      <c r="J738" t="s">
        <v>30</v>
      </c>
      <c r="K738" t="s">
        <v>51</v>
      </c>
      <c r="L738" t="s">
        <v>19</v>
      </c>
      <c r="M738" t="s">
        <v>19</v>
      </c>
      <c r="N738" t="s">
        <v>23</v>
      </c>
      <c r="O738" t="s">
        <v>23</v>
      </c>
      <c r="P738" t="s">
        <v>19</v>
      </c>
      <c r="Q738" t="s">
        <v>1357</v>
      </c>
    </row>
    <row r="739" spans="1:17" hidden="1" x14ac:dyDescent="0.25">
      <c r="A739" t="s">
        <v>1207</v>
      </c>
      <c r="B739" t="s">
        <v>22</v>
      </c>
      <c r="C739" t="s">
        <v>28</v>
      </c>
      <c r="D739" t="s">
        <v>1156</v>
      </c>
      <c r="E739">
        <v>1</v>
      </c>
      <c r="F739">
        <f>MAX(-1,3-Tableau1[[#This Row],[Nb possédé (digital)]])</f>
        <v>2</v>
      </c>
      <c r="G739">
        <v>3</v>
      </c>
      <c r="H739">
        <f>MAX(-1,3-Tableau1[[#This Row],[Possédé (physique)]])</f>
        <v>0</v>
      </c>
      <c r="I739" t="str">
        <f>IF(Tableau1[[#This Row],[Manque (physique)]]&gt;Tableau1[[#This Row],[Manque (digital)]],"POD",IF(Tableau1[[#This Row],[Manque (digital)]]&gt;Tableau1[[#This Row],[Manque (physique)]],"MarketPlace",""))</f>
        <v>MarketPlace</v>
      </c>
      <c r="J739" t="s">
        <v>30</v>
      </c>
      <c r="K739" t="s">
        <v>79</v>
      </c>
      <c r="L739" t="s">
        <v>19</v>
      </c>
      <c r="M739" t="s">
        <v>19</v>
      </c>
      <c r="N739" t="s">
        <v>89</v>
      </c>
      <c r="O739" t="s">
        <v>89</v>
      </c>
      <c r="P739" t="s">
        <v>23</v>
      </c>
      <c r="Q739" t="s">
        <v>69</v>
      </c>
    </row>
    <row r="740" spans="1:17" hidden="1" x14ac:dyDescent="0.25">
      <c r="A740" t="s">
        <v>1204</v>
      </c>
      <c r="B740" t="s">
        <v>22</v>
      </c>
      <c r="C740" t="s">
        <v>28</v>
      </c>
      <c r="D740" t="s">
        <v>1156</v>
      </c>
      <c r="E740">
        <v>2</v>
      </c>
      <c r="F740">
        <f>MAX(-1,3-Tableau1[[#This Row],[Nb possédé (digital)]])</f>
        <v>1</v>
      </c>
      <c r="G740">
        <v>3</v>
      </c>
      <c r="H740">
        <f>MAX(-1,3-Tableau1[[#This Row],[Possédé (physique)]])</f>
        <v>0</v>
      </c>
      <c r="I740" t="str">
        <f>IF(Tableau1[[#This Row],[Manque (physique)]]&gt;Tableau1[[#This Row],[Manque (digital)]],"POD",IF(Tableau1[[#This Row],[Manque (digital)]]&gt;Tableau1[[#This Row],[Manque (physique)]],"MarketPlace",""))</f>
        <v>MarketPlace</v>
      </c>
      <c r="J740" t="s">
        <v>268</v>
      </c>
      <c r="K740" t="s">
        <v>438</v>
      </c>
      <c r="L740" t="s">
        <v>19</v>
      </c>
      <c r="M740" t="s">
        <v>19</v>
      </c>
      <c r="Q740" t="s">
        <v>1368</v>
      </c>
    </row>
    <row r="741" spans="1:17" hidden="1" x14ac:dyDescent="0.25">
      <c r="A741" t="s">
        <v>1215</v>
      </c>
      <c r="B741" t="s">
        <v>22</v>
      </c>
      <c r="C741" t="s">
        <v>28</v>
      </c>
      <c r="D741" t="s">
        <v>1156</v>
      </c>
      <c r="E741">
        <v>1</v>
      </c>
      <c r="F741">
        <f>MAX(-1,3-Tableau1[[#This Row],[Nb possédé (digital)]])</f>
        <v>2</v>
      </c>
      <c r="G741">
        <v>3</v>
      </c>
      <c r="H741">
        <f>MAX(-1,3-Tableau1[[#This Row],[Possédé (physique)]])</f>
        <v>0</v>
      </c>
      <c r="I741" t="str">
        <f>IF(Tableau1[[#This Row],[Manque (physique)]]&gt;Tableau1[[#This Row],[Manque (digital)]],"POD",IF(Tableau1[[#This Row],[Manque (digital)]]&gt;Tableau1[[#This Row],[Manque (physique)]],"MarketPlace",""))</f>
        <v>MarketPlace</v>
      </c>
      <c r="J741" t="s">
        <v>30</v>
      </c>
      <c r="K741" t="s">
        <v>1389</v>
      </c>
      <c r="L741" t="s">
        <v>19</v>
      </c>
      <c r="M741" t="s">
        <v>19</v>
      </c>
      <c r="N741" t="s">
        <v>23</v>
      </c>
      <c r="O741" t="s">
        <v>23</v>
      </c>
      <c r="P741" t="s">
        <v>19</v>
      </c>
      <c r="Q741" t="s">
        <v>1390</v>
      </c>
    </row>
    <row r="742" spans="1:17" hidden="1" x14ac:dyDescent="0.25">
      <c r="A742" t="s">
        <v>1221</v>
      </c>
      <c r="B742" t="s">
        <v>22</v>
      </c>
      <c r="C742" t="s">
        <v>28</v>
      </c>
      <c r="D742" t="s">
        <v>1156</v>
      </c>
      <c r="E742">
        <v>1</v>
      </c>
      <c r="F742">
        <f>MAX(-1,3-Tableau1[[#This Row],[Nb possédé (digital)]])</f>
        <v>2</v>
      </c>
      <c r="G742">
        <v>3</v>
      </c>
      <c r="H742">
        <f>MAX(-1,3-Tableau1[[#This Row],[Possédé (physique)]])</f>
        <v>0</v>
      </c>
      <c r="I742" t="str">
        <f>IF(Tableau1[[#This Row],[Manque (physique)]]&gt;Tableau1[[#This Row],[Manque (digital)]],"POD",IF(Tableau1[[#This Row],[Manque (digital)]]&gt;Tableau1[[#This Row],[Manque (physique)]],"MarketPlace",""))</f>
        <v>MarketPlace</v>
      </c>
      <c r="J742" t="s">
        <v>268</v>
      </c>
      <c r="K742" t="s">
        <v>438</v>
      </c>
      <c r="L742" t="s">
        <v>19</v>
      </c>
      <c r="M742" t="s">
        <v>19</v>
      </c>
      <c r="Q742" t="s">
        <v>1403</v>
      </c>
    </row>
    <row r="743" spans="1:17" hidden="1" x14ac:dyDescent="0.25">
      <c r="A743" t="s">
        <v>1230</v>
      </c>
      <c r="B743" t="s">
        <v>22</v>
      </c>
      <c r="C743" t="s">
        <v>28</v>
      </c>
      <c r="D743" t="s">
        <v>1156</v>
      </c>
      <c r="E743">
        <v>1</v>
      </c>
      <c r="F743">
        <f>MAX(-1,3-Tableau1[[#This Row],[Nb possédé (digital)]])</f>
        <v>2</v>
      </c>
      <c r="G743">
        <v>3</v>
      </c>
      <c r="H743">
        <f>MAX(-1,3-Tableau1[[#This Row],[Possédé (physique)]])</f>
        <v>0</v>
      </c>
      <c r="I743" t="str">
        <f>IF(Tableau1[[#This Row],[Manque (physique)]]&gt;Tableau1[[#This Row],[Manque (digital)]],"POD",IF(Tableau1[[#This Row],[Manque (digital)]]&gt;Tableau1[[#This Row],[Manque (physique)]],"MarketPlace",""))</f>
        <v>MarketPlace</v>
      </c>
      <c r="J743" t="s">
        <v>30</v>
      </c>
      <c r="K743" t="s">
        <v>83</v>
      </c>
      <c r="L743" t="s">
        <v>19</v>
      </c>
      <c r="M743" t="s">
        <v>19</v>
      </c>
      <c r="N743" t="s">
        <v>19</v>
      </c>
      <c r="O743" t="s">
        <v>19</v>
      </c>
      <c r="P743" t="s">
        <v>89</v>
      </c>
      <c r="Q743" t="s">
        <v>1424</v>
      </c>
    </row>
    <row r="744" spans="1:17" hidden="1" x14ac:dyDescent="0.25">
      <c r="A744" t="s">
        <v>1241</v>
      </c>
      <c r="B744" t="s">
        <v>22</v>
      </c>
      <c r="C744" t="s">
        <v>28</v>
      </c>
      <c r="D744" t="s">
        <v>1156</v>
      </c>
      <c r="E744">
        <v>0</v>
      </c>
      <c r="F744">
        <f>MAX(-1,3-Tableau1[[#This Row],[Nb possédé (digital)]])</f>
        <v>3</v>
      </c>
      <c r="G744">
        <v>3</v>
      </c>
      <c r="H744">
        <f>MAX(-1,3-Tableau1[[#This Row],[Possédé (physique)]])</f>
        <v>0</v>
      </c>
      <c r="I744" t="str">
        <f>IF(Tableau1[[#This Row],[Manque (physique)]]&gt;Tableau1[[#This Row],[Manque (digital)]],"POD",IF(Tableau1[[#This Row],[Manque (digital)]]&gt;Tableau1[[#This Row],[Manque (physique)]],"MarketPlace",""))</f>
        <v>MarketPlace</v>
      </c>
      <c r="J744" t="s">
        <v>268</v>
      </c>
      <c r="K744" t="s">
        <v>269</v>
      </c>
      <c r="L744" t="s">
        <v>19</v>
      </c>
      <c r="M744" t="s">
        <v>19</v>
      </c>
      <c r="Q744" t="s">
        <v>1449</v>
      </c>
    </row>
    <row r="745" spans="1:17" hidden="1" x14ac:dyDescent="0.25">
      <c r="A745" t="s">
        <v>1252</v>
      </c>
      <c r="B745" t="s">
        <v>22</v>
      </c>
      <c r="C745" t="s">
        <v>28</v>
      </c>
      <c r="D745" t="s">
        <v>1156</v>
      </c>
      <c r="E745">
        <v>2</v>
      </c>
      <c r="F745">
        <f>MAX(-1,3-Tableau1[[#This Row],[Nb possédé (digital)]])</f>
        <v>1</v>
      </c>
      <c r="G745">
        <v>3</v>
      </c>
      <c r="H745">
        <f>MAX(-1,3-Tableau1[[#This Row],[Possédé (physique)]])</f>
        <v>0</v>
      </c>
      <c r="I745" t="str">
        <f>IF(Tableau1[[#This Row],[Manque (physique)]]&gt;Tableau1[[#This Row],[Manque (digital)]],"POD",IF(Tableau1[[#This Row],[Manque (digital)]]&gt;Tableau1[[#This Row],[Manque (physique)]],"MarketPlace",""))</f>
        <v>MarketPlace</v>
      </c>
      <c r="J745" t="s">
        <v>268</v>
      </c>
      <c r="K745" t="s">
        <v>438</v>
      </c>
      <c r="L745" t="s">
        <v>19</v>
      </c>
      <c r="M745" t="s">
        <v>19</v>
      </c>
      <c r="Q745" t="s">
        <v>1470</v>
      </c>
    </row>
    <row r="746" spans="1:17" hidden="1" x14ac:dyDescent="0.25">
      <c r="A746" t="s">
        <v>1177</v>
      </c>
      <c r="B746" t="s">
        <v>22</v>
      </c>
      <c r="C746" t="s">
        <v>28</v>
      </c>
      <c r="D746" t="s">
        <v>1156</v>
      </c>
      <c r="E746">
        <v>2</v>
      </c>
      <c r="F746">
        <f>MAX(-1,3-Tableau1[[#This Row],[Nb possédé (digital)]])</f>
        <v>1</v>
      </c>
      <c r="G746">
        <v>3</v>
      </c>
      <c r="H746">
        <f>MAX(-1,3-Tableau1[[#This Row],[Possédé (physique)]])</f>
        <v>0</v>
      </c>
      <c r="I746" t="str">
        <f>IF(Tableau1[[#This Row],[Manque (physique)]]&gt;Tableau1[[#This Row],[Manque (digital)]],"POD",IF(Tableau1[[#This Row],[Manque (digital)]]&gt;Tableau1[[#This Row],[Manque (physique)]],"MarketPlace",""))</f>
        <v>MarketPlace</v>
      </c>
      <c r="J746" t="s">
        <v>30</v>
      </c>
      <c r="K746" t="s">
        <v>328</v>
      </c>
      <c r="L746" t="s">
        <v>19</v>
      </c>
      <c r="M746" t="s">
        <v>52</v>
      </c>
      <c r="N746" t="s">
        <v>19</v>
      </c>
      <c r="O746" t="s">
        <v>23</v>
      </c>
      <c r="P746" t="s">
        <v>89</v>
      </c>
      <c r="Q746" t="s">
        <v>1313</v>
      </c>
    </row>
    <row r="747" spans="1:17" hidden="1" x14ac:dyDescent="0.25">
      <c r="A747" t="s">
        <v>1250</v>
      </c>
      <c r="B747" t="s">
        <v>22</v>
      </c>
      <c r="C747" t="s">
        <v>28</v>
      </c>
      <c r="D747" t="s">
        <v>1156</v>
      </c>
      <c r="E747">
        <v>1</v>
      </c>
      <c r="F747">
        <f>MAX(-1,3-Tableau1[[#This Row],[Nb possédé (digital)]])</f>
        <v>2</v>
      </c>
      <c r="G747">
        <v>3</v>
      </c>
      <c r="H747">
        <f>MAX(-1,3-Tableau1[[#This Row],[Possédé (physique)]])</f>
        <v>0</v>
      </c>
      <c r="I747" t="str">
        <f>IF(Tableau1[[#This Row],[Manque (physique)]]&gt;Tableau1[[#This Row],[Manque (digital)]],"POD",IF(Tableau1[[#This Row],[Manque (digital)]]&gt;Tableau1[[#This Row],[Manque (physique)]],"MarketPlace",""))</f>
        <v>MarketPlace</v>
      </c>
      <c r="J747" t="s">
        <v>30</v>
      </c>
      <c r="K747" t="s">
        <v>79</v>
      </c>
      <c r="L747" t="s">
        <v>23</v>
      </c>
      <c r="M747" t="s">
        <v>20</v>
      </c>
      <c r="N747" t="s">
        <v>89</v>
      </c>
      <c r="O747" t="s">
        <v>19</v>
      </c>
      <c r="P747" t="s">
        <v>89</v>
      </c>
      <c r="Q747" t="s">
        <v>1467</v>
      </c>
    </row>
    <row r="748" spans="1:17" hidden="1" x14ac:dyDescent="0.25">
      <c r="A748" t="s">
        <v>1216</v>
      </c>
      <c r="B748" t="s">
        <v>22</v>
      </c>
      <c r="C748" t="s">
        <v>28</v>
      </c>
      <c r="D748" t="s">
        <v>1156</v>
      </c>
      <c r="E748">
        <v>2</v>
      </c>
      <c r="F748">
        <f>MAX(-1,3-Tableau1[[#This Row],[Nb possédé (digital)]])</f>
        <v>1</v>
      </c>
      <c r="G748">
        <v>3</v>
      </c>
      <c r="H748">
        <f>MAX(-1,3-Tableau1[[#This Row],[Possédé (physique)]])</f>
        <v>0</v>
      </c>
      <c r="I748" t="str">
        <f>IF(Tableau1[[#This Row],[Manque (physique)]]&gt;Tableau1[[#This Row],[Manque (digital)]],"POD",IF(Tableau1[[#This Row],[Manque (digital)]]&gt;Tableau1[[#This Row],[Manque (physique)]],"MarketPlace",""))</f>
        <v>MarketPlace</v>
      </c>
      <c r="J748" t="s">
        <v>30</v>
      </c>
      <c r="K748" t="s">
        <v>350</v>
      </c>
      <c r="L748" t="s">
        <v>23</v>
      </c>
      <c r="M748" t="s">
        <v>19</v>
      </c>
      <c r="N748" t="s">
        <v>23</v>
      </c>
      <c r="O748" t="s">
        <v>23</v>
      </c>
      <c r="P748" t="s">
        <v>89</v>
      </c>
      <c r="Q748" t="s">
        <v>1393</v>
      </c>
    </row>
    <row r="749" spans="1:17" hidden="1" x14ac:dyDescent="0.25">
      <c r="A749" t="s">
        <v>1226</v>
      </c>
      <c r="B749" t="s">
        <v>22</v>
      </c>
      <c r="C749" t="s">
        <v>28</v>
      </c>
      <c r="D749" t="s">
        <v>1156</v>
      </c>
      <c r="E749">
        <v>1</v>
      </c>
      <c r="F749">
        <f>MAX(-1,3-Tableau1[[#This Row],[Nb possédé (digital)]])</f>
        <v>2</v>
      </c>
      <c r="G749">
        <v>3</v>
      </c>
      <c r="H749">
        <f>MAX(-1,3-Tableau1[[#This Row],[Possédé (physique)]])</f>
        <v>0</v>
      </c>
      <c r="I749" t="str">
        <f>IF(Tableau1[[#This Row],[Manque (physique)]]&gt;Tableau1[[#This Row],[Manque (digital)]],"POD",IF(Tableau1[[#This Row],[Manque (digital)]]&gt;Tableau1[[#This Row],[Manque (physique)]],"MarketPlace",""))</f>
        <v>MarketPlace</v>
      </c>
      <c r="J749" t="s">
        <v>30</v>
      </c>
      <c r="K749" t="s">
        <v>481</v>
      </c>
      <c r="L749" t="s">
        <v>23</v>
      </c>
      <c r="M749" t="s">
        <v>19</v>
      </c>
      <c r="N749" t="s">
        <v>89</v>
      </c>
      <c r="O749" t="s">
        <v>52</v>
      </c>
      <c r="P749" t="s">
        <v>89</v>
      </c>
      <c r="Q749" t="s">
        <v>1416</v>
      </c>
    </row>
    <row r="750" spans="1:17" hidden="1" x14ac:dyDescent="0.25">
      <c r="A750" t="s">
        <v>1166</v>
      </c>
      <c r="B750" t="s">
        <v>22</v>
      </c>
      <c r="C750" t="s">
        <v>28</v>
      </c>
      <c r="D750" t="s">
        <v>1156</v>
      </c>
      <c r="E750">
        <v>1</v>
      </c>
      <c r="F750">
        <f>MAX(-1,3-Tableau1[[#This Row],[Nb possédé (digital)]])</f>
        <v>2</v>
      </c>
      <c r="G750">
        <v>3</v>
      </c>
      <c r="H750">
        <f>MAX(-1,3-Tableau1[[#This Row],[Possédé (physique)]])</f>
        <v>0</v>
      </c>
      <c r="I750" t="str">
        <f>IF(Tableau1[[#This Row],[Manque (physique)]]&gt;Tableau1[[#This Row],[Manque (digital)]],"POD",IF(Tableau1[[#This Row],[Manque (digital)]]&gt;Tableau1[[#This Row],[Manque (physique)]],"MarketPlace",""))</f>
        <v>MarketPlace</v>
      </c>
      <c r="J750" t="s">
        <v>268</v>
      </c>
      <c r="K750" t="s">
        <v>269</v>
      </c>
      <c r="L750" t="s">
        <v>23</v>
      </c>
      <c r="M750" t="s">
        <v>23</v>
      </c>
      <c r="Q750" t="s">
        <v>1287</v>
      </c>
    </row>
    <row r="751" spans="1:17" hidden="1" x14ac:dyDescent="0.25">
      <c r="A751" t="s">
        <v>1174</v>
      </c>
      <c r="B751" t="s">
        <v>22</v>
      </c>
      <c r="C751" t="s">
        <v>28</v>
      </c>
      <c r="D751" t="s">
        <v>1156</v>
      </c>
      <c r="E751">
        <v>0</v>
      </c>
      <c r="F751">
        <f>MAX(-1,3-Tableau1[[#This Row],[Nb possédé (digital)]])</f>
        <v>3</v>
      </c>
      <c r="G751">
        <v>3</v>
      </c>
      <c r="H751">
        <f>MAX(-1,3-Tableau1[[#This Row],[Possédé (physique)]])</f>
        <v>0</v>
      </c>
      <c r="I751" t="str">
        <f>IF(Tableau1[[#This Row],[Manque (physique)]]&gt;Tableau1[[#This Row],[Manque (digital)]],"POD",IF(Tableau1[[#This Row],[Manque (digital)]]&gt;Tableau1[[#This Row],[Manque (physique)]],"MarketPlace",""))</f>
        <v>MarketPlace</v>
      </c>
      <c r="J751" t="s">
        <v>268</v>
      </c>
      <c r="K751" t="s">
        <v>438</v>
      </c>
      <c r="L751" t="s">
        <v>23</v>
      </c>
      <c r="M751" t="s">
        <v>23</v>
      </c>
      <c r="Q751" t="s">
        <v>1306</v>
      </c>
    </row>
    <row r="752" spans="1:17" hidden="1" x14ac:dyDescent="0.25">
      <c r="A752" t="s">
        <v>1186</v>
      </c>
      <c r="B752" t="s">
        <v>22</v>
      </c>
      <c r="C752" t="s">
        <v>28</v>
      </c>
      <c r="D752" t="s">
        <v>1156</v>
      </c>
      <c r="E752">
        <v>1</v>
      </c>
      <c r="F752">
        <f>MAX(-1,3-Tableau1[[#This Row],[Nb possédé (digital)]])</f>
        <v>2</v>
      </c>
      <c r="G752">
        <v>3</v>
      </c>
      <c r="H752">
        <f>MAX(-1,3-Tableau1[[#This Row],[Possédé (physique)]])</f>
        <v>0</v>
      </c>
      <c r="I752" t="str">
        <f>IF(Tableau1[[#This Row],[Manque (physique)]]&gt;Tableau1[[#This Row],[Manque (digital)]],"POD",IF(Tableau1[[#This Row],[Manque (digital)]]&gt;Tableau1[[#This Row],[Manque (physique)]],"MarketPlace",""))</f>
        <v>MarketPlace</v>
      </c>
      <c r="J752" t="s">
        <v>30</v>
      </c>
      <c r="K752" t="s">
        <v>292</v>
      </c>
      <c r="L752" t="s">
        <v>23</v>
      </c>
      <c r="M752" t="s">
        <v>23</v>
      </c>
      <c r="N752" t="s">
        <v>23</v>
      </c>
      <c r="O752" t="s">
        <v>23</v>
      </c>
      <c r="P752" t="s">
        <v>23</v>
      </c>
      <c r="Q752" t="s">
        <v>1330</v>
      </c>
    </row>
    <row r="753" spans="1:17" hidden="1" x14ac:dyDescent="0.25">
      <c r="A753" t="s">
        <v>1232</v>
      </c>
      <c r="B753" t="s">
        <v>22</v>
      </c>
      <c r="C753" t="s">
        <v>28</v>
      </c>
      <c r="D753" t="s">
        <v>1156</v>
      </c>
      <c r="E753">
        <v>1</v>
      </c>
      <c r="F753">
        <f>MAX(-1,3-Tableau1[[#This Row],[Nb possédé (digital)]])</f>
        <v>2</v>
      </c>
      <c r="G753">
        <v>3</v>
      </c>
      <c r="H753">
        <f>MAX(-1,3-Tableau1[[#This Row],[Possédé (physique)]])</f>
        <v>0</v>
      </c>
      <c r="I753" t="str">
        <f>IF(Tableau1[[#This Row],[Manque (physique)]]&gt;Tableau1[[#This Row],[Manque (digital)]],"POD",IF(Tableau1[[#This Row],[Manque (digital)]]&gt;Tableau1[[#This Row],[Manque (physique)]],"MarketPlace",""))</f>
        <v>MarketPlace</v>
      </c>
      <c r="J753" t="s">
        <v>30</v>
      </c>
      <c r="K753" t="s">
        <v>83</v>
      </c>
      <c r="L753" t="s">
        <v>23</v>
      </c>
      <c r="M753" t="s">
        <v>23</v>
      </c>
      <c r="N753" t="s">
        <v>19</v>
      </c>
      <c r="O753" t="s">
        <v>23</v>
      </c>
      <c r="P753" t="s">
        <v>23</v>
      </c>
      <c r="Q753" t="s">
        <v>1427</v>
      </c>
    </row>
    <row r="754" spans="1:17" hidden="1" x14ac:dyDescent="0.25">
      <c r="A754" t="s">
        <v>1236</v>
      </c>
      <c r="B754" t="s">
        <v>22</v>
      </c>
      <c r="C754" t="s">
        <v>28</v>
      </c>
      <c r="D754" t="s">
        <v>1156</v>
      </c>
      <c r="E754">
        <v>2</v>
      </c>
      <c r="F754">
        <f>MAX(-1,3-Tableau1[[#This Row],[Nb possédé (digital)]])</f>
        <v>1</v>
      </c>
      <c r="G754">
        <v>3</v>
      </c>
      <c r="H754">
        <f>MAX(-1,3-Tableau1[[#This Row],[Possédé (physique)]])</f>
        <v>0</v>
      </c>
      <c r="I754" t="str">
        <f>IF(Tableau1[[#This Row],[Manque (physique)]]&gt;Tableau1[[#This Row],[Manque (digital)]],"POD",IF(Tableau1[[#This Row],[Manque (digital)]]&gt;Tableau1[[#This Row],[Manque (physique)]],"MarketPlace",""))</f>
        <v>MarketPlace</v>
      </c>
      <c r="J754" t="s">
        <v>30</v>
      </c>
      <c r="K754" t="s">
        <v>83</v>
      </c>
      <c r="L754" t="s">
        <v>23</v>
      </c>
      <c r="M754" t="s">
        <v>23</v>
      </c>
      <c r="N754" t="s">
        <v>23</v>
      </c>
      <c r="O754" t="s">
        <v>23</v>
      </c>
      <c r="P754" t="s">
        <v>23</v>
      </c>
      <c r="Q754" t="s">
        <v>1437</v>
      </c>
    </row>
    <row r="755" spans="1:17" hidden="1" x14ac:dyDescent="0.25">
      <c r="A755" t="s">
        <v>1243</v>
      </c>
      <c r="B755" t="s">
        <v>22</v>
      </c>
      <c r="C755" t="s">
        <v>28</v>
      </c>
      <c r="D755" t="s">
        <v>1156</v>
      </c>
      <c r="E755">
        <v>2</v>
      </c>
      <c r="F755">
        <f>MAX(-1,3-Tableau1[[#This Row],[Nb possédé (digital)]])</f>
        <v>1</v>
      </c>
      <c r="G755">
        <v>3</v>
      </c>
      <c r="H755">
        <f>MAX(-1,3-Tableau1[[#This Row],[Possédé (physique)]])</f>
        <v>0</v>
      </c>
      <c r="I755" t="str">
        <f>IF(Tableau1[[#This Row],[Manque (physique)]]&gt;Tableau1[[#This Row],[Manque (digital)]],"POD",IF(Tableau1[[#This Row],[Manque (digital)]]&gt;Tableau1[[#This Row],[Manque (physique)]],"MarketPlace",""))</f>
        <v>MarketPlace</v>
      </c>
      <c r="J755" t="s">
        <v>17</v>
      </c>
      <c r="K755" t="s">
        <v>97</v>
      </c>
      <c r="L755" t="s">
        <v>23</v>
      </c>
      <c r="M755" t="s">
        <v>23</v>
      </c>
      <c r="Q755" t="s">
        <v>1454</v>
      </c>
    </row>
    <row r="756" spans="1:17" hidden="1" x14ac:dyDescent="0.25">
      <c r="A756" t="s">
        <v>1245</v>
      </c>
      <c r="B756" t="s">
        <v>22</v>
      </c>
      <c r="C756" t="s">
        <v>28</v>
      </c>
      <c r="D756" t="s">
        <v>1156</v>
      </c>
      <c r="E756">
        <v>1</v>
      </c>
      <c r="F756">
        <f>MAX(-1,3-Tableau1[[#This Row],[Nb possédé (digital)]])</f>
        <v>2</v>
      </c>
      <c r="G756">
        <v>3</v>
      </c>
      <c r="H756">
        <f>MAX(-1,3-Tableau1[[#This Row],[Possédé (physique)]])</f>
        <v>0</v>
      </c>
      <c r="I756" t="str">
        <f>IF(Tableau1[[#This Row],[Manque (physique)]]&gt;Tableau1[[#This Row],[Manque (digital)]],"POD",IF(Tableau1[[#This Row],[Manque (digital)]]&gt;Tableau1[[#This Row],[Manque (physique)]],"MarketPlace",""))</f>
        <v>MarketPlace</v>
      </c>
      <c r="J756" t="s">
        <v>17</v>
      </c>
      <c r="K756" t="s">
        <v>97</v>
      </c>
      <c r="L756" t="s">
        <v>23</v>
      </c>
      <c r="M756" t="s">
        <v>23</v>
      </c>
      <c r="Q756" t="s">
        <v>1458</v>
      </c>
    </row>
    <row r="757" spans="1:17" hidden="1" x14ac:dyDescent="0.25">
      <c r="A757" t="s">
        <v>1218</v>
      </c>
      <c r="B757" t="s">
        <v>22</v>
      </c>
      <c r="C757" t="s">
        <v>28</v>
      </c>
      <c r="D757" t="s">
        <v>1156</v>
      </c>
      <c r="E757">
        <v>2</v>
      </c>
      <c r="F757">
        <f>MAX(-1,3-Tableau1[[#This Row],[Nb possédé (digital)]])</f>
        <v>1</v>
      </c>
      <c r="G757">
        <v>3</v>
      </c>
      <c r="H757">
        <f>MAX(-1,3-Tableau1[[#This Row],[Possédé (physique)]])</f>
        <v>0</v>
      </c>
      <c r="I757" t="str">
        <f>IF(Tableau1[[#This Row],[Manque (physique)]]&gt;Tableau1[[#This Row],[Manque (digital)]],"POD",IF(Tableau1[[#This Row],[Manque (digital)]]&gt;Tableau1[[#This Row],[Manque (physique)]],"MarketPlace",""))</f>
        <v>MarketPlace</v>
      </c>
      <c r="J757" t="s">
        <v>30</v>
      </c>
      <c r="K757" t="s">
        <v>51</v>
      </c>
      <c r="L757" t="s">
        <v>23</v>
      </c>
      <c r="M757" t="s">
        <v>37</v>
      </c>
      <c r="N757" t="s">
        <v>23</v>
      </c>
      <c r="O757" t="s">
        <v>23</v>
      </c>
      <c r="P757" t="s">
        <v>23</v>
      </c>
      <c r="Q757" t="s">
        <v>1397</v>
      </c>
    </row>
    <row r="758" spans="1:17" hidden="1" x14ac:dyDescent="0.25">
      <c r="A758" t="s">
        <v>1158</v>
      </c>
      <c r="B758" t="s">
        <v>22</v>
      </c>
      <c r="C758" t="s">
        <v>28</v>
      </c>
      <c r="D758" t="s">
        <v>1156</v>
      </c>
      <c r="E758">
        <v>2</v>
      </c>
      <c r="F758">
        <f>MAX(-1,3-Tableau1[[#This Row],[Nb possédé (digital)]])</f>
        <v>1</v>
      </c>
      <c r="G758">
        <v>3</v>
      </c>
      <c r="H758">
        <f>MAX(-1,3-Tableau1[[#This Row],[Possédé (physique)]])</f>
        <v>0</v>
      </c>
      <c r="I758" t="str">
        <f>IF(Tableau1[[#This Row],[Manque (physique)]]&gt;Tableau1[[#This Row],[Manque (digital)]],"POD",IF(Tableau1[[#This Row],[Manque (digital)]]&gt;Tableau1[[#This Row],[Manque (physique)]],"MarketPlace",""))</f>
        <v>MarketPlace</v>
      </c>
      <c r="J758" t="s">
        <v>30</v>
      </c>
      <c r="K758" t="s">
        <v>601</v>
      </c>
      <c r="L758" t="s">
        <v>52</v>
      </c>
      <c r="M758" t="s">
        <v>52</v>
      </c>
      <c r="N758" t="s">
        <v>20</v>
      </c>
      <c r="O758" t="s">
        <v>20</v>
      </c>
      <c r="P758" t="s">
        <v>20</v>
      </c>
      <c r="Q758" t="s">
        <v>1270</v>
      </c>
    </row>
    <row r="759" spans="1:17" hidden="1" x14ac:dyDescent="0.25">
      <c r="A759" t="s">
        <v>1182</v>
      </c>
      <c r="B759" t="s">
        <v>22</v>
      </c>
      <c r="C759" t="s">
        <v>28</v>
      </c>
      <c r="D759" t="s">
        <v>1156</v>
      </c>
      <c r="E759">
        <v>0</v>
      </c>
      <c r="F759">
        <f>MAX(-1,3-Tableau1[[#This Row],[Nb possédé (digital)]])</f>
        <v>3</v>
      </c>
      <c r="G759">
        <v>3</v>
      </c>
      <c r="H759">
        <f>MAX(-1,3-Tableau1[[#This Row],[Possédé (physique)]])</f>
        <v>0</v>
      </c>
      <c r="I759" t="str">
        <f>IF(Tableau1[[#This Row],[Manque (physique)]]&gt;Tableau1[[#This Row],[Manque (digital)]],"POD",IF(Tableau1[[#This Row],[Manque (digital)]]&gt;Tableau1[[#This Row],[Manque (physique)]],"MarketPlace",""))</f>
        <v>MarketPlace</v>
      </c>
      <c r="J759" t="s">
        <v>17</v>
      </c>
      <c r="K759" t="s">
        <v>153</v>
      </c>
      <c r="L759" t="s">
        <v>52</v>
      </c>
      <c r="M759" t="s">
        <v>52</v>
      </c>
      <c r="Q759" t="s">
        <v>1323</v>
      </c>
    </row>
    <row r="760" spans="1:17" hidden="1" x14ac:dyDescent="0.25">
      <c r="A760" t="s">
        <v>1209</v>
      </c>
      <c r="B760" t="s">
        <v>22</v>
      </c>
      <c r="C760" t="s">
        <v>28</v>
      </c>
      <c r="D760" t="s">
        <v>1156</v>
      </c>
      <c r="E760">
        <v>3</v>
      </c>
      <c r="F760">
        <f>MAX(-1,3-Tableau1[[#This Row],[Nb possédé (digital)]])</f>
        <v>0</v>
      </c>
      <c r="G760">
        <v>3</v>
      </c>
      <c r="H760">
        <f>MAX(-1,3-Tableau1[[#This Row],[Possédé (physique)]])</f>
        <v>0</v>
      </c>
      <c r="I760" t="str">
        <f>IF(Tableau1[[#This Row],[Manque (physique)]]&gt;Tableau1[[#This Row],[Manque (digital)]],"POD",IF(Tableau1[[#This Row],[Manque (digital)]]&gt;Tableau1[[#This Row],[Manque (physique)]],"MarketPlace",""))</f>
        <v/>
      </c>
      <c r="J760" t="s">
        <v>17</v>
      </c>
      <c r="K760" t="s">
        <v>153</v>
      </c>
      <c r="L760" t="s">
        <v>52</v>
      </c>
      <c r="M760" t="s">
        <v>52</v>
      </c>
      <c r="Q760" t="s">
        <v>1378</v>
      </c>
    </row>
    <row r="761" spans="1:17" hidden="1" x14ac:dyDescent="0.25">
      <c r="A761" t="s">
        <v>1237</v>
      </c>
      <c r="B761" t="s">
        <v>22</v>
      </c>
      <c r="C761" t="s">
        <v>28</v>
      </c>
      <c r="D761" t="s">
        <v>1156</v>
      </c>
      <c r="E761">
        <v>1</v>
      </c>
      <c r="F761">
        <f>MAX(-1,3-Tableau1[[#This Row],[Nb possédé (digital)]])</f>
        <v>2</v>
      </c>
      <c r="G761">
        <v>3</v>
      </c>
      <c r="H761">
        <f>MAX(-1,3-Tableau1[[#This Row],[Possédé (physique)]])</f>
        <v>0</v>
      </c>
      <c r="I761" t="str">
        <f>IF(Tableau1[[#This Row],[Manque (physique)]]&gt;Tableau1[[#This Row],[Manque (digital)]],"POD",IF(Tableau1[[#This Row],[Manque (digital)]]&gt;Tableau1[[#This Row],[Manque (physique)]],"MarketPlace",""))</f>
        <v>MarketPlace</v>
      </c>
      <c r="J761" t="s">
        <v>30</v>
      </c>
      <c r="K761" t="s">
        <v>83</v>
      </c>
      <c r="L761" t="s">
        <v>52</v>
      </c>
      <c r="M761" t="s">
        <v>52</v>
      </c>
      <c r="N761" t="s">
        <v>37</v>
      </c>
      <c r="O761" t="s">
        <v>37</v>
      </c>
      <c r="P761" t="s">
        <v>37</v>
      </c>
      <c r="Q761" t="s">
        <v>1439</v>
      </c>
    </row>
    <row r="762" spans="1:17" hidden="1" x14ac:dyDescent="0.25">
      <c r="A762" t="s">
        <v>1161</v>
      </c>
      <c r="B762" t="s">
        <v>22</v>
      </c>
      <c r="C762" t="s">
        <v>28</v>
      </c>
      <c r="D762" t="s">
        <v>1156</v>
      </c>
      <c r="E762">
        <v>2</v>
      </c>
      <c r="F762">
        <f>MAX(-1,3-Tableau1[[#This Row],[Nb possédé (digital)]])</f>
        <v>1</v>
      </c>
      <c r="G762">
        <v>3</v>
      </c>
      <c r="H762">
        <f>MAX(-1,3-Tableau1[[#This Row],[Possédé (physique)]])</f>
        <v>0</v>
      </c>
      <c r="I762" t="str">
        <f>IF(Tableau1[[#This Row],[Manque (physique)]]&gt;Tableau1[[#This Row],[Manque (digital)]],"POD",IF(Tableau1[[#This Row],[Manque (digital)]]&gt;Tableau1[[#This Row],[Manque (physique)]],"MarketPlace",""))</f>
        <v>MarketPlace</v>
      </c>
      <c r="J762" t="s">
        <v>30</v>
      </c>
      <c r="K762" t="s">
        <v>83</v>
      </c>
      <c r="L762" t="s">
        <v>37</v>
      </c>
      <c r="M762" t="s">
        <v>37</v>
      </c>
      <c r="N762" t="s">
        <v>37</v>
      </c>
      <c r="O762" t="s">
        <v>19</v>
      </c>
      <c r="P762" t="s">
        <v>37</v>
      </c>
      <c r="Q762" t="s">
        <v>1277</v>
      </c>
    </row>
    <row r="763" spans="1:17" hidden="1" x14ac:dyDescent="0.25">
      <c r="A763" t="s">
        <v>1213</v>
      </c>
      <c r="B763" t="s">
        <v>22</v>
      </c>
      <c r="C763" t="s">
        <v>28</v>
      </c>
      <c r="D763" t="s">
        <v>1156</v>
      </c>
      <c r="E763">
        <v>2</v>
      </c>
      <c r="F763">
        <f>MAX(-1,3-Tableau1[[#This Row],[Nb possédé (digital)]])</f>
        <v>1</v>
      </c>
      <c r="G763">
        <v>3</v>
      </c>
      <c r="H763">
        <f>MAX(-1,3-Tableau1[[#This Row],[Possédé (physique)]])</f>
        <v>0</v>
      </c>
      <c r="I763" t="str">
        <f>IF(Tableau1[[#This Row],[Manque (physique)]]&gt;Tableau1[[#This Row],[Manque (digital)]],"POD",IF(Tableau1[[#This Row],[Manque (digital)]]&gt;Tableau1[[#This Row],[Manque (physique)]],"MarketPlace",""))</f>
        <v>MarketPlace</v>
      </c>
      <c r="J763" t="s">
        <v>30</v>
      </c>
      <c r="K763" t="s">
        <v>601</v>
      </c>
      <c r="L763" t="s">
        <v>37</v>
      </c>
      <c r="M763" t="s">
        <v>37</v>
      </c>
      <c r="N763" t="s">
        <v>19</v>
      </c>
      <c r="O763" t="s">
        <v>19</v>
      </c>
      <c r="P763" t="s">
        <v>19</v>
      </c>
      <c r="Q763" t="s">
        <v>1385</v>
      </c>
    </row>
    <row r="764" spans="1:17" hidden="1" x14ac:dyDescent="0.25">
      <c r="A764" t="s">
        <v>307</v>
      </c>
      <c r="B764" t="s">
        <v>22</v>
      </c>
      <c r="C764" t="s">
        <v>35</v>
      </c>
      <c r="D764" t="s">
        <v>16</v>
      </c>
      <c r="E764">
        <v>3</v>
      </c>
      <c r="F764">
        <f>MAX(-1,3-Tableau1[[#This Row],[Nb possédé (digital)]])</f>
        <v>0</v>
      </c>
      <c r="G764">
        <v>3</v>
      </c>
      <c r="H764">
        <f>MAX(-1,3-Tableau1[[#This Row],[Possédé (physique)]])</f>
        <v>0</v>
      </c>
      <c r="I764" t="str">
        <f>IF(Tableau1[[#This Row],[Manque (physique)]]&gt;Tableau1[[#This Row],[Manque (digital)]],"POD",IF(Tableau1[[#This Row],[Manque (digital)]]&gt;Tableau1[[#This Row],[Manque (physique)]],"MarketPlace",""))</f>
        <v/>
      </c>
      <c r="J764" t="s">
        <v>217</v>
      </c>
      <c r="K764" t="s">
        <v>218</v>
      </c>
      <c r="L764" t="s">
        <v>20</v>
      </c>
      <c r="M764" t="s">
        <v>20</v>
      </c>
      <c r="Q764" t="s">
        <v>308</v>
      </c>
    </row>
    <row r="765" spans="1:17" hidden="1" x14ac:dyDescent="0.25">
      <c r="A765" t="s">
        <v>778</v>
      </c>
      <c r="B765" t="s">
        <v>22</v>
      </c>
      <c r="C765" t="s">
        <v>35</v>
      </c>
      <c r="D765" t="s">
        <v>16</v>
      </c>
      <c r="E765">
        <v>3</v>
      </c>
      <c r="F765">
        <f>MAX(-1,3-Tableau1[[#This Row],[Nb possédé (digital)]])</f>
        <v>0</v>
      </c>
      <c r="G765">
        <v>3</v>
      </c>
      <c r="H765">
        <f>MAX(-1,3-Tableau1[[#This Row],[Possédé (physique)]])</f>
        <v>0</v>
      </c>
      <c r="I765" t="str">
        <f>IF(Tableau1[[#This Row],[Manque (physique)]]&gt;Tableau1[[#This Row],[Manque (digital)]],"POD",IF(Tableau1[[#This Row],[Manque (digital)]]&gt;Tableau1[[#This Row],[Manque (physique)]],"MarketPlace",""))</f>
        <v/>
      </c>
      <c r="J765" t="s">
        <v>17</v>
      </c>
      <c r="K765" t="s">
        <v>18</v>
      </c>
      <c r="L765" t="s">
        <v>20</v>
      </c>
      <c r="M765" t="s">
        <v>20</v>
      </c>
      <c r="Q765" t="s">
        <v>780</v>
      </c>
    </row>
    <row r="766" spans="1:17" hidden="1" x14ac:dyDescent="0.25">
      <c r="A766" t="s">
        <v>589</v>
      </c>
      <c r="B766" t="s">
        <v>22</v>
      </c>
      <c r="C766" t="s">
        <v>35</v>
      </c>
      <c r="D766" t="s">
        <v>16</v>
      </c>
      <c r="E766">
        <v>3</v>
      </c>
      <c r="F766">
        <f>MAX(-1,3-Tableau1[[#This Row],[Nb possédé (digital)]])</f>
        <v>0</v>
      </c>
      <c r="G766">
        <v>3</v>
      </c>
      <c r="H766">
        <f>MAX(-1,3-Tableau1[[#This Row],[Possédé (physique)]])</f>
        <v>0</v>
      </c>
      <c r="I766" t="str">
        <f>IF(Tableau1[[#This Row],[Manque (physique)]]&gt;Tableau1[[#This Row],[Manque (digital)]],"POD",IF(Tableau1[[#This Row],[Manque (digital)]]&gt;Tableau1[[#This Row],[Manque (physique)]],"MarketPlace",""))</f>
        <v/>
      </c>
      <c r="J766" t="s">
        <v>30</v>
      </c>
      <c r="K766" t="s">
        <v>83</v>
      </c>
      <c r="L766" t="s">
        <v>20</v>
      </c>
      <c r="M766" t="s">
        <v>19</v>
      </c>
      <c r="N766" t="s">
        <v>89</v>
      </c>
      <c r="O766" t="s">
        <v>89</v>
      </c>
      <c r="P766" t="s">
        <v>19</v>
      </c>
      <c r="Q766" t="s">
        <v>590</v>
      </c>
    </row>
    <row r="767" spans="1:17" x14ac:dyDescent="0.25">
      <c r="A767" t="s">
        <v>871</v>
      </c>
      <c r="B767" t="s">
        <v>22</v>
      </c>
      <c r="C767" t="s">
        <v>35</v>
      </c>
      <c r="D767" t="s">
        <v>16</v>
      </c>
      <c r="E767">
        <v>5</v>
      </c>
      <c r="F767">
        <f>MAX(-1,3-Tableau1[[#This Row],[Nb possédé (digital)]])</f>
        <v>-1</v>
      </c>
      <c r="G767">
        <v>5</v>
      </c>
      <c r="H767">
        <f>MAX(-1,3-Tableau1[[#This Row],[Possédé (physique)]])</f>
        <v>-1</v>
      </c>
      <c r="I767" t="str">
        <f>IF(Tableau1[[#This Row],[Manque (physique)]]&gt;Tableau1[[#This Row],[Manque (digital)]],"POD",IF(Tableau1[[#This Row],[Manque (digital)]]&gt;Tableau1[[#This Row],[Manque (physique)]],"MarketPlace",""))</f>
        <v/>
      </c>
      <c r="J767" t="s">
        <v>30</v>
      </c>
      <c r="K767" t="s">
        <v>328</v>
      </c>
      <c r="L767" t="s">
        <v>20</v>
      </c>
      <c r="M767" t="s">
        <v>19</v>
      </c>
      <c r="N767" t="s">
        <v>89</v>
      </c>
      <c r="O767" t="s">
        <v>19</v>
      </c>
      <c r="P767" t="s">
        <v>89</v>
      </c>
      <c r="Q767" t="s">
        <v>872</v>
      </c>
    </row>
    <row r="768" spans="1:17" hidden="1" x14ac:dyDescent="0.25">
      <c r="A768" t="s">
        <v>967</v>
      </c>
      <c r="B768" t="s">
        <v>22</v>
      </c>
      <c r="C768" t="s">
        <v>35</v>
      </c>
      <c r="D768" t="s">
        <v>16</v>
      </c>
      <c r="E768">
        <v>3</v>
      </c>
      <c r="F768">
        <f>MAX(-1,3-Tableau1[[#This Row],[Nb possédé (digital)]])</f>
        <v>0</v>
      </c>
      <c r="G768">
        <v>3</v>
      </c>
      <c r="H768">
        <f>MAX(-1,3-Tableau1[[#This Row],[Possédé (physique)]])</f>
        <v>0</v>
      </c>
      <c r="I768" t="str">
        <f>IF(Tableau1[[#This Row],[Manque (physique)]]&gt;Tableau1[[#This Row],[Manque (digital)]],"POD",IF(Tableau1[[#This Row],[Manque (digital)]]&gt;Tableau1[[#This Row],[Manque (physique)]],"MarketPlace",""))</f>
        <v/>
      </c>
      <c r="J768" t="s">
        <v>30</v>
      </c>
      <c r="K768" t="s">
        <v>42</v>
      </c>
      <c r="L768" t="s">
        <v>20</v>
      </c>
      <c r="M768" t="s">
        <v>19</v>
      </c>
      <c r="N768" t="s">
        <v>20</v>
      </c>
      <c r="O768" t="s">
        <v>20</v>
      </c>
      <c r="P768" t="s">
        <v>20</v>
      </c>
      <c r="Q768" t="s">
        <v>783</v>
      </c>
    </row>
    <row r="769" spans="1:17" hidden="1" x14ac:dyDescent="0.25">
      <c r="A769" t="s">
        <v>317</v>
      </c>
      <c r="B769" t="s">
        <v>22</v>
      </c>
      <c r="C769" t="s">
        <v>35</v>
      </c>
      <c r="D769" t="s">
        <v>16</v>
      </c>
      <c r="E769">
        <v>3</v>
      </c>
      <c r="F769">
        <f>MAX(-1,3-Tableau1[[#This Row],[Nb possédé (digital)]])</f>
        <v>0</v>
      </c>
      <c r="G769">
        <v>3</v>
      </c>
      <c r="H769">
        <f>MAX(-1,3-Tableau1[[#This Row],[Possédé (physique)]])</f>
        <v>0</v>
      </c>
      <c r="I769" t="str">
        <f>IF(Tableau1[[#This Row],[Manque (physique)]]&gt;Tableau1[[#This Row],[Manque (digital)]],"POD",IF(Tableau1[[#This Row],[Manque (digital)]]&gt;Tableau1[[#This Row],[Manque (physique)]],"MarketPlace",""))</f>
        <v/>
      </c>
      <c r="J769" t="s">
        <v>30</v>
      </c>
      <c r="K769" t="s">
        <v>36</v>
      </c>
      <c r="L769" t="s">
        <v>20</v>
      </c>
      <c r="M769" t="s">
        <v>23</v>
      </c>
      <c r="N769" t="s">
        <v>89</v>
      </c>
      <c r="O769" t="s">
        <v>89</v>
      </c>
      <c r="P769" t="s">
        <v>89</v>
      </c>
      <c r="Q769" t="s">
        <v>319</v>
      </c>
    </row>
    <row r="770" spans="1:17" x14ac:dyDescent="0.25">
      <c r="A770" t="s">
        <v>927</v>
      </c>
      <c r="B770" t="s">
        <v>22</v>
      </c>
      <c r="C770" t="s">
        <v>35</v>
      </c>
      <c r="D770" t="s">
        <v>16</v>
      </c>
      <c r="E770">
        <v>4</v>
      </c>
      <c r="F770">
        <f>MAX(-1,3-Tableau1[[#This Row],[Nb possédé (digital)]])</f>
        <v>-1</v>
      </c>
      <c r="G770">
        <v>4</v>
      </c>
      <c r="H770">
        <f>MAX(-1,3-Tableau1[[#This Row],[Possédé (physique)]])</f>
        <v>-1</v>
      </c>
      <c r="I770" t="str">
        <f>IF(Tableau1[[#This Row],[Manque (physique)]]&gt;Tableau1[[#This Row],[Manque (digital)]],"POD",IF(Tableau1[[#This Row],[Manque (digital)]]&gt;Tableau1[[#This Row],[Manque (physique)]],"MarketPlace",""))</f>
        <v/>
      </c>
      <c r="J770" t="s">
        <v>30</v>
      </c>
      <c r="K770" t="s">
        <v>557</v>
      </c>
      <c r="L770" t="s">
        <v>20</v>
      </c>
      <c r="M770" t="s">
        <v>23</v>
      </c>
      <c r="N770" t="s">
        <v>20</v>
      </c>
      <c r="O770" t="s">
        <v>20</v>
      </c>
      <c r="P770" t="s">
        <v>20</v>
      </c>
      <c r="Q770" t="s">
        <v>928</v>
      </c>
    </row>
    <row r="771" spans="1:17" hidden="1" x14ac:dyDescent="0.25">
      <c r="A771" t="s">
        <v>900</v>
      </c>
      <c r="B771" t="s">
        <v>22</v>
      </c>
      <c r="C771" t="s">
        <v>35</v>
      </c>
      <c r="D771" t="s">
        <v>16</v>
      </c>
      <c r="E771">
        <v>3</v>
      </c>
      <c r="F771">
        <f>MAX(-1,3-Tableau1[[#This Row],[Nb possédé (digital)]])</f>
        <v>0</v>
      </c>
      <c r="G771">
        <v>3</v>
      </c>
      <c r="H771">
        <f>MAX(-1,3-Tableau1[[#This Row],[Possédé (physique)]])</f>
        <v>0</v>
      </c>
      <c r="I771" t="str">
        <f>IF(Tableau1[[#This Row],[Manque (physique)]]&gt;Tableau1[[#This Row],[Manque (digital)]],"POD",IF(Tableau1[[#This Row],[Manque (digital)]]&gt;Tableau1[[#This Row],[Manque (physique)]],"MarketPlace",""))</f>
        <v/>
      </c>
      <c r="J771" t="s">
        <v>30</v>
      </c>
      <c r="K771" t="s">
        <v>68</v>
      </c>
      <c r="L771" t="s">
        <v>19</v>
      </c>
      <c r="M771" t="s">
        <v>20</v>
      </c>
      <c r="N771" t="s">
        <v>89</v>
      </c>
      <c r="O771" t="s">
        <v>89</v>
      </c>
      <c r="P771" t="s">
        <v>89</v>
      </c>
      <c r="Q771" t="s">
        <v>902</v>
      </c>
    </row>
    <row r="772" spans="1:17" hidden="1" x14ac:dyDescent="0.25">
      <c r="A772" t="s">
        <v>251</v>
      </c>
      <c r="B772" t="s">
        <v>22</v>
      </c>
      <c r="C772" t="s">
        <v>35</v>
      </c>
      <c r="D772" t="s">
        <v>16</v>
      </c>
      <c r="E772">
        <v>3</v>
      </c>
      <c r="F772">
        <f>MAX(-1,3-Tableau1[[#This Row],[Nb possédé (digital)]])</f>
        <v>0</v>
      </c>
      <c r="G772">
        <v>3</v>
      </c>
      <c r="H772">
        <f>MAX(-1,3-Tableau1[[#This Row],[Possédé (physique)]])</f>
        <v>0</v>
      </c>
      <c r="I772" t="str">
        <f>IF(Tableau1[[#This Row],[Manque (physique)]]&gt;Tableau1[[#This Row],[Manque (digital)]],"POD",IF(Tableau1[[#This Row],[Manque (digital)]]&gt;Tableau1[[#This Row],[Manque (physique)]],"MarketPlace",""))</f>
        <v/>
      </c>
      <c r="J772" t="s">
        <v>30</v>
      </c>
      <c r="K772" t="s">
        <v>252</v>
      </c>
      <c r="L772" t="s">
        <v>19</v>
      </c>
      <c r="M772" t="s">
        <v>19</v>
      </c>
      <c r="N772" t="s">
        <v>20</v>
      </c>
      <c r="O772" t="s">
        <v>89</v>
      </c>
      <c r="P772" t="s">
        <v>89</v>
      </c>
      <c r="Q772" t="s">
        <v>254</v>
      </c>
    </row>
    <row r="773" spans="1:17" hidden="1" x14ac:dyDescent="0.25">
      <c r="A773" t="s">
        <v>310</v>
      </c>
      <c r="B773" t="s">
        <v>22</v>
      </c>
      <c r="C773" t="s">
        <v>35</v>
      </c>
      <c r="D773" t="s">
        <v>16</v>
      </c>
      <c r="E773">
        <v>3</v>
      </c>
      <c r="F773">
        <f>MAX(-1,3-Tableau1[[#This Row],[Nb possédé (digital)]])</f>
        <v>0</v>
      </c>
      <c r="G773">
        <v>3</v>
      </c>
      <c r="H773">
        <f>MAX(-1,3-Tableau1[[#This Row],[Possédé (physique)]])</f>
        <v>0</v>
      </c>
      <c r="I773" t="str">
        <f>IF(Tableau1[[#This Row],[Manque (physique)]]&gt;Tableau1[[#This Row],[Manque (digital)]],"POD",IF(Tableau1[[#This Row],[Manque (digital)]]&gt;Tableau1[[#This Row],[Manque (physique)]],"MarketPlace",""))</f>
        <v/>
      </c>
      <c r="J773" t="s">
        <v>30</v>
      </c>
      <c r="K773" t="s">
        <v>311</v>
      </c>
      <c r="L773" t="s">
        <v>19</v>
      </c>
      <c r="M773" t="s">
        <v>19</v>
      </c>
      <c r="N773" t="s">
        <v>20</v>
      </c>
      <c r="O773" t="s">
        <v>20</v>
      </c>
      <c r="P773" t="s">
        <v>23</v>
      </c>
      <c r="Q773" t="s">
        <v>312</v>
      </c>
    </row>
    <row r="774" spans="1:17" hidden="1" x14ac:dyDescent="0.25">
      <c r="A774" t="s">
        <v>1142</v>
      </c>
      <c r="B774" t="s">
        <v>22</v>
      </c>
      <c r="C774" t="s">
        <v>35</v>
      </c>
      <c r="D774" t="s">
        <v>16</v>
      </c>
      <c r="E774">
        <v>3</v>
      </c>
      <c r="F774">
        <f>MAX(-1,3-Tableau1[[#This Row],[Nb possédé (digital)]])</f>
        <v>0</v>
      </c>
      <c r="G774">
        <v>3</v>
      </c>
      <c r="H774">
        <f>MAX(-1,3-Tableau1[[#This Row],[Possédé (physique)]])</f>
        <v>0</v>
      </c>
      <c r="I774" t="str">
        <f>IF(Tableau1[[#This Row],[Manque (physique)]]&gt;Tableau1[[#This Row],[Manque (digital)]],"POD",IF(Tableau1[[#This Row],[Manque (digital)]]&gt;Tableau1[[#This Row],[Manque (physique)]],"MarketPlace",""))</f>
        <v/>
      </c>
      <c r="J774" t="s">
        <v>17</v>
      </c>
      <c r="K774" t="s">
        <v>153</v>
      </c>
      <c r="L774" t="s">
        <v>19</v>
      </c>
      <c r="M774" t="s">
        <v>19</v>
      </c>
      <c r="Q774" t="s">
        <v>1143</v>
      </c>
    </row>
    <row r="775" spans="1:17" hidden="1" x14ac:dyDescent="0.25">
      <c r="A775" t="s">
        <v>483</v>
      </c>
      <c r="B775" t="s">
        <v>22</v>
      </c>
      <c r="C775" t="s">
        <v>35</v>
      </c>
      <c r="D775" t="s">
        <v>16</v>
      </c>
      <c r="E775">
        <v>3</v>
      </c>
      <c r="F775">
        <f>MAX(-1,3-Tableau1[[#This Row],[Nb possédé (digital)]])</f>
        <v>0</v>
      </c>
      <c r="G775">
        <v>3</v>
      </c>
      <c r="H775">
        <f>MAX(-1,3-Tableau1[[#This Row],[Possédé (physique)]])</f>
        <v>0</v>
      </c>
      <c r="I775" t="str">
        <f>IF(Tableau1[[#This Row],[Manque (physique)]]&gt;Tableau1[[#This Row],[Manque (digital)]],"POD",IF(Tableau1[[#This Row],[Manque (digital)]]&gt;Tableau1[[#This Row],[Manque (physique)]],"MarketPlace",""))</f>
        <v/>
      </c>
      <c r="J775" t="s">
        <v>30</v>
      </c>
      <c r="K775" t="s">
        <v>481</v>
      </c>
      <c r="L775" t="s">
        <v>19</v>
      </c>
      <c r="M775" t="s">
        <v>19</v>
      </c>
      <c r="N775" t="s">
        <v>20</v>
      </c>
      <c r="O775" t="s">
        <v>20</v>
      </c>
      <c r="P775" t="s">
        <v>20</v>
      </c>
      <c r="Q775" t="s">
        <v>215</v>
      </c>
    </row>
    <row r="776" spans="1:17" hidden="1" x14ac:dyDescent="0.25">
      <c r="A776" t="s">
        <v>534</v>
      </c>
      <c r="B776" t="s">
        <v>22</v>
      </c>
      <c r="C776" t="s">
        <v>35</v>
      </c>
      <c r="D776" t="s">
        <v>16</v>
      </c>
      <c r="E776">
        <v>3</v>
      </c>
      <c r="F776">
        <f>MAX(-1,3-Tableau1[[#This Row],[Nb possédé (digital)]])</f>
        <v>0</v>
      </c>
      <c r="G776">
        <v>3</v>
      </c>
      <c r="H776">
        <f>MAX(-1,3-Tableau1[[#This Row],[Possédé (physique)]])</f>
        <v>0</v>
      </c>
      <c r="I776" t="str">
        <f>IF(Tableau1[[#This Row],[Manque (physique)]]&gt;Tableau1[[#This Row],[Manque (digital)]],"POD",IF(Tableau1[[#This Row],[Manque (digital)]]&gt;Tableau1[[#This Row],[Manque (physique)]],"MarketPlace",""))</f>
        <v/>
      </c>
      <c r="J776" t="s">
        <v>217</v>
      </c>
      <c r="K776" t="s">
        <v>218</v>
      </c>
      <c r="L776" t="s">
        <v>19</v>
      </c>
      <c r="M776" t="s">
        <v>19</v>
      </c>
      <c r="Q776" t="s">
        <v>537</v>
      </c>
    </row>
    <row r="777" spans="1:17" hidden="1" x14ac:dyDescent="0.25">
      <c r="A777" t="s">
        <v>544</v>
      </c>
      <c r="B777" t="s">
        <v>22</v>
      </c>
      <c r="C777" t="s">
        <v>35</v>
      </c>
      <c r="D777" t="s">
        <v>16</v>
      </c>
      <c r="E777">
        <v>3</v>
      </c>
      <c r="F777">
        <f>MAX(-1,3-Tableau1[[#This Row],[Nb possédé (digital)]])</f>
        <v>0</v>
      </c>
      <c r="G777">
        <v>3</v>
      </c>
      <c r="H777">
        <f>MAX(-1,3-Tableau1[[#This Row],[Possédé (physique)]])</f>
        <v>0</v>
      </c>
      <c r="I777" t="str">
        <f>IF(Tableau1[[#This Row],[Manque (physique)]]&gt;Tableau1[[#This Row],[Manque (digital)]],"POD",IF(Tableau1[[#This Row],[Manque (digital)]]&gt;Tableau1[[#This Row],[Manque (physique)]],"MarketPlace",""))</f>
        <v/>
      </c>
      <c r="J777" t="s">
        <v>30</v>
      </c>
      <c r="K777" t="s">
        <v>83</v>
      </c>
      <c r="L777" t="s">
        <v>19</v>
      </c>
      <c r="M777" t="s">
        <v>19</v>
      </c>
      <c r="N777" t="s">
        <v>20</v>
      </c>
      <c r="O777" t="s">
        <v>19</v>
      </c>
      <c r="P777" t="s">
        <v>19</v>
      </c>
      <c r="Q777" t="s">
        <v>545</v>
      </c>
    </row>
    <row r="778" spans="1:17" hidden="1" x14ac:dyDescent="0.25">
      <c r="A778" t="s">
        <v>582</v>
      </c>
      <c r="B778" t="s">
        <v>22</v>
      </c>
      <c r="C778" t="s">
        <v>35</v>
      </c>
      <c r="D778" t="s">
        <v>16</v>
      </c>
      <c r="E778">
        <v>3</v>
      </c>
      <c r="F778">
        <f>MAX(-1,3-Tableau1[[#This Row],[Nb possédé (digital)]])</f>
        <v>0</v>
      </c>
      <c r="G778">
        <v>3</v>
      </c>
      <c r="H778">
        <f>MAX(-1,3-Tableau1[[#This Row],[Possédé (physique)]])</f>
        <v>0</v>
      </c>
      <c r="I778" t="str">
        <f>IF(Tableau1[[#This Row],[Manque (physique)]]&gt;Tableau1[[#This Row],[Manque (digital)]],"POD",IF(Tableau1[[#This Row],[Manque (digital)]]&gt;Tableau1[[#This Row],[Manque (physique)]],"MarketPlace",""))</f>
        <v/>
      </c>
      <c r="J778" t="s">
        <v>17</v>
      </c>
      <c r="K778" t="s">
        <v>153</v>
      </c>
      <c r="L778" t="s">
        <v>19</v>
      </c>
      <c r="M778" t="s">
        <v>19</v>
      </c>
      <c r="Q778" t="s">
        <v>583</v>
      </c>
    </row>
    <row r="779" spans="1:17" hidden="1" x14ac:dyDescent="0.25">
      <c r="A779" t="s">
        <v>610</v>
      </c>
      <c r="B779" t="s">
        <v>22</v>
      </c>
      <c r="C779" t="s">
        <v>35</v>
      </c>
      <c r="D779" t="s">
        <v>16</v>
      </c>
      <c r="E779">
        <v>3</v>
      </c>
      <c r="F779">
        <f>MAX(-1,3-Tableau1[[#This Row],[Nb possédé (digital)]])</f>
        <v>0</v>
      </c>
      <c r="G779">
        <v>3</v>
      </c>
      <c r="H779">
        <f>MAX(-1,3-Tableau1[[#This Row],[Possédé (physique)]])</f>
        <v>0</v>
      </c>
      <c r="I779" t="str">
        <f>IF(Tableau1[[#This Row],[Manque (physique)]]&gt;Tableau1[[#This Row],[Manque (digital)]],"POD",IF(Tableau1[[#This Row],[Manque (digital)]]&gt;Tableau1[[#This Row],[Manque (physique)]],"MarketPlace",""))</f>
        <v/>
      </c>
      <c r="J779" t="s">
        <v>30</v>
      </c>
      <c r="K779" t="s">
        <v>103</v>
      </c>
      <c r="L779" t="s">
        <v>19</v>
      </c>
      <c r="M779" t="s">
        <v>19</v>
      </c>
      <c r="N779" t="s">
        <v>89</v>
      </c>
      <c r="O779" t="s">
        <v>23</v>
      </c>
      <c r="P779" t="s">
        <v>19</v>
      </c>
      <c r="Q779" t="s">
        <v>459</v>
      </c>
    </row>
    <row r="780" spans="1:17" hidden="1" x14ac:dyDescent="0.25">
      <c r="A780" t="s">
        <v>799</v>
      </c>
      <c r="B780" t="s">
        <v>22</v>
      </c>
      <c r="C780" t="s">
        <v>35</v>
      </c>
      <c r="D780" t="s">
        <v>16</v>
      </c>
      <c r="E780">
        <v>3</v>
      </c>
      <c r="F780">
        <f>MAX(-1,3-Tableau1[[#This Row],[Nb possédé (digital)]])</f>
        <v>0</v>
      </c>
      <c r="G780">
        <v>3</v>
      </c>
      <c r="H780">
        <f>MAX(-1,3-Tableau1[[#This Row],[Possédé (physique)]])</f>
        <v>0</v>
      </c>
      <c r="I780" t="str">
        <f>IF(Tableau1[[#This Row],[Manque (physique)]]&gt;Tableau1[[#This Row],[Manque (digital)]],"POD",IF(Tableau1[[#This Row],[Manque (digital)]]&gt;Tableau1[[#This Row],[Manque (physique)]],"MarketPlace",""))</f>
        <v/>
      </c>
      <c r="J780" t="s">
        <v>17</v>
      </c>
      <c r="K780" t="s">
        <v>189</v>
      </c>
      <c r="L780" t="s">
        <v>19</v>
      </c>
      <c r="M780" t="s">
        <v>19</v>
      </c>
      <c r="Q780" t="s">
        <v>800</v>
      </c>
    </row>
    <row r="781" spans="1:17" hidden="1" x14ac:dyDescent="0.25">
      <c r="A781" t="s">
        <v>845</v>
      </c>
      <c r="B781" t="s">
        <v>22</v>
      </c>
      <c r="C781" t="s">
        <v>35</v>
      </c>
      <c r="D781" t="s">
        <v>16</v>
      </c>
      <c r="E781">
        <v>3</v>
      </c>
      <c r="F781">
        <f>MAX(-1,3-Tableau1[[#This Row],[Nb possédé (digital)]])</f>
        <v>0</v>
      </c>
      <c r="G781">
        <v>3</v>
      </c>
      <c r="H781">
        <f>MAX(-1,3-Tableau1[[#This Row],[Possédé (physique)]])</f>
        <v>0</v>
      </c>
      <c r="I781" t="str">
        <f>IF(Tableau1[[#This Row],[Manque (physique)]]&gt;Tableau1[[#This Row],[Manque (digital)]],"POD",IF(Tableau1[[#This Row],[Manque (digital)]]&gt;Tableau1[[#This Row],[Manque (physique)]],"MarketPlace",""))</f>
        <v/>
      </c>
      <c r="J781" t="s">
        <v>30</v>
      </c>
      <c r="K781" t="s">
        <v>846</v>
      </c>
      <c r="L781" t="s">
        <v>19</v>
      </c>
      <c r="M781" t="s">
        <v>19</v>
      </c>
      <c r="N781" t="s">
        <v>19</v>
      </c>
      <c r="O781" t="s">
        <v>19</v>
      </c>
      <c r="P781" t="s">
        <v>19</v>
      </c>
      <c r="Q781" t="s">
        <v>848</v>
      </c>
    </row>
    <row r="782" spans="1:17" hidden="1" x14ac:dyDescent="0.25">
      <c r="A782" t="s">
        <v>881</v>
      </c>
      <c r="B782" t="s">
        <v>22</v>
      </c>
      <c r="C782" t="s">
        <v>35</v>
      </c>
      <c r="D782" t="s">
        <v>16</v>
      </c>
      <c r="E782">
        <v>3</v>
      </c>
      <c r="F782">
        <f>MAX(-1,3-Tableau1[[#This Row],[Nb possédé (digital)]])</f>
        <v>0</v>
      </c>
      <c r="G782">
        <v>3</v>
      </c>
      <c r="H782">
        <f>MAX(-1,3-Tableau1[[#This Row],[Possédé (physique)]])</f>
        <v>0</v>
      </c>
      <c r="I782" t="str">
        <f>IF(Tableau1[[#This Row],[Manque (physique)]]&gt;Tableau1[[#This Row],[Manque (digital)]],"POD",IF(Tableau1[[#This Row],[Manque (digital)]]&gt;Tableau1[[#This Row],[Manque (physique)]],"MarketPlace",""))</f>
        <v/>
      </c>
      <c r="J782" t="s">
        <v>30</v>
      </c>
      <c r="K782" t="s">
        <v>83</v>
      </c>
      <c r="L782" t="s">
        <v>19</v>
      </c>
      <c r="M782" t="s">
        <v>19</v>
      </c>
      <c r="N782" t="s">
        <v>89</v>
      </c>
      <c r="O782" t="s">
        <v>23</v>
      </c>
      <c r="P782" t="s">
        <v>23</v>
      </c>
      <c r="Q782" t="s">
        <v>882</v>
      </c>
    </row>
    <row r="783" spans="1:17" x14ac:dyDescent="0.25">
      <c r="A783" t="s">
        <v>1084</v>
      </c>
      <c r="B783" t="s">
        <v>22</v>
      </c>
      <c r="C783" t="s">
        <v>35</v>
      </c>
      <c r="D783" t="s">
        <v>16</v>
      </c>
      <c r="E783">
        <v>4</v>
      </c>
      <c r="F783">
        <f>MAX(-1,3-Tableau1[[#This Row],[Nb possédé (digital)]])</f>
        <v>-1</v>
      </c>
      <c r="G783">
        <v>4</v>
      </c>
      <c r="H783">
        <f>MAX(-1,3-Tableau1[[#This Row],[Possédé (physique)]])</f>
        <v>-1</v>
      </c>
      <c r="I783" t="str">
        <f>IF(Tableau1[[#This Row],[Manque (physique)]]&gt;Tableau1[[#This Row],[Manque (digital)]],"POD",IF(Tableau1[[#This Row],[Manque (digital)]]&gt;Tableau1[[#This Row],[Manque (physique)]],"MarketPlace",""))</f>
        <v/>
      </c>
      <c r="J783" t="s">
        <v>30</v>
      </c>
      <c r="K783" t="s">
        <v>83</v>
      </c>
      <c r="L783" t="s">
        <v>19</v>
      </c>
      <c r="M783" t="s">
        <v>19</v>
      </c>
      <c r="N783" t="s">
        <v>52</v>
      </c>
      <c r="O783" t="s">
        <v>23</v>
      </c>
      <c r="P783" t="s">
        <v>52</v>
      </c>
      <c r="Q783" t="s">
        <v>1085</v>
      </c>
    </row>
    <row r="784" spans="1:17" hidden="1" x14ac:dyDescent="0.25">
      <c r="A784" t="s">
        <v>120</v>
      </c>
      <c r="B784" t="s">
        <v>22</v>
      </c>
      <c r="C784" t="s">
        <v>35</v>
      </c>
      <c r="D784" t="s">
        <v>16</v>
      </c>
      <c r="E784">
        <v>3</v>
      </c>
      <c r="F784">
        <f>MAX(-1,3-Tableau1[[#This Row],[Nb possédé (digital)]])</f>
        <v>0</v>
      </c>
      <c r="G784">
        <v>3</v>
      </c>
      <c r="H784">
        <f>MAX(-1,3-Tableau1[[#This Row],[Possédé (physique)]])</f>
        <v>0</v>
      </c>
      <c r="I784" t="str">
        <f>IF(Tableau1[[#This Row],[Manque (physique)]]&gt;Tableau1[[#This Row],[Manque (digital)]],"POD",IF(Tableau1[[#This Row],[Manque (digital)]]&gt;Tableau1[[#This Row],[Manque (physique)]],"MarketPlace",""))</f>
        <v/>
      </c>
      <c r="J784" t="s">
        <v>30</v>
      </c>
      <c r="K784" t="s">
        <v>42</v>
      </c>
      <c r="L784" t="s">
        <v>19</v>
      </c>
      <c r="M784" t="s">
        <v>23</v>
      </c>
      <c r="N784" t="s">
        <v>19</v>
      </c>
      <c r="O784" t="s">
        <v>19</v>
      </c>
      <c r="P784" t="s">
        <v>19</v>
      </c>
      <c r="Q784" t="s">
        <v>121</v>
      </c>
    </row>
    <row r="785" spans="1:17" hidden="1" x14ac:dyDescent="0.25">
      <c r="A785" t="s">
        <v>814</v>
      </c>
      <c r="B785" t="s">
        <v>22</v>
      </c>
      <c r="C785" t="s">
        <v>35</v>
      </c>
      <c r="D785" t="s">
        <v>16</v>
      </c>
      <c r="E785">
        <v>3</v>
      </c>
      <c r="F785">
        <f>MAX(-1,3-Tableau1[[#This Row],[Nb possédé (digital)]])</f>
        <v>0</v>
      </c>
      <c r="G785">
        <v>3</v>
      </c>
      <c r="H785">
        <f>MAX(-1,3-Tableau1[[#This Row],[Possédé (physique)]])</f>
        <v>0</v>
      </c>
      <c r="I785" t="str">
        <f>IF(Tableau1[[#This Row],[Manque (physique)]]&gt;Tableau1[[#This Row],[Manque (digital)]],"POD",IF(Tableau1[[#This Row],[Manque (digital)]]&gt;Tableau1[[#This Row],[Manque (physique)]],"MarketPlace",""))</f>
        <v/>
      </c>
      <c r="J785" t="s">
        <v>30</v>
      </c>
      <c r="K785" t="s">
        <v>68</v>
      </c>
      <c r="L785" t="s">
        <v>19</v>
      </c>
      <c r="M785" t="s">
        <v>23</v>
      </c>
      <c r="N785" t="s">
        <v>89</v>
      </c>
      <c r="O785" t="s">
        <v>89</v>
      </c>
      <c r="P785" t="s">
        <v>52</v>
      </c>
    </row>
    <row r="786" spans="1:17" hidden="1" x14ac:dyDescent="0.25">
      <c r="A786" t="s">
        <v>936</v>
      </c>
      <c r="B786" t="s">
        <v>22</v>
      </c>
      <c r="C786" t="s">
        <v>35</v>
      </c>
      <c r="D786" t="s">
        <v>16</v>
      </c>
      <c r="E786">
        <v>3</v>
      </c>
      <c r="F786">
        <f>MAX(-1,3-Tableau1[[#This Row],[Nb possédé (digital)]])</f>
        <v>0</v>
      </c>
      <c r="G786">
        <v>3</v>
      </c>
      <c r="H786">
        <f>MAX(-1,3-Tableau1[[#This Row],[Possédé (physique)]])</f>
        <v>0</v>
      </c>
      <c r="I786" t="str">
        <f>IF(Tableau1[[#This Row],[Manque (physique)]]&gt;Tableau1[[#This Row],[Manque (digital)]],"POD",IF(Tableau1[[#This Row],[Manque (digital)]]&gt;Tableau1[[#This Row],[Manque (physique)]],"MarketPlace",""))</f>
        <v/>
      </c>
      <c r="J786" t="s">
        <v>30</v>
      </c>
      <c r="K786" t="s">
        <v>83</v>
      </c>
      <c r="L786" t="s">
        <v>19</v>
      </c>
      <c r="M786" t="s">
        <v>23</v>
      </c>
      <c r="N786" t="s">
        <v>19</v>
      </c>
      <c r="O786" t="s">
        <v>19</v>
      </c>
      <c r="P786" t="s">
        <v>19</v>
      </c>
      <c r="Q786" t="s">
        <v>938</v>
      </c>
    </row>
    <row r="787" spans="1:17" hidden="1" x14ac:dyDescent="0.25">
      <c r="A787" t="s">
        <v>131</v>
      </c>
      <c r="B787" t="s">
        <v>22</v>
      </c>
      <c r="C787" t="s">
        <v>35</v>
      </c>
      <c r="D787" t="s">
        <v>16</v>
      </c>
      <c r="E787">
        <v>3</v>
      </c>
      <c r="F787">
        <f>MAX(-1,3-Tableau1[[#This Row],[Nb possédé (digital)]])</f>
        <v>0</v>
      </c>
      <c r="G787">
        <v>3</v>
      </c>
      <c r="H787">
        <f>MAX(-1,3-Tableau1[[#This Row],[Possédé (physique)]])</f>
        <v>0</v>
      </c>
      <c r="I787" t="str">
        <f>IF(Tableau1[[#This Row],[Manque (physique)]]&gt;Tableau1[[#This Row],[Manque (digital)]],"POD",IF(Tableau1[[#This Row],[Manque (digital)]]&gt;Tableau1[[#This Row],[Manque (physique)]],"MarketPlace",""))</f>
        <v/>
      </c>
      <c r="J787" t="s">
        <v>30</v>
      </c>
      <c r="K787" t="s">
        <v>132</v>
      </c>
      <c r="L787" t="s">
        <v>19</v>
      </c>
      <c r="M787" t="s">
        <v>52</v>
      </c>
      <c r="N787" t="s">
        <v>23</v>
      </c>
      <c r="O787" t="s">
        <v>20</v>
      </c>
      <c r="P787" t="s">
        <v>20</v>
      </c>
      <c r="Q787" t="s">
        <v>134</v>
      </c>
    </row>
    <row r="788" spans="1:17" hidden="1" x14ac:dyDescent="0.25">
      <c r="A788" t="s">
        <v>424</v>
      </c>
      <c r="B788" t="s">
        <v>22</v>
      </c>
      <c r="C788" t="s">
        <v>35</v>
      </c>
      <c r="D788" t="s">
        <v>16</v>
      </c>
      <c r="E788">
        <v>3</v>
      </c>
      <c r="F788">
        <f>MAX(-1,3-Tableau1[[#This Row],[Nb possédé (digital)]])</f>
        <v>0</v>
      </c>
      <c r="G788">
        <v>3</v>
      </c>
      <c r="H788">
        <f>MAX(-1,3-Tableau1[[#This Row],[Possédé (physique)]])</f>
        <v>0</v>
      </c>
      <c r="I788" t="str">
        <f>IF(Tableau1[[#This Row],[Manque (physique)]]&gt;Tableau1[[#This Row],[Manque (digital)]],"POD",IF(Tableau1[[#This Row],[Manque (digital)]]&gt;Tableau1[[#This Row],[Manque (physique)]],"MarketPlace",""))</f>
        <v/>
      </c>
      <c r="J788" t="s">
        <v>30</v>
      </c>
      <c r="K788" t="s">
        <v>68</v>
      </c>
      <c r="L788" t="s">
        <v>23</v>
      </c>
      <c r="M788" t="s">
        <v>19</v>
      </c>
      <c r="N788" t="s">
        <v>19</v>
      </c>
      <c r="O788" t="s">
        <v>19</v>
      </c>
      <c r="P788" t="s">
        <v>19</v>
      </c>
      <c r="Q788" t="s">
        <v>425</v>
      </c>
    </row>
    <row r="789" spans="1:17" hidden="1" x14ac:dyDescent="0.25">
      <c r="A789" t="s">
        <v>157</v>
      </c>
      <c r="B789" t="s">
        <v>22</v>
      </c>
      <c r="C789" t="s">
        <v>35</v>
      </c>
      <c r="D789" t="s">
        <v>16</v>
      </c>
      <c r="E789">
        <v>3</v>
      </c>
      <c r="F789">
        <f>MAX(-1,3-Tableau1[[#This Row],[Nb possédé (digital)]])</f>
        <v>0</v>
      </c>
      <c r="G789">
        <v>3</v>
      </c>
      <c r="H789">
        <f>MAX(-1,3-Tableau1[[#This Row],[Possédé (physique)]])</f>
        <v>0</v>
      </c>
      <c r="I789" t="str">
        <f>IF(Tableau1[[#This Row],[Manque (physique)]]&gt;Tableau1[[#This Row],[Manque (digital)]],"POD",IF(Tableau1[[#This Row],[Manque (digital)]]&gt;Tableau1[[#This Row],[Manque (physique)]],"MarketPlace",""))</f>
        <v/>
      </c>
      <c r="J789" t="s">
        <v>30</v>
      </c>
      <c r="K789" t="s">
        <v>83</v>
      </c>
      <c r="L789" t="s">
        <v>23</v>
      </c>
      <c r="M789" t="s">
        <v>23</v>
      </c>
      <c r="N789" t="s">
        <v>52</v>
      </c>
      <c r="O789" t="s">
        <v>19</v>
      </c>
      <c r="P789" t="s">
        <v>19</v>
      </c>
      <c r="Q789" t="s">
        <v>159</v>
      </c>
    </row>
    <row r="790" spans="1:17" hidden="1" x14ac:dyDescent="0.25">
      <c r="A790" t="s">
        <v>346</v>
      </c>
      <c r="B790" t="s">
        <v>22</v>
      </c>
      <c r="C790" t="s">
        <v>35</v>
      </c>
      <c r="D790" t="s">
        <v>16</v>
      </c>
      <c r="E790">
        <v>3</v>
      </c>
      <c r="F790">
        <f>MAX(-1,3-Tableau1[[#This Row],[Nb possédé (digital)]])</f>
        <v>0</v>
      </c>
      <c r="G790">
        <v>3</v>
      </c>
      <c r="H790">
        <f>MAX(-1,3-Tableau1[[#This Row],[Possédé (physique)]])</f>
        <v>0</v>
      </c>
      <c r="I790" t="str">
        <f>IF(Tableau1[[#This Row],[Manque (physique)]]&gt;Tableau1[[#This Row],[Manque (digital)]],"POD",IF(Tableau1[[#This Row],[Manque (digital)]]&gt;Tableau1[[#This Row],[Manque (physique)]],"MarketPlace",""))</f>
        <v/>
      </c>
      <c r="J790" t="s">
        <v>30</v>
      </c>
      <c r="K790" t="s">
        <v>347</v>
      </c>
      <c r="L790" t="s">
        <v>23</v>
      </c>
      <c r="M790" t="s">
        <v>23</v>
      </c>
      <c r="N790" t="s">
        <v>89</v>
      </c>
      <c r="O790" t="s">
        <v>19</v>
      </c>
      <c r="P790" t="s">
        <v>19</v>
      </c>
      <c r="Q790" t="s">
        <v>243</v>
      </c>
    </row>
    <row r="791" spans="1:17" x14ac:dyDescent="0.25">
      <c r="A791" t="s">
        <v>409</v>
      </c>
      <c r="B791" t="s">
        <v>22</v>
      </c>
      <c r="C791" t="s">
        <v>35</v>
      </c>
      <c r="D791" t="s">
        <v>16</v>
      </c>
      <c r="E791">
        <v>4</v>
      </c>
      <c r="F791">
        <f>MAX(-1,3-Tableau1[[#This Row],[Nb possédé (digital)]])</f>
        <v>-1</v>
      </c>
      <c r="G791">
        <v>4</v>
      </c>
      <c r="H791">
        <f>MAX(-1,3-Tableau1[[#This Row],[Possédé (physique)]])</f>
        <v>-1</v>
      </c>
      <c r="I791" t="str">
        <f>IF(Tableau1[[#This Row],[Manque (physique)]]&gt;Tableau1[[#This Row],[Manque (digital)]],"POD",IF(Tableau1[[#This Row],[Manque (digital)]]&gt;Tableau1[[#This Row],[Manque (physique)]],"MarketPlace",""))</f>
        <v/>
      </c>
      <c r="J791" t="s">
        <v>17</v>
      </c>
      <c r="K791" t="s">
        <v>18</v>
      </c>
      <c r="L791" t="s">
        <v>23</v>
      </c>
      <c r="M791" t="s">
        <v>23</v>
      </c>
      <c r="Q791" t="s">
        <v>411</v>
      </c>
    </row>
    <row r="792" spans="1:17" x14ac:dyDescent="0.25">
      <c r="A792" t="s">
        <v>520</v>
      </c>
      <c r="B792" t="s">
        <v>22</v>
      </c>
      <c r="C792" t="s">
        <v>35</v>
      </c>
      <c r="D792" t="s">
        <v>16</v>
      </c>
      <c r="E792">
        <v>7</v>
      </c>
      <c r="F792">
        <f>MAX(-1,3-Tableau1[[#This Row],[Nb possédé (digital)]])</f>
        <v>-1</v>
      </c>
      <c r="G792">
        <v>7</v>
      </c>
      <c r="H792">
        <f>MAX(-1,3-Tableau1[[#This Row],[Possédé (physique)]])</f>
        <v>-1</v>
      </c>
      <c r="I792" t="str">
        <f>IF(Tableau1[[#This Row],[Manque (physique)]]&gt;Tableau1[[#This Row],[Manque (digital)]],"POD",IF(Tableau1[[#This Row],[Manque (digital)]]&gt;Tableau1[[#This Row],[Manque (physique)]],"MarketPlace",""))</f>
        <v/>
      </c>
      <c r="J792" t="s">
        <v>30</v>
      </c>
      <c r="K792" t="s">
        <v>36</v>
      </c>
      <c r="L792" t="s">
        <v>23</v>
      </c>
      <c r="M792" t="s">
        <v>23</v>
      </c>
      <c r="N792" t="s">
        <v>52</v>
      </c>
      <c r="O792" t="s">
        <v>52</v>
      </c>
      <c r="P792" t="s">
        <v>52</v>
      </c>
      <c r="Q792" t="s">
        <v>521</v>
      </c>
    </row>
    <row r="793" spans="1:17" hidden="1" x14ac:dyDescent="0.25">
      <c r="A793" t="s">
        <v>639</v>
      </c>
      <c r="B793" t="s">
        <v>22</v>
      </c>
      <c r="C793" t="s">
        <v>35</v>
      </c>
      <c r="D793" t="s">
        <v>16</v>
      </c>
      <c r="E793">
        <v>3</v>
      </c>
      <c r="F793">
        <f>MAX(-1,3-Tableau1[[#This Row],[Nb possédé (digital)]])</f>
        <v>0</v>
      </c>
      <c r="G793">
        <v>3</v>
      </c>
      <c r="H793">
        <f>MAX(-1,3-Tableau1[[#This Row],[Possédé (physique)]])</f>
        <v>0</v>
      </c>
      <c r="I793" t="str">
        <f>IF(Tableau1[[#This Row],[Manque (physique)]]&gt;Tableau1[[#This Row],[Manque (digital)]],"POD",IF(Tableau1[[#This Row],[Manque (digital)]]&gt;Tableau1[[#This Row],[Manque (physique)]],"MarketPlace",""))</f>
        <v/>
      </c>
      <c r="J793" t="s">
        <v>217</v>
      </c>
      <c r="K793" t="s">
        <v>218</v>
      </c>
      <c r="L793" t="s">
        <v>23</v>
      </c>
      <c r="M793" t="s">
        <v>23</v>
      </c>
      <c r="Q793" t="s">
        <v>640</v>
      </c>
    </row>
    <row r="794" spans="1:17" x14ac:dyDescent="0.25">
      <c r="A794" t="s">
        <v>688</v>
      </c>
      <c r="B794" t="s">
        <v>22</v>
      </c>
      <c r="C794" t="s">
        <v>35</v>
      </c>
      <c r="D794" t="s">
        <v>16</v>
      </c>
      <c r="E794">
        <v>5</v>
      </c>
      <c r="F794">
        <f>MAX(-1,3-Tableau1[[#This Row],[Nb possédé (digital)]])</f>
        <v>-1</v>
      </c>
      <c r="G794">
        <v>5</v>
      </c>
      <c r="H794">
        <f>MAX(-1,3-Tableau1[[#This Row],[Possédé (physique)]])</f>
        <v>-1</v>
      </c>
      <c r="I794" t="str">
        <f>IF(Tableau1[[#This Row],[Manque (physique)]]&gt;Tableau1[[#This Row],[Manque (digital)]],"POD",IF(Tableau1[[#This Row],[Manque (digital)]]&gt;Tableau1[[#This Row],[Manque (physique)]],"MarketPlace",""))</f>
        <v/>
      </c>
      <c r="J794" t="s">
        <v>217</v>
      </c>
      <c r="K794" t="s">
        <v>218</v>
      </c>
      <c r="L794" t="s">
        <v>23</v>
      </c>
      <c r="M794" t="s">
        <v>23</v>
      </c>
      <c r="Q794" t="s">
        <v>690</v>
      </c>
    </row>
    <row r="795" spans="1:17" hidden="1" x14ac:dyDescent="0.25">
      <c r="A795" t="s">
        <v>802</v>
      </c>
      <c r="B795" t="s">
        <v>22</v>
      </c>
      <c r="C795" t="s">
        <v>35</v>
      </c>
      <c r="D795" t="s">
        <v>16</v>
      </c>
      <c r="E795">
        <v>3</v>
      </c>
      <c r="F795">
        <f>MAX(-1,3-Tableau1[[#This Row],[Nb possédé (digital)]])</f>
        <v>0</v>
      </c>
      <c r="G795">
        <v>3</v>
      </c>
      <c r="H795">
        <f>MAX(-1,3-Tableau1[[#This Row],[Possédé (physique)]])</f>
        <v>0</v>
      </c>
      <c r="I795" t="str">
        <f>IF(Tableau1[[#This Row],[Manque (physique)]]&gt;Tableau1[[#This Row],[Manque (digital)]],"POD",IF(Tableau1[[#This Row],[Manque (digital)]]&gt;Tableau1[[#This Row],[Manque (physique)]],"MarketPlace",""))</f>
        <v/>
      </c>
      <c r="J795" t="s">
        <v>17</v>
      </c>
      <c r="K795" t="s">
        <v>153</v>
      </c>
      <c r="L795" t="s">
        <v>23</v>
      </c>
      <c r="M795" t="s">
        <v>23</v>
      </c>
      <c r="Q795" t="s">
        <v>803</v>
      </c>
    </row>
    <row r="796" spans="1:17" hidden="1" x14ac:dyDescent="0.25">
      <c r="A796" t="s">
        <v>1033</v>
      </c>
      <c r="B796" t="s">
        <v>22</v>
      </c>
      <c r="C796" t="s">
        <v>35</v>
      </c>
      <c r="D796" t="s">
        <v>16</v>
      </c>
      <c r="E796">
        <v>3</v>
      </c>
      <c r="F796">
        <f>MAX(-1,3-Tableau1[[#This Row],[Nb possédé (digital)]])</f>
        <v>0</v>
      </c>
      <c r="G796">
        <v>3</v>
      </c>
      <c r="H796">
        <f>MAX(-1,3-Tableau1[[#This Row],[Possédé (physique)]])</f>
        <v>0</v>
      </c>
      <c r="I796" t="str">
        <f>IF(Tableau1[[#This Row],[Manque (physique)]]&gt;Tableau1[[#This Row],[Manque (digital)]],"POD",IF(Tableau1[[#This Row],[Manque (digital)]]&gt;Tableau1[[#This Row],[Manque (physique)]],"MarketPlace",""))</f>
        <v/>
      </c>
      <c r="J796" t="s">
        <v>30</v>
      </c>
      <c r="K796" t="s">
        <v>103</v>
      </c>
      <c r="L796" t="s">
        <v>23</v>
      </c>
      <c r="M796" t="s">
        <v>23</v>
      </c>
      <c r="N796" t="s">
        <v>23</v>
      </c>
      <c r="O796" t="s">
        <v>23</v>
      </c>
      <c r="P796" t="s">
        <v>89</v>
      </c>
      <c r="Q796" t="s">
        <v>215</v>
      </c>
    </row>
    <row r="797" spans="1:17" hidden="1" x14ac:dyDescent="0.25">
      <c r="A797" t="s">
        <v>1035</v>
      </c>
      <c r="B797" t="s">
        <v>22</v>
      </c>
      <c r="C797" t="s">
        <v>35</v>
      </c>
      <c r="D797" t="s">
        <v>16</v>
      </c>
      <c r="E797">
        <v>3</v>
      </c>
      <c r="F797">
        <f>MAX(-1,3-Tableau1[[#This Row],[Nb possédé (digital)]])</f>
        <v>0</v>
      </c>
      <c r="G797">
        <v>3</v>
      </c>
      <c r="H797">
        <f>MAX(-1,3-Tableau1[[#This Row],[Possédé (physique)]])</f>
        <v>0</v>
      </c>
      <c r="I797" t="str">
        <f>IF(Tableau1[[#This Row],[Manque (physique)]]&gt;Tableau1[[#This Row],[Manque (digital)]],"POD",IF(Tableau1[[#This Row],[Manque (digital)]]&gt;Tableau1[[#This Row],[Manque (physique)]],"MarketPlace",""))</f>
        <v/>
      </c>
      <c r="J797" t="s">
        <v>17</v>
      </c>
      <c r="K797" t="s">
        <v>18</v>
      </c>
      <c r="L797" t="s">
        <v>23</v>
      </c>
      <c r="M797" t="s">
        <v>23</v>
      </c>
      <c r="Q797" t="s">
        <v>1037</v>
      </c>
    </row>
    <row r="798" spans="1:17" hidden="1" x14ac:dyDescent="0.25">
      <c r="A798" t="s">
        <v>1075</v>
      </c>
      <c r="B798" t="s">
        <v>22</v>
      </c>
      <c r="C798" t="s">
        <v>35</v>
      </c>
      <c r="D798" t="s">
        <v>16</v>
      </c>
      <c r="E798">
        <v>3</v>
      </c>
      <c r="F798">
        <f>MAX(-1,3-Tableau1[[#This Row],[Nb possédé (digital)]])</f>
        <v>0</v>
      </c>
      <c r="G798">
        <v>3</v>
      </c>
      <c r="H798">
        <f>MAX(-1,3-Tableau1[[#This Row],[Possédé (physique)]])</f>
        <v>0</v>
      </c>
      <c r="I798" t="str">
        <f>IF(Tableau1[[#This Row],[Manque (physique)]]&gt;Tableau1[[#This Row],[Manque (digital)]],"POD",IF(Tableau1[[#This Row],[Manque (digital)]]&gt;Tableau1[[#This Row],[Manque (physique)]],"MarketPlace",""))</f>
        <v/>
      </c>
      <c r="J798" t="s">
        <v>30</v>
      </c>
      <c r="K798" t="s">
        <v>36</v>
      </c>
      <c r="L798" t="s">
        <v>23</v>
      </c>
      <c r="M798" t="s">
        <v>23</v>
      </c>
      <c r="N798" t="s">
        <v>19</v>
      </c>
      <c r="O798" t="s">
        <v>37</v>
      </c>
      <c r="P798" t="s">
        <v>37</v>
      </c>
      <c r="Q798" t="s">
        <v>1077</v>
      </c>
    </row>
    <row r="799" spans="1:17" hidden="1" x14ac:dyDescent="0.25">
      <c r="A799" t="s">
        <v>1091</v>
      </c>
      <c r="B799" t="s">
        <v>22</v>
      </c>
      <c r="C799" t="s">
        <v>35</v>
      </c>
      <c r="D799" t="s">
        <v>16</v>
      </c>
      <c r="E799">
        <v>3</v>
      </c>
      <c r="F799">
        <f>MAX(-1,3-Tableau1[[#This Row],[Nb possédé (digital)]])</f>
        <v>0</v>
      </c>
      <c r="G799">
        <v>3</v>
      </c>
      <c r="H799">
        <f>MAX(-1,3-Tableau1[[#This Row],[Possédé (physique)]])</f>
        <v>0</v>
      </c>
      <c r="I799" t="str">
        <f>IF(Tableau1[[#This Row],[Manque (physique)]]&gt;Tableau1[[#This Row],[Manque (digital)]],"POD",IF(Tableau1[[#This Row],[Manque (digital)]]&gt;Tableau1[[#This Row],[Manque (physique)]],"MarketPlace",""))</f>
        <v/>
      </c>
      <c r="J799" t="s">
        <v>30</v>
      </c>
      <c r="K799" t="s">
        <v>42</v>
      </c>
      <c r="L799" t="s">
        <v>23</v>
      </c>
      <c r="M799" t="s">
        <v>23</v>
      </c>
      <c r="N799" t="s">
        <v>23</v>
      </c>
      <c r="O799" t="s">
        <v>23</v>
      </c>
      <c r="P799" t="s">
        <v>23</v>
      </c>
      <c r="Q799" t="s">
        <v>1094</v>
      </c>
    </row>
    <row r="800" spans="1:17" hidden="1" x14ac:dyDescent="0.25">
      <c r="A800" t="s">
        <v>1114</v>
      </c>
      <c r="B800" t="s">
        <v>22</v>
      </c>
      <c r="C800" t="s">
        <v>35</v>
      </c>
      <c r="D800" t="s">
        <v>16</v>
      </c>
      <c r="E800">
        <v>3</v>
      </c>
      <c r="F800">
        <f>MAX(-1,3-Tableau1[[#This Row],[Nb possédé (digital)]])</f>
        <v>0</v>
      </c>
      <c r="G800">
        <v>3</v>
      </c>
      <c r="H800">
        <f>MAX(-1,3-Tableau1[[#This Row],[Possédé (physique)]])</f>
        <v>0</v>
      </c>
      <c r="I800" t="str">
        <f>IF(Tableau1[[#This Row],[Manque (physique)]]&gt;Tableau1[[#This Row],[Manque (digital)]],"POD",IF(Tableau1[[#This Row],[Manque (digital)]]&gt;Tableau1[[#This Row],[Manque (physique)]],"MarketPlace",""))</f>
        <v/>
      </c>
      <c r="J800" t="s">
        <v>30</v>
      </c>
      <c r="K800" t="s">
        <v>36</v>
      </c>
      <c r="L800" t="s">
        <v>23</v>
      </c>
      <c r="M800" t="s">
        <v>23</v>
      </c>
      <c r="N800" t="s">
        <v>19</v>
      </c>
      <c r="O800" t="s">
        <v>19</v>
      </c>
      <c r="P800" t="s">
        <v>19</v>
      </c>
      <c r="Q800" t="s">
        <v>1116</v>
      </c>
    </row>
    <row r="801" spans="1:17" x14ac:dyDescent="0.25">
      <c r="A801" t="s">
        <v>1019</v>
      </c>
      <c r="B801" t="s">
        <v>22</v>
      </c>
      <c r="C801" t="s">
        <v>35</v>
      </c>
      <c r="D801" t="s">
        <v>16</v>
      </c>
      <c r="E801">
        <v>4</v>
      </c>
      <c r="F801">
        <f>MAX(-1,3-Tableau1[[#This Row],[Nb possédé (digital)]])</f>
        <v>-1</v>
      </c>
      <c r="G801">
        <v>4</v>
      </c>
      <c r="H801">
        <f>MAX(-1,3-Tableau1[[#This Row],[Possédé (physique)]])</f>
        <v>-1</v>
      </c>
      <c r="I801" t="str">
        <f>IF(Tableau1[[#This Row],[Manque (physique)]]&gt;Tableau1[[#This Row],[Manque (digital)]],"POD",IF(Tableau1[[#This Row],[Manque (digital)]]&gt;Tableau1[[#This Row],[Manque (physique)]],"MarketPlace",""))</f>
        <v/>
      </c>
      <c r="J801" t="s">
        <v>30</v>
      </c>
      <c r="K801" t="s">
        <v>51</v>
      </c>
      <c r="L801" t="s">
        <v>23</v>
      </c>
      <c r="M801" t="s">
        <v>52</v>
      </c>
      <c r="N801" t="s">
        <v>19</v>
      </c>
      <c r="O801" t="s">
        <v>52</v>
      </c>
      <c r="P801" t="s">
        <v>19</v>
      </c>
      <c r="Q801" t="s">
        <v>1020</v>
      </c>
    </row>
    <row r="802" spans="1:17" hidden="1" x14ac:dyDescent="0.25">
      <c r="A802" t="s">
        <v>851</v>
      </c>
      <c r="B802" t="s">
        <v>22</v>
      </c>
      <c r="C802" t="s">
        <v>35</v>
      </c>
      <c r="D802" t="s">
        <v>16</v>
      </c>
      <c r="E802">
        <v>3</v>
      </c>
      <c r="F802">
        <f>MAX(-1,3-Tableau1[[#This Row],[Nb possédé (digital)]])</f>
        <v>0</v>
      </c>
      <c r="G802">
        <v>3</v>
      </c>
      <c r="H802">
        <f>MAX(-1,3-Tableau1[[#This Row],[Possédé (physique)]])</f>
        <v>0</v>
      </c>
      <c r="I802" t="str">
        <f>IF(Tableau1[[#This Row],[Manque (physique)]]&gt;Tableau1[[#This Row],[Manque (digital)]],"POD",IF(Tableau1[[#This Row],[Manque (digital)]]&gt;Tableau1[[#This Row],[Manque (physique)]],"MarketPlace",""))</f>
        <v/>
      </c>
      <c r="J802" t="s">
        <v>30</v>
      </c>
      <c r="K802" t="s">
        <v>51</v>
      </c>
      <c r="L802" t="s">
        <v>52</v>
      </c>
      <c r="M802" t="s">
        <v>23</v>
      </c>
      <c r="N802" t="s">
        <v>23</v>
      </c>
      <c r="O802" t="s">
        <v>89</v>
      </c>
      <c r="P802" t="s">
        <v>23</v>
      </c>
      <c r="Q802" t="s">
        <v>853</v>
      </c>
    </row>
    <row r="803" spans="1:17" hidden="1" x14ac:dyDescent="0.25">
      <c r="A803" t="s">
        <v>1152</v>
      </c>
      <c r="B803" t="s">
        <v>22</v>
      </c>
      <c r="C803" t="s">
        <v>35</v>
      </c>
      <c r="D803" t="s">
        <v>16</v>
      </c>
      <c r="E803">
        <v>3</v>
      </c>
      <c r="F803">
        <f>MAX(-1,3-Tableau1[[#This Row],[Nb possédé (digital)]])</f>
        <v>0</v>
      </c>
      <c r="G803">
        <v>3</v>
      </c>
      <c r="H803">
        <f>MAX(-1,3-Tableau1[[#This Row],[Possédé (physique)]])</f>
        <v>0</v>
      </c>
      <c r="I803" t="str">
        <f>IF(Tableau1[[#This Row],[Manque (physique)]]&gt;Tableau1[[#This Row],[Manque (digital)]],"POD",IF(Tableau1[[#This Row],[Manque (digital)]]&gt;Tableau1[[#This Row],[Manque (physique)]],"MarketPlace",""))</f>
        <v/>
      </c>
      <c r="J803" t="s">
        <v>30</v>
      </c>
      <c r="K803" t="s">
        <v>328</v>
      </c>
      <c r="L803" t="s">
        <v>52</v>
      </c>
      <c r="M803" t="s">
        <v>23</v>
      </c>
      <c r="N803" t="s">
        <v>52</v>
      </c>
      <c r="O803" t="s">
        <v>52</v>
      </c>
      <c r="P803" t="s">
        <v>89</v>
      </c>
      <c r="Q803" t="s">
        <v>917</v>
      </c>
    </row>
    <row r="804" spans="1:17" hidden="1" x14ac:dyDescent="0.25">
      <c r="A804" t="s">
        <v>50</v>
      </c>
      <c r="B804" t="s">
        <v>22</v>
      </c>
      <c r="C804" t="s">
        <v>35</v>
      </c>
      <c r="D804" t="s">
        <v>16</v>
      </c>
      <c r="E804">
        <v>3</v>
      </c>
      <c r="F804">
        <f>MAX(-1,3-Tableau1[[#This Row],[Nb possédé (digital)]])</f>
        <v>0</v>
      </c>
      <c r="G804">
        <v>3</v>
      </c>
      <c r="H804">
        <f>MAX(-1,3-Tableau1[[#This Row],[Possédé (physique)]])</f>
        <v>0</v>
      </c>
      <c r="I804" t="str">
        <f>IF(Tableau1[[#This Row],[Manque (physique)]]&gt;Tableau1[[#This Row],[Manque (digital)]],"POD",IF(Tableau1[[#This Row],[Manque (digital)]]&gt;Tableau1[[#This Row],[Manque (physique)]],"MarketPlace",""))</f>
        <v/>
      </c>
      <c r="J804" t="s">
        <v>30</v>
      </c>
      <c r="K804" t="s">
        <v>51</v>
      </c>
      <c r="L804" t="s">
        <v>52</v>
      </c>
      <c r="M804" t="s">
        <v>52</v>
      </c>
      <c r="N804" t="s">
        <v>52</v>
      </c>
      <c r="O804" t="s">
        <v>37</v>
      </c>
      <c r="P804" t="s">
        <v>52</v>
      </c>
      <c r="Q804" t="s">
        <v>53</v>
      </c>
    </row>
    <row r="805" spans="1:17" hidden="1" x14ac:dyDescent="0.25">
      <c r="A805" t="s">
        <v>607</v>
      </c>
      <c r="B805" t="s">
        <v>22</v>
      </c>
      <c r="C805" t="s">
        <v>35</v>
      </c>
      <c r="D805" t="s">
        <v>16</v>
      </c>
      <c r="E805">
        <v>3</v>
      </c>
      <c r="F805">
        <f>MAX(-1,3-Tableau1[[#This Row],[Nb possédé (digital)]])</f>
        <v>0</v>
      </c>
      <c r="G805">
        <v>3</v>
      </c>
      <c r="H805">
        <f>MAX(-1,3-Tableau1[[#This Row],[Possédé (physique)]])</f>
        <v>0</v>
      </c>
      <c r="I805" t="str">
        <f>IF(Tableau1[[#This Row],[Manque (physique)]]&gt;Tableau1[[#This Row],[Manque (digital)]],"POD",IF(Tableau1[[#This Row],[Manque (digital)]]&gt;Tableau1[[#This Row],[Manque (physique)]],"MarketPlace",""))</f>
        <v/>
      </c>
      <c r="J805" t="s">
        <v>30</v>
      </c>
      <c r="K805" t="s">
        <v>608</v>
      </c>
      <c r="L805" t="s">
        <v>52</v>
      </c>
      <c r="M805" t="s">
        <v>52</v>
      </c>
      <c r="N805" t="s">
        <v>52</v>
      </c>
      <c r="O805" t="s">
        <v>52</v>
      </c>
      <c r="P805" t="s">
        <v>37</v>
      </c>
      <c r="Q805" t="s">
        <v>609</v>
      </c>
    </row>
    <row r="806" spans="1:17" hidden="1" x14ac:dyDescent="0.25">
      <c r="A806" t="s">
        <v>686</v>
      </c>
      <c r="B806" t="s">
        <v>22</v>
      </c>
      <c r="C806" t="s">
        <v>35</v>
      </c>
      <c r="D806" t="s">
        <v>16</v>
      </c>
      <c r="E806">
        <v>3</v>
      </c>
      <c r="F806">
        <f>MAX(-1,3-Tableau1[[#This Row],[Nb possédé (digital)]])</f>
        <v>0</v>
      </c>
      <c r="G806">
        <v>3</v>
      </c>
      <c r="H806">
        <f>MAX(-1,3-Tableau1[[#This Row],[Possédé (physique)]])</f>
        <v>0</v>
      </c>
      <c r="I806" t="str">
        <f>IF(Tableau1[[#This Row],[Manque (physique)]]&gt;Tableau1[[#This Row],[Manque (digital)]],"POD",IF(Tableau1[[#This Row],[Manque (digital)]]&gt;Tableau1[[#This Row],[Manque (physique)]],"MarketPlace",""))</f>
        <v/>
      </c>
      <c r="J806" t="s">
        <v>30</v>
      </c>
      <c r="K806" t="s">
        <v>107</v>
      </c>
      <c r="L806" t="s">
        <v>52</v>
      </c>
      <c r="M806" t="s">
        <v>52</v>
      </c>
      <c r="N806" t="s">
        <v>52</v>
      </c>
      <c r="O806" t="s">
        <v>52</v>
      </c>
      <c r="P806" t="s">
        <v>52</v>
      </c>
      <c r="Q806" t="s">
        <v>687</v>
      </c>
    </row>
    <row r="807" spans="1:17" hidden="1" x14ac:dyDescent="0.25">
      <c r="A807" t="s">
        <v>685</v>
      </c>
      <c r="B807" t="s">
        <v>22</v>
      </c>
      <c r="C807" t="s">
        <v>35</v>
      </c>
      <c r="D807" t="s">
        <v>16</v>
      </c>
      <c r="E807">
        <v>3</v>
      </c>
      <c r="F807">
        <f>MAX(-1,3-Tableau1[[#This Row],[Nb possédé (digital)]])</f>
        <v>0</v>
      </c>
      <c r="G807">
        <v>3</v>
      </c>
      <c r="H807">
        <f>MAX(-1,3-Tableau1[[#This Row],[Possédé (physique)]])</f>
        <v>0</v>
      </c>
      <c r="I807" t="str">
        <f>IF(Tableau1[[#This Row],[Manque (physique)]]&gt;Tableau1[[#This Row],[Manque (digital)]],"POD",IF(Tableau1[[#This Row],[Manque (digital)]]&gt;Tableau1[[#This Row],[Manque (physique)]],"MarketPlace",""))</f>
        <v/>
      </c>
      <c r="J807" t="s">
        <v>30</v>
      </c>
      <c r="K807" t="s">
        <v>68</v>
      </c>
      <c r="L807" t="s">
        <v>52</v>
      </c>
      <c r="M807" t="s">
        <v>37</v>
      </c>
      <c r="N807" t="s">
        <v>37</v>
      </c>
      <c r="O807" t="s">
        <v>37</v>
      </c>
      <c r="P807" t="s">
        <v>89</v>
      </c>
      <c r="Q807" t="s">
        <v>359</v>
      </c>
    </row>
    <row r="808" spans="1:17" hidden="1" x14ac:dyDescent="0.25">
      <c r="A808" t="s">
        <v>338</v>
      </c>
      <c r="B808" t="s">
        <v>22</v>
      </c>
      <c r="C808" t="s">
        <v>35</v>
      </c>
      <c r="D808" t="s">
        <v>16</v>
      </c>
      <c r="E808">
        <v>3</v>
      </c>
      <c r="F808">
        <f>MAX(-1,3-Tableau1[[#This Row],[Nb possédé (digital)]])</f>
        <v>0</v>
      </c>
      <c r="G808">
        <v>3</v>
      </c>
      <c r="H808">
        <f>MAX(-1,3-Tableau1[[#This Row],[Possédé (physique)]])</f>
        <v>0</v>
      </c>
      <c r="I808" t="str">
        <f>IF(Tableau1[[#This Row],[Manque (physique)]]&gt;Tableau1[[#This Row],[Manque (digital)]],"POD",IF(Tableau1[[#This Row],[Manque (digital)]]&gt;Tableau1[[#This Row],[Manque (physique)]],"MarketPlace",""))</f>
        <v/>
      </c>
      <c r="J808" t="s">
        <v>30</v>
      </c>
      <c r="K808" t="s">
        <v>68</v>
      </c>
      <c r="L808" t="s">
        <v>37</v>
      </c>
      <c r="M808" t="s">
        <v>23</v>
      </c>
      <c r="N808" t="s">
        <v>23</v>
      </c>
      <c r="O808" t="s">
        <v>19</v>
      </c>
      <c r="P808" t="s">
        <v>19</v>
      </c>
      <c r="Q808" t="s">
        <v>339</v>
      </c>
    </row>
    <row r="809" spans="1:17" hidden="1" x14ac:dyDescent="0.25">
      <c r="A809" t="s">
        <v>34</v>
      </c>
      <c r="B809" t="s">
        <v>22</v>
      </c>
      <c r="C809" t="s">
        <v>35</v>
      </c>
      <c r="D809" t="s">
        <v>16</v>
      </c>
      <c r="E809">
        <v>3</v>
      </c>
      <c r="F809">
        <f>MAX(-1,3-Tableau1[[#This Row],[Nb possédé (digital)]])</f>
        <v>0</v>
      </c>
      <c r="G809">
        <v>3</v>
      </c>
      <c r="H809">
        <f>MAX(-1,3-Tableau1[[#This Row],[Possédé (physique)]])</f>
        <v>0</v>
      </c>
      <c r="I809" t="str">
        <f>IF(Tableau1[[#This Row],[Manque (physique)]]&gt;Tableau1[[#This Row],[Manque (digital)]],"POD",IF(Tableau1[[#This Row],[Manque (digital)]]&gt;Tableau1[[#This Row],[Manque (physique)]],"MarketPlace",""))</f>
        <v/>
      </c>
      <c r="J809" t="s">
        <v>30</v>
      </c>
      <c r="K809" t="s">
        <v>36</v>
      </c>
      <c r="L809" t="s">
        <v>37</v>
      </c>
      <c r="M809" t="s">
        <v>37</v>
      </c>
      <c r="N809" t="s">
        <v>37</v>
      </c>
      <c r="O809" t="s">
        <v>39</v>
      </c>
      <c r="P809" t="s">
        <v>39</v>
      </c>
      <c r="Q809" t="s">
        <v>40</v>
      </c>
    </row>
    <row r="810" spans="1:17" hidden="1" x14ac:dyDescent="0.25">
      <c r="A810" t="s">
        <v>140</v>
      </c>
      <c r="B810" t="s">
        <v>22</v>
      </c>
      <c r="C810" t="s">
        <v>35</v>
      </c>
      <c r="D810" t="s">
        <v>16</v>
      </c>
      <c r="E810">
        <v>3</v>
      </c>
      <c r="F810">
        <f>MAX(-1,3-Tableau1[[#This Row],[Nb possédé (digital)]])</f>
        <v>0</v>
      </c>
      <c r="G810">
        <v>3</v>
      </c>
      <c r="H810">
        <f>MAX(-1,3-Tableau1[[#This Row],[Possédé (physique)]])</f>
        <v>0</v>
      </c>
      <c r="I810" t="str">
        <f>IF(Tableau1[[#This Row],[Manque (physique)]]&gt;Tableau1[[#This Row],[Manque (digital)]],"POD",IF(Tableau1[[#This Row],[Manque (digital)]]&gt;Tableau1[[#This Row],[Manque (physique)]],"MarketPlace",""))</f>
        <v/>
      </c>
      <c r="J810" t="s">
        <v>30</v>
      </c>
      <c r="K810" t="s">
        <v>141</v>
      </c>
      <c r="L810" t="s">
        <v>37</v>
      </c>
      <c r="M810" t="s">
        <v>37</v>
      </c>
      <c r="N810" t="s">
        <v>23</v>
      </c>
      <c r="O810" t="s">
        <v>23</v>
      </c>
      <c r="P810" t="s">
        <v>23</v>
      </c>
      <c r="Q810" t="s">
        <v>143</v>
      </c>
    </row>
    <row r="811" spans="1:17" hidden="1" x14ac:dyDescent="0.25">
      <c r="A811" t="s">
        <v>229</v>
      </c>
      <c r="B811" t="s">
        <v>22</v>
      </c>
      <c r="C811" t="s">
        <v>35</v>
      </c>
      <c r="D811" t="s">
        <v>16</v>
      </c>
      <c r="E811">
        <v>3</v>
      </c>
      <c r="F811">
        <f>MAX(-1,3-Tableau1[[#This Row],[Nb possédé (digital)]])</f>
        <v>0</v>
      </c>
      <c r="G811">
        <v>3</v>
      </c>
      <c r="H811">
        <f>MAX(-1,3-Tableau1[[#This Row],[Possédé (physique)]])</f>
        <v>0</v>
      </c>
      <c r="I811" t="str">
        <f>IF(Tableau1[[#This Row],[Manque (physique)]]&gt;Tableau1[[#This Row],[Manque (digital)]],"POD",IF(Tableau1[[#This Row],[Manque (digital)]]&gt;Tableau1[[#This Row],[Manque (physique)]],"MarketPlace",""))</f>
        <v/>
      </c>
      <c r="J811" t="s">
        <v>17</v>
      </c>
      <c r="K811" t="s">
        <v>97</v>
      </c>
      <c r="L811" t="s">
        <v>37</v>
      </c>
      <c r="M811" t="s">
        <v>37</v>
      </c>
      <c r="Q811" t="s">
        <v>231</v>
      </c>
    </row>
    <row r="812" spans="1:17" hidden="1" x14ac:dyDescent="0.25">
      <c r="A812" t="s">
        <v>128</v>
      </c>
      <c r="B812" t="s">
        <v>22</v>
      </c>
      <c r="C812" t="s">
        <v>35</v>
      </c>
      <c r="D812" t="s">
        <v>16</v>
      </c>
      <c r="E812">
        <v>3</v>
      </c>
      <c r="F812">
        <f>MAX(-1,3-Tableau1[[#This Row],[Nb possédé (digital)]])</f>
        <v>0</v>
      </c>
      <c r="G812">
        <v>3</v>
      </c>
      <c r="H812">
        <f>MAX(-1,3-Tableau1[[#This Row],[Possédé (physique)]])</f>
        <v>0</v>
      </c>
      <c r="I812" t="str">
        <f>IF(Tableau1[[#This Row],[Manque (physique)]]&gt;Tableau1[[#This Row],[Manque (digital)]],"POD",IF(Tableau1[[#This Row],[Manque (digital)]]&gt;Tableau1[[#This Row],[Manque (physique)]],"MarketPlace",""))</f>
        <v/>
      </c>
      <c r="J812" t="s">
        <v>30</v>
      </c>
      <c r="K812" t="s">
        <v>51</v>
      </c>
      <c r="L812" t="s">
        <v>39</v>
      </c>
      <c r="M812" t="s">
        <v>39</v>
      </c>
      <c r="N812" t="s">
        <v>37</v>
      </c>
      <c r="O812" t="s">
        <v>37</v>
      </c>
      <c r="P812" t="s">
        <v>37</v>
      </c>
      <c r="Q812" t="s">
        <v>130</v>
      </c>
    </row>
    <row r="813" spans="1:17" hidden="1" x14ac:dyDescent="0.25">
      <c r="A813" t="s">
        <v>460</v>
      </c>
      <c r="B813" t="s">
        <v>22</v>
      </c>
      <c r="C813" t="s">
        <v>35</v>
      </c>
      <c r="D813" t="s">
        <v>16</v>
      </c>
      <c r="E813">
        <v>3</v>
      </c>
      <c r="F813">
        <f>MAX(-1,3-Tableau1[[#This Row],[Nb possédé (digital)]])</f>
        <v>0</v>
      </c>
      <c r="G813">
        <v>3</v>
      </c>
      <c r="H813">
        <f>MAX(-1,3-Tableau1[[#This Row],[Possédé (physique)]])</f>
        <v>0</v>
      </c>
      <c r="I813" t="str">
        <f>IF(Tableau1[[#This Row],[Manque (physique)]]&gt;Tableau1[[#This Row],[Manque (digital)]],"POD",IF(Tableau1[[#This Row],[Manque (digital)]]&gt;Tableau1[[#This Row],[Manque (physique)]],"MarketPlace",""))</f>
        <v/>
      </c>
      <c r="J813" t="s">
        <v>30</v>
      </c>
      <c r="K813" t="s">
        <v>72</v>
      </c>
      <c r="L813" t="s">
        <v>39</v>
      </c>
      <c r="M813" t="s">
        <v>39</v>
      </c>
      <c r="N813" t="s">
        <v>39</v>
      </c>
      <c r="O813" t="s">
        <v>23</v>
      </c>
      <c r="P813" t="s">
        <v>23</v>
      </c>
      <c r="Q813" t="s">
        <v>142</v>
      </c>
    </row>
    <row r="814" spans="1:17" x14ac:dyDescent="0.25">
      <c r="A814" t="s">
        <v>996</v>
      </c>
      <c r="B814" t="s">
        <v>22</v>
      </c>
      <c r="C814" t="s">
        <v>35</v>
      </c>
      <c r="D814" t="s">
        <v>16</v>
      </c>
      <c r="E814">
        <v>5</v>
      </c>
      <c r="F814">
        <f>MAX(-1,3-Tableau1[[#This Row],[Nb possédé (digital)]])</f>
        <v>-1</v>
      </c>
      <c r="G814">
        <v>5</v>
      </c>
      <c r="H814">
        <f>MAX(-1,3-Tableau1[[#This Row],[Possédé (physique)]])</f>
        <v>-1</v>
      </c>
      <c r="I814" t="str">
        <f>IF(Tableau1[[#This Row],[Manque (physique)]]&gt;Tableau1[[#This Row],[Manque (digital)]],"POD",IF(Tableau1[[#This Row],[Manque (digital)]]&gt;Tableau1[[#This Row],[Manque (physique)]],"MarketPlace",""))</f>
        <v/>
      </c>
      <c r="J814" t="s">
        <v>30</v>
      </c>
      <c r="K814" t="s">
        <v>997</v>
      </c>
      <c r="L814" t="s">
        <v>39</v>
      </c>
      <c r="M814" t="s">
        <v>39</v>
      </c>
      <c r="N814" t="s">
        <v>98</v>
      </c>
      <c r="O814" t="s">
        <v>98</v>
      </c>
      <c r="P814" t="s">
        <v>98</v>
      </c>
      <c r="Q814" t="s">
        <v>38</v>
      </c>
    </row>
    <row r="815" spans="1:17" hidden="1" x14ac:dyDescent="0.25">
      <c r="A815" t="s">
        <v>972</v>
      </c>
      <c r="B815" t="s">
        <v>22</v>
      </c>
      <c r="C815" t="s">
        <v>35</v>
      </c>
      <c r="D815" t="s">
        <v>16</v>
      </c>
      <c r="E815">
        <v>3</v>
      </c>
      <c r="F815">
        <f>MAX(-1,3-Tableau1[[#This Row],[Nb possédé (digital)]])</f>
        <v>0</v>
      </c>
      <c r="G815">
        <v>3</v>
      </c>
      <c r="H815">
        <f>MAX(-1,3-Tableau1[[#This Row],[Possédé (physique)]])</f>
        <v>0</v>
      </c>
      <c r="I815" t="str">
        <f>IF(Tableau1[[#This Row],[Manque (physique)]]&gt;Tableau1[[#This Row],[Manque (digital)]],"POD",IF(Tableau1[[#This Row],[Manque (digital)]]&gt;Tableau1[[#This Row],[Manque (physique)]],"MarketPlace",""))</f>
        <v/>
      </c>
      <c r="J815" t="s">
        <v>30</v>
      </c>
      <c r="K815" t="s">
        <v>51</v>
      </c>
      <c r="L815" t="s">
        <v>380</v>
      </c>
      <c r="M815" t="s">
        <v>52</v>
      </c>
      <c r="N815" t="s">
        <v>52</v>
      </c>
      <c r="O815" t="s">
        <v>52</v>
      </c>
      <c r="P815" t="s">
        <v>52</v>
      </c>
      <c r="Q815" t="s">
        <v>973</v>
      </c>
    </row>
    <row r="816" spans="1:17" hidden="1" x14ac:dyDescent="0.25">
      <c r="A816" t="s">
        <v>96</v>
      </c>
      <c r="B816" t="s">
        <v>22</v>
      </c>
      <c r="C816" t="s">
        <v>35</v>
      </c>
      <c r="D816" t="s">
        <v>16</v>
      </c>
      <c r="E816">
        <v>3</v>
      </c>
      <c r="F816">
        <f>MAX(-1,3-Tableau1[[#This Row],[Nb possédé (digital)]])</f>
        <v>0</v>
      </c>
      <c r="G816">
        <v>3</v>
      </c>
      <c r="H816">
        <f>MAX(-1,3-Tableau1[[#This Row],[Possédé (physique)]])</f>
        <v>0</v>
      </c>
      <c r="I816" t="str">
        <f>IF(Tableau1[[#This Row],[Manque (physique)]]&gt;Tableau1[[#This Row],[Manque (digital)]],"POD",IF(Tableau1[[#This Row],[Manque (digital)]]&gt;Tableau1[[#This Row],[Manque (physique)]],"MarketPlace",""))</f>
        <v/>
      </c>
      <c r="J816" t="s">
        <v>17</v>
      </c>
      <c r="K816" t="s">
        <v>97</v>
      </c>
      <c r="L816" t="s">
        <v>98</v>
      </c>
      <c r="M816" t="s">
        <v>98</v>
      </c>
      <c r="Q816" t="s">
        <v>100</v>
      </c>
    </row>
    <row r="817" spans="1:17" hidden="1" x14ac:dyDescent="0.25">
      <c r="A817" t="s">
        <v>600</v>
      </c>
      <c r="B817" t="s">
        <v>22</v>
      </c>
      <c r="C817" t="s">
        <v>35</v>
      </c>
      <c r="D817" t="s">
        <v>16</v>
      </c>
      <c r="E817">
        <v>3</v>
      </c>
      <c r="F817">
        <f>MAX(-1,3-Tableau1[[#This Row],[Nb possédé (digital)]])</f>
        <v>0</v>
      </c>
      <c r="G817">
        <v>3</v>
      </c>
      <c r="H817">
        <f>MAX(-1,3-Tableau1[[#This Row],[Possédé (physique)]])</f>
        <v>0</v>
      </c>
      <c r="I817" t="str">
        <f>IF(Tableau1[[#This Row],[Manque (physique)]]&gt;Tableau1[[#This Row],[Manque (digital)]],"POD",IF(Tableau1[[#This Row],[Manque (digital)]]&gt;Tableau1[[#This Row],[Manque (physique)]],"MarketPlace",""))</f>
        <v/>
      </c>
      <c r="J817" t="s">
        <v>30</v>
      </c>
      <c r="K817" t="s">
        <v>601</v>
      </c>
      <c r="L817" t="s">
        <v>98</v>
      </c>
      <c r="M817" t="s">
        <v>98</v>
      </c>
      <c r="N817" t="s">
        <v>101</v>
      </c>
      <c r="O817" t="s">
        <v>101</v>
      </c>
      <c r="P817" t="s">
        <v>101</v>
      </c>
      <c r="Q817" t="s">
        <v>602</v>
      </c>
    </row>
    <row r="818" spans="1:17" hidden="1" x14ac:dyDescent="0.25">
      <c r="A818" t="s">
        <v>676</v>
      </c>
      <c r="B818" t="s">
        <v>22</v>
      </c>
      <c r="C818" t="s">
        <v>35</v>
      </c>
      <c r="D818" t="s">
        <v>58</v>
      </c>
      <c r="E818">
        <v>3</v>
      </c>
      <c r="F818">
        <f>MAX(-1,3-Tableau1[[#This Row],[Nb possédé (digital)]])</f>
        <v>0</v>
      </c>
      <c r="G818">
        <v>3</v>
      </c>
      <c r="H818">
        <f>MAX(-1,3-Tableau1[[#This Row],[Possédé (physique)]])</f>
        <v>0</v>
      </c>
      <c r="I818" t="str">
        <f>IF(Tableau1[[#This Row],[Manque (physique)]]&gt;Tableau1[[#This Row],[Manque (digital)]],"POD",IF(Tableau1[[#This Row],[Manque (digital)]]&gt;Tableau1[[#This Row],[Manque (physique)]],"MarketPlace",""))</f>
        <v/>
      </c>
      <c r="J818" t="s">
        <v>30</v>
      </c>
      <c r="K818" t="s">
        <v>59</v>
      </c>
      <c r="L818" t="s">
        <v>20</v>
      </c>
      <c r="M818" t="s">
        <v>20</v>
      </c>
      <c r="N818" t="s">
        <v>20</v>
      </c>
      <c r="O818" t="s">
        <v>20</v>
      </c>
      <c r="P818" t="s">
        <v>20</v>
      </c>
      <c r="Q818" t="s">
        <v>678</v>
      </c>
    </row>
    <row r="819" spans="1:17" hidden="1" x14ac:dyDescent="0.25">
      <c r="A819" t="s">
        <v>993</v>
      </c>
      <c r="B819" t="s">
        <v>22</v>
      </c>
      <c r="C819" t="s">
        <v>35</v>
      </c>
      <c r="D819" t="s">
        <v>58</v>
      </c>
      <c r="E819">
        <v>3</v>
      </c>
      <c r="F819">
        <f>MAX(-1,3-Tableau1[[#This Row],[Nb possédé (digital)]])</f>
        <v>0</v>
      </c>
      <c r="G819">
        <v>3</v>
      </c>
      <c r="H819">
        <f>MAX(-1,3-Tableau1[[#This Row],[Possédé (physique)]])</f>
        <v>0</v>
      </c>
      <c r="I819" t="str">
        <f>IF(Tableau1[[#This Row],[Manque (physique)]]&gt;Tableau1[[#This Row],[Manque (digital)]],"POD",IF(Tableau1[[#This Row],[Manque (digital)]]&gt;Tableau1[[#This Row],[Manque (physique)]],"MarketPlace",""))</f>
        <v/>
      </c>
      <c r="J819" t="s">
        <v>17</v>
      </c>
      <c r="K819" t="s">
        <v>18</v>
      </c>
      <c r="L819" t="s">
        <v>20</v>
      </c>
      <c r="M819" t="s">
        <v>20</v>
      </c>
      <c r="Q819" t="s">
        <v>995</v>
      </c>
    </row>
    <row r="820" spans="1:17" hidden="1" x14ac:dyDescent="0.25">
      <c r="A820" t="s">
        <v>204</v>
      </c>
      <c r="B820" t="s">
        <v>22</v>
      </c>
      <c r="C820" t="s">
        <v>35</v>
      </c>
      <c r="D820" t="s">
        <v>58</v>
      </c>
      <c r="E820">
        <v>3</v>
      </c>
      <c r="F820">
        <f>MAX(-1,3-Tableau1[[#This Row],[Nb possédé (digital)]])</f>
        <v>0</v>
      </c>
      <c r="G820">
        <v>3</v>
      </c>
      <c r="H820">
        <f>MAX(-1,3-Tableau1[[#This Row],[Possédé (physique)]])</f>
        <v>0</v>
      </c>
      <c r="I820" t="str">
        <f>IF(Tableau1[[#This Row],[Manque (physique)]]&gt;Tableau1[[#This Row],[Manque (digital)]],"POD",IF(Tableau1[[#This Row],[Manque (digital)]]&gt;Tableau1[[#This Row],[Manque (physique)]],"MarketPlace",""))</f>
        <v/>
      </c>
      <c r="J820" t="s">
        <v>116</v>
      </c>
      <c r="K820" t="s">
        <v>117</v>
      </c>
      <c r="L820" t="s">
        <v>20</v>
      </c>
      <c r="M820" t="s">
        <v>19</v>
      </c>
      <c r="Q820" t="s">
        <v>206</v>
      </c>
    </row>
    <row r="821" spans="1:17" hidden="1" x14ac:dyDescent="0.25">
      <c r="A821" t="s">
        <v>1059</v>
      </c>
      <c r="B821" t="s">
        <v>22</v>
      </c>
      <c r="C821" t="s">
        <v>35</v>
      </c>
      <c r="D821" t="s">
        <v>58</v>
      </c>
      <c r="E821">
        <v>3</v>
      </c>
      <c r="F821">
        <f>MAX(-1,3-Tableau1[[#This Row],[Nb possédé (digital)]])</f>
        <v>0</v>
      </c>
      <c r="G821">
        <v>3</v>
      </c>
      <c r="H821">
        <f>MAX(-1,3-Tableau1[[#This Row],[Possédé (physique)]])</f>
        <v>0</v>
      </c>
      <c r="I821" t="str">
        <f>IF(Tableau1[[#This Row],[Manque (physique)]]&gt;Tableau1[[#This Row],[Manque (digital)]],"POD",IF(Tableau1[[#This Row],[Manque (digital)]]&gt;Tableau1[[#This Row],[Manque (physique)]],"MarketPlace",""))</f>
        <v/>
      </c>
      <c r="J821" t="s">
        <v>116</v>
      </c>
      <c r="K821" t="s">
        <v>117</v>
      </c>
      <c r="L821" t="s">
        <v>19</v>
      </c>
      <c r="M821" t="s">
        <v>20</v>
      </c>
      <c r="Q821" t="s">
        <v>1061</v>
      </c>
    </row>
    <row r="822" spans="1:17" hidden="1" x14ac:dyDescent="0.25">
      <c r="A822" t="s">
        <v>165</v>
      </c>
      <c r="B822" t="s">
        <v>22</v>
      </c>
      <c r="C822" t="s">
        <v>35</v>
      </c>
      <c r="D822" t="s">
        <v>58</v>
      </c>
      <c r="E822">
        <v>3</v>
      </c>
      <c r="F822">
        <f>MAX(-1,3-Tableau1[[#This Row],[Nb possédé (digital)]])</f>
        <v>0</v>
      </c>
      <c r="G822">
        <v>3</v>
      </c>
      <c r="H822">
        <f>MAX(-1,3-Tableau1[[#This Row],[Possédé (physique)]])</f>
        <v>0</v>
      </c>
      <c r="I822" t="str">
        <f>IF(Tableau1[[#This Row],[Manque (physique)]]&gt;Tableau1[[#This Row],[Manque (digital)]],"POD",IF(Tableau1[[#This Row],[Manque (digital)]]&gt;Tableau1[[#This Row],[Manque (physique)]],"MarketPlace",""))</f>
        <v/>
      </c>
      <c r="J822" t="s">
        <v>116</v>
      </c>
      <c r="K822" t="s">
        <v>117</v>
      </c>
      <c r="L822" t="s">
        <v>19</v>
      </c>
      <c r="M822" t="s">
        <v>19</v>
      </c>
      <c r="Q822" t="s">
        <v>167</v>
      </c>
    </row>
    <row r="823" spans="1:17" x14ac:dyDescent="0.25">
      <c r="A823" t="s">
        <v>232</v>
      </c>
      <c r="B823" t="s">
        <v>22</v>
      </c>
      <c r="C823" t="s">
        <v>35</v>
      </c>
      <c r="D823" t="s">
        <v>58</v>
      </c>
      <c r="E823">
        <v>5</v>
      </c>
      <c r="F823">
        <f>MAX(-1,3-Tableau1[[#This Row],[Nb possédé (digital)]])</f>
        <v>-1</v>
      </c>
      <c r="G823">
        <v>4</v>
      </c>
      <c r="H823">
        <f>MAX(-1,3-Tableau1[[#This Row],[Possédé (physique)]])</f>
        <v>-1</v>
      </c>
      <c r="I823" t="str">
        <f>IF(Tableau1[[#This Row],[Manque (physique)]]&gt;Tableau1[[#This Row],[Manque (digital)]],"POD",IF(Tableau1[[#This Row],[Manque (digital)]]&gt;Tableau1[[#This Row],[Manque (physique)]],"MarketPlace",""))</f>
        <v/>
      </c>
      <c r="J823" t="s">
        <v>17</v>
      </c>
      <c r="K823" t="s">
        <v>153</v>
      </c>
      <c r="L823" t="s">
        <v>19</v>
      </c>
      <c r="M823" t="s">
        <v>19</v>
      </c>
      <c r="Q823" t="s">
        <v>233</v>
      </c>
    </row>
    <row r="824" spans="1:17" hidden="1" x14ac:dyDescent="0.25">
      <c r="A824" t="s">
        <v>666</v>
      </c>
      <c r="B824" t="s">
        <v>22</v>
      </c>
      <c r="C824" t="s">
        <v>35</v>
      </c>
      <c r="D824" t="s">
        <v>58</v>
      </c>
      <c r="E824">
        <v>3</v>
      </c>
      <c r="F824">
        <f>MAX(-1,3-Tableau1[[#This Row],[Nb possédé (digital)]])</f>
        <v>0</v>
      </c>
      <c r="G824">
        <v>3</v>
      </c>
      <c r="H824">
        <f>MAX(-1,3-Tableau1[[#This Row],[Possédé (physique)]])</f>
        <v>0</v>
      </c>
      <c r="I824" t="str">
        <f>IF(Tableau1[[#This Row],[Manque (physique)]]&gt;Tableau1[[#This Row],[Manque (digital)]],"POD",IF(Tableau1[[#This Row],[Manque (digital)]]&gt;Tableau1[[#This Row],[Manque (physique)]],"MarketPlace",""))</f>
        <v/>
      </c>
      <c r="J824" t="s">
        <v>116</v>
      </c>
      <c r="K824" t="s">
        <v>117</v>
      </c>
      <c r="L824" t="s">
        <v>19</v>
      </c>
      <c r="M824" t="s">
        <v>19</v>
      </c>
      <c r="Q824" t="s">
        <v>669</v>
      </c>
    </row>
    <row r="825" spans="1:17" hidden="1" x14ac:dyDescent="0.25">
      <c r="A825" t="s">
        <v>682</v>
      </c>
      <c r="B825" t="s">
        <v>22</v>
      </c>
      <c r="C825" t="s">
        <v>35</v>
      </c>
      <c r="D825" t="s">
        <v>58</v>
      </c>
      <c r="E825">
        <v>3</v>
      </c>
      <c r="F825">
        <f>MAX(-1,3-Tableau1[[#This Row],[Nb possédé (digital)]])</f>
        <v>0</v>
      </c>
      <c r="G825">
        <v>3</v>
      </c>
      <c r="H825">
        <f>MAX(-1,3-Tableau1[[#This Row],[Possédé (physique)]])</f>
        <v>0</v>
      </c>
      <c r="I825" t="str">
        <f>IF(Tableau1[[#This Row],[Manque (physique)]]&gt;Tableau1[[#This Row],[Manque (digital)]],"POD",IF(Tableau1[[#This Row],[Manque (digital)]]&gt;Tableau1[[#This Row],[Manque (physique)]],"MarketPlace",""))</f>
        <v/>
      </c>
      <c r="J825" t="s">
        <v>30</v>
      </c>
      <c r="K825" t="s">
        <v>328</v>
      </c>
      <c r="L825" t="s">
        <v>19</v>
      </c>
      <c r="M825" t="s">
        <v>19</v>
      </c>
      <c r="N825" t="s">
        <v>19</v>
      </c>
      <c r="O825" t="s">
        <v>23</v>
      </c>
      <c r="P825" t="s">
        <v>23</v>
      </c>
      <c r="Q825" t="s">
        <v>684</v>
      </c>
    </row>
    <row r="826" spans="1:17" hidden="1" x14ac:dyDescent="0.25">
      <c r="A826" t="s">
        <v>878</v>
      </c>
      <c r="B826" t="s">
        <v>22</v>
      </c>
      <c r="C826" t="s">
        <v>35</v>
      </c>
      <c r="D826" t="s">
        <v>58</v>
      </c>
      <c r="E826">
        <v>3</v>
      </c>
      <c r="F826">
        <f>MAX(-1,3-Tableau1[[#This Row],[Nb possédé (digital)]])</f>
        <v>0</v>
      </c>
      <c r="G826">
        <v>3</v>
      </c>
      <c r="H826">
        <f>MAX(-1,3-Tableau1[[#This Row],[Possédé (physique)]])</f>
        <v>0</v>
      </c>
      <c r="I826" t="str">
        <f>IF(Tableau1[[#This Row],[Manque (physique)]]&gt;Tableau1[[#This Row],[Manque (digital)]],"POD",IF(Tableau1[[#This Row],[Manque (digital)]]&gt;Tableau1[[#This Row],[Manque (physique)]],"MarketPlace",""))</f>
        <v/>
      </c>
      <c r="J826" t="s">
        <v>268</v>
      </c>
      <c r="K826" t="s">
        <v>269</v>
      </c>
      <c r="L826" t="s">
        <v>19</v>
      </c>
      <c r="M826" t="s">
        <v>19</v>
      </c>
      <c r="Q826" t="s">
        <v>879</v>
      </c>
    </row>
    <row r="827" spans="1:17" hidden="1" x14ac:dyDescent="0.25">
      <c r="A827" t="s">
        <v>990</v>
      </c>
      <c r="B827" t="s">
        <v>22</v>
      </c>
      <c r="C827" t="s">
        <v>35</v>
      </c>
      <c r="D827" t="s">
        <v>58</v>
      </c>
      <c r="E827">
        <v>3</v>
      </c>
      <c r="F827">
        <f>MAX(-1,3-Tableau1[[#This Row],[Nb possédé (digital)]])</f>
        <v>0</v>
      </c>
      <c r="G827">
        <v>3</v>
      </c>
      <c r="H827">
        <f>MAX(-1,3-Tableau1[[#This Row],[Possédé (physique)]])</f>
        <v>0</v>
      </c>
      <c r="I827" t="str">
        <f>IF(Tableau1[[#This Row],[Manque (physique)]]&gt;Tableau1[[#This Row],[Manque (digital)]],"POD",IF(Tableau1[[#This Row],[Manque (digital)]]&gt;Tableau1[[#This Row],[Manque (physique)]],"MarketPlace",""))</f>
        <v/>
      </c>
      <c r="J827" t="s">
        <v>30</v>
      </c>
      <c r="K827" t="s">
        <v>83</v>
      </c>
      <c r="L827" t="s">
        <v>19</v>
      </c>
      <c r="M827" t="s">
        <v>19</v>
      </c>
      <c r="N827" t="s">
        <v>23</v>
      </c>
      <c r="O827" t="s">
        <v>89</v>
      </c>
      <c r="P827" t="s">
        <v>89</v>
      </c>
      <c r="Q827" t="s">
        <v>992</v>
      </c>
    </row>
    <row r="828" spans="1:17" hidden="1" x14ac:dyDescent="0.25">
      <c r="A828" t="s">
        <v>1150</v>
      </c>
      <c r="B828" t="s">
        <v>22</v>
      </c>
      <c r="C828" t="s">
        <v>35</v>
      </c>
      <c r="D828" t="s">
        <v>58</v>
      </c>
      <c r="E828">
        <v>3</v>
      </c>
      <c r="F828">
        <f>MAX(-1,3-Tableau1[[#This Row],[Nb possédé (digital)]])</f>
        <v>0</v>
      </c>
      <c r="G828">
        <v>3</v>
      </c>
      <c r="H828">
        <f>MAX(-1,3-Tableau1[[#This Row],[Possédé (physique)]])</f>
        <v>0</v>
      </c>
      <c r="I828" t="str">
        <f>IF(Tableau1[[#This Row],[Manque (physique)]]&gt;Tableau1[[#This Row],[Manque (digital)]],"POD",IF(Tableau1[[#This Row],[Manque (digital)]]&gt;Tableau1[[#This Row],[Manque (physique)]],"MarketPlace",""))</f>
        <v/>
      </c>
      <c r="J828" t="s">
        <v>30</v>
      </c>
      <c r="K828" t="s">
        <v>83</v>
      </c>
      <c r="L828" t="s">
        <v>19</v>
      </c>
      <c r="M828" t="s">
        <v>23</v>
      </c>
      <c r="N828" t="s">
        <v>19</v>
      </c>
      <c r="O828" t="s">
        <v>19</v>
      </c>
      <c r="P828" t="s">
        <v>19</v>
      </c>
      <c r="Q828" t="s">
        <v>368</v>
      </c>
    </row>
    <row r="829" spans="1:17" hidden="1" x14ac:dyDescent="0.25">
      <c r="A829" t="s">
        <v>647</v>
      </c>
      <c r="B829" t="s">
        <v>22</v>
      </c>
      <c r="C829" t="s">
        <v>35</v>
      </c>
      <c r="D829" t="s">
        <v>58</v>
      </c>
      <c r="E829">
        <v>3</v>
      </c>
      <c r="F829">
        <f>MAX(-1,3-Tableau1[[#This Row],[Nb possédé (digital)]])</f>
        <v>0</v>
      </c>
      <c r="G829">
        <v>3</v>
      </c>
      <c r="H829">
        <f>MAX(-1,3-Tableau1[[#This Row],[Possédé (physique)]])</f>
        <v>0</v>
      </c>
      <c r="I829" t="str">
        <f>IF(Tableau1[[#This Row],[Manque (physique)]]&gt;Tableau1[[#This Row],[Manque (digital)]],"POD",IF(Tableau1[[#This Row],[Manque (digital)]]&gt;Tableau1[[#This Row],[Manque (physique)]],"MarketPlace",""))</f>
        <v/>
      </c>
      <c r="J829" t="s">
        <v>30</v>
      </c>
      <c r="K829" t="s">
        <v>68</v>
      </c>
      <c r="L829" t="s">
        <v>19</v>
      </c>
      <c r="M829" t="s">
        <v>23</v>
      </c>
      <c r="N829" t="s">
        <v>23</v>
      </c>
      <c r="O829" t="s">
        <v>19</v>
      </c>
      <c r="P829" t="s">
        <v>89</v>
      </c>
      <c r="Q829" t="s">
        <v>648</v>
      </c>
    </row>
    <row r="830" spans="1:17" hidden="1" x14ac:dyDescent="0.25">
      <c r="A830" t="s">
        <v>1006</v>
      </c>
      <c r="B830" t="s">
        <v>22</v>
      </c>
      <c r="C830" t="s">
        <v>35</v>
      </c>
      <c r="D830" t="s">
        <v>58</v>
      </c>
      <c r="E830">
        <v>3</v>
      </c>
      <c r="F830">
        <f>MAX(-1,3-Tableau1[[#This Row],[Nb possédé (digital)]])</f>
        <v>0</v>
      </c>
      <c r="G830">
        <v>3</v>
      </c>
      <c r="H830">
        <f>MAX(-1,3-Tableau1[[#This Row],[Possédé (physique)]])</f>
        <v>0</v>
      </c>
      <c r="I830" t="str">
        <f>IF(Tableau1[[#This Row],[Manque (physique)]]&gt;Tableau1[[#This Row],[Manque (digital)]],"POD",IF(Tableau1[[#This Row],[Manque (digital)]]&gt;Tableau1[[#This Row],[Manque (physique)]],"MarketPlace",""))</f>
        <v/>
      </c>
      <c r="J830" t="s">
        <v>30</v>
      </c>
      <c r="K830" t="s">
        <v>51</v>
      </c>
      <c r="L830" t="s">
        <v>19</v>
      </c>
      <c r="M830" t="s">
        <v>23</v>
      </c>
      <c r="N830" t="s">
        <v>19</v>
      </c>
      <c r="O830" t="s">
        <v>23</v>
      </c>
      <c r="P830" t="s">
        <v>19</v>
      </c>
      <c r="Q830" t="s">
        <v>1007</v>
      </c>
    </row>
    <row r="831" spans="1:17" hidden="1" x14ac:dyDescent="0.25">
      <c r="A831" t="s">
        <v>182</v>
      </c>
      <c r="B831" t="s">
        <v>22</v>
      </c>
      <c r="C831" t="s">
        <v>35</v>
      </c>
      <c r="D831" t="s">
        <v>58</v>
      </c>
      <c r="E831">
        <v>3</v>
      </c>
      <c r="F831">
        <f>MAX(-1,3-Tableau1[[#This Row],[Nb possédé (digital)]])</f>
        <v>0</v>
      </c>
      <c r="G831">
        <v>3</v>
      </c>
      <c r="H831">
        <f>MAX(-1,3-Tableau1[[#This Row],[Possédé (physique)]])</f>
        <v>0</v>
      </c>
      <c r="I831" t="str">
        <f>IF(Tableau1[[#This Row],[Manque (physique)]]&gt;Tableau1[[#This Row],[Manque (digital)]],"POD",IF(Tableau1[[#This Row],[Manque (digital)]]&gt;Tableau1[[#This Row],[Manque (physique)]],"MarketPlace",""))</f>
        <v/>
      </c>
      <c r="J831" t="s">
        <v>30</v>
      </c>
      <c r="K831" t="s">
        <v>79</v>
      </c>
      <c r="L831" t="s">
        <v>23</v>
      </c>
      <c r="M831" t="s">
        <v>19</v>
      </c>
      <c r="N831" t="s">
        <v>23</v>
      </c>
      <c r="O831" t="s">
        <v>89</v>
      </c>
      <c r="P831" t="s">
        <v>23</v>
      </c>
      <c r="Q831" t="s">
        <v>184</v>
      </c>
    </row>
    <row r="832" spans="1:17" hidden="1" x14ac:dyDescent="0.25">
      <c r="A832" t="s">
        <v>730</v>
      </c>
      <c r="B832" t="s">
        <v>22</v>
      </c>
      <c r="C832" t="s">
        <v>35</v>
      </c>
      <c r="D832" t="s">
        <v>58</v>
      </c>
      <c r="E832">
        <v>3</v>
      </c>
      <c r="F832">
        <f>MAX(-1,3-Tableau1[[#This Row],[Nb possédé (digital)]])</f>
        <v>0</v>
      </c>
      <c r="G832">
        <v>3</v>
      </c>
      <c r="H832">
        <f>MAX(-1,3-Tableau1[[#This Row],[Possédé (physique)]])</f>
        <v>0</v>
      </c>
      <c r="I832" t="str">
        <f>IF(Tableau1[[#This Row],[Manque (physique)]]&gt;Tableau1[[#This Row],[Manque (digital)]],"POD",IF(Tableau1[[#This Row],[Manque (digital)]]&gt;Tableau1[[#This Row],[Manque (physique)]],"MarketPlace",""))</f>
        <v/>
      </c>
      <c r="J832" t="s">
        <v>116</v>
      </c>
      <c r="K832" t="s">
        <v>117</v>
      </c>
      <c r="L832" t="s">
        <v>23</v>
      </c>
      <c r="M832" t="s">
        <v>23</v>
      </c>
      <c r="Q832" t="s">
        <v>732</v>
      </c>
    </row>
    <row r="833" spans="1:17" hidden="1" x14ac:dyDescent="0.25">
      <c r="A833" t="s">
        <v>975</v>
      </c>
      <c r="B833" t="s">
        <v>22</v>
      </c>
      <c r="C833" t="s">
        <v>35</v>
      </c>
      <c r="D833" t="s">
        <v>58</v>
      </c>
      <c r="E833">
        <v>3</v>
      </c>
      <c r="F833">
        <f>MAX(-1,3-Tableau1[[#This Row],[Nb possédé (digital)]])</f>
        <v>0</v>
      </c>
      <c r="G833">
        <v>3</v>
      </c>
      <c r="H833">
        <f>MAX(-1,3-Tableau1[[#This Row],[Possédé (physique)]])</f>
        <v>0</v>
      </c>
      <c r="I833" t="str">
        <f>IF(Tableau1[[#This Row],[Manque (physique)]]&gt;Tableau1[[#This Row],[Manque (digital)]],"POD",IF(Tableau1[[#This Row],[Manque (digital)]]&gt;Tableau1[[#This Row],[Manque (physique)]],"MarketPlace",""))</f>
        <v/>
      </c>
      <c r="J833" t="s">
        <v>30</v>
      </c>
      <c r="K833" t="s">
        <v>42</v>
      </c>
      <c r="L833" t="s">
        <v>23</v>
      </c>
      <c r="M833" t="s">
        <v>23</v>
      </c>
      <c r="N833" t="s">
        <v>19</v>
      </c>
      <c r="O833" t="s">
        <v>19</v>
      </c>
      <c r="P833" t="s">
        <v>19</v>
      </c>
      <c r="Q833" t="s">
        <v>976</v>
      </c>
    </row>
    <row r="834" spans="1:17" hidden="1" x14ac:dyDescent="0.25">
      <c r="A834" t="s">
        <v>987</v>
      </c>
      <c r="B834" t="s">
        <v>22</v>
      </c>
      <c r="C834" t="s">
        <v>35</v>
      </c>
      <c r="D834" t="s">
        <v>58</v>
      </c>
      <c r="E834">
        <v>3</v>
      </c>
      <c r="F834">
        <f>MAX(-1,3-Tableau1[[#This Row],[Nb possédé (digital)]])</f>
        <v>0</v>
      </c>
      <c r="G834">
        <v>3</v>
      </c>
      <c r="H834">
        <f>MAX(-1,3-Tableau1[[#This Row],[Possédé (physique)]])</f>
        <v>0</v>
      </c>
      <c r="I834" t="str">
        <f>IF(Tableau1[[#This Row],[Manque (physique)]]&gt;Tableau1[[#This Row],[Manque (digital)]],"POD",IF(Tableau1[[#This Row],[Manque (digital)]]&gt;Tableau1[[#This Row],[Manque (physique)]],"MarketPlace",""))</f>
        <v/>
      </c>
      <c r="J834" t="s">
        <v>30</v>
      </c>
      <c r="K834" t="s">
        <v>83</v>
      </c>
      <c r="L834" t="s">
        <v>23</v>
      </c>
      <c r="M834" t="s">
        <v>23</v>
      </c>
      <c r="N834" t="s">
        <v>20</v>
      </c>
      <c r="O834" t="s">
        <v>23</v>
      </c>
      <c r="P834" t="s">
        <v>23</v>
      </c>
      <c r="Q834" t="s">
        <v>989</v>
      </c>
    </row>
    <row r="835" spans="1:17" hidden="1" x14ac:dyDescent="0.25">
      <c r="A835" t="s">
        <v>1151</v>
      </c>
      <c r="B835" t="s">
        <v>22</v>
      </c>
      <c r="C835" t="s">
        <v>35</v>
      </c>
      <c r="D835" t="s">
        <v>58</v>
      </c>
      <c r="E835">
        <v>3</v>
      </c>
      <c r="F835">
        <f>MAX(-1,3-Tableau1[[#This Row],[Nb possédé (digital)]])</f>
        <v>0</v>
      </c>
      <c r="G835">
        <v>3</v>
      </c>
      <c r="H835">
        <f>MAX(-1,3-Tableau1[[#This Row],[Possédé (physique)]])</f>
        <v>0</v>
      </c>
      <c r="I835" t="str">
        <f>IF(Tableau1[[#This Row],[Manque (physique)]]&gt;Tableau1[[#This Row],[Manque (digital)]],"POD",IF(Tableau1[[#This Row],[Manque (digital)]]&gt;Tableau1[[#This Row],[Manque (physique)]],"MarketPlace",""))</f>
        <v/>
      </c>
      <c r="J835" t="s">
        <v>30</v>
      </c>
      <c r="K835" t="s">
        <v>83</v>
      </c>
      <c r="L835" t="s">
        <v>23</v>
      </c>
      <c r="M835" t="s">
        <v>52</v>
      </c>
      <c r="N835" t="s">
        <v>23</v>
      </c>
      <c r="O835" t="s">
        <v>23</v>
      </c>
      <c r="P835" t="s">
        <v>23</v>
      </c>
      <c r="Q835" t="s">
        <v>497</v>
      </c>
    </row>
    <row r="836" spans="1:17" hidden="1" x14ac:dyDescent="0.25">
      <c r="A836" t="s">
        <v>1129</v>
      </c>
      <c r="B836" t="s">
        <v>22</v>
      </c>
      <c r="C836" t="s">
        <v>35</v>
      </c>
      <c r="D836" t="s">
        <v>58</v>
      </c>
      <c r="E836">
        <v>3</v>
      </c>
      <c r="F836">
        <f>MAX(-1,3-Tableau1[[#This Row],[Nb possédé (digital)]])</f>
        <v>0</v>
      </c>
      <c r="G836">
        <v>3</v>
      </c>
      <c r="H836">
        <f>MAX(-1,3-Tableau1[[#This Row],[Possédé (physique)]])</f>
        <v>0</v>
      </c>
      <c r="I836" t="str">
        <f>IF(Tableau1[[#This Row],[Manque (physique)]]&gt;Tableau1[[#This Row],[Manque (digital)]],"POD",IF(Tableau1[[#This Row],[Manque (digital)]]&gt;Tableau1[[#This Row],[Manque (physique)]],"MarketPlace",""))</f>
        <v/>
      </c>
      <c r="J836" t="s">
        <v>30</v>
      </c>
      <c r="K836" t="s">
        <v>79</v>
      </c>
      <c r="L836" t="s">
        <v>23</v>
      </c>
      <c r="M836" t="s">
        <v>52</v>
      </c>
      <c r="N836" t="s">
        <v>19</v>
      </c>
      <c r="O836" t="s">
        <v>23</v>
      </c>
      <c r="P836" t="s">
        <v>23</v>
      </c>
      <c r="Q836" t="s">
        <v>1131</v>
      </c>
    </row>
    <row r="837" spans="1:17" hidden="1" x14ac:dyDescent="0.25">
      <c r="A837" t="s">
        <v>123</v>
      </c>
      <c r="B837" t="s">
        <v>22</v>
      </c>
      <c r="C837" t="s">
        <v>35</v>
      </c>
      <c r="D837" t="s">
        <v>58</v>
      </c>
      <c r="E837">
        <v>3</v>
      </c>
      <c r="F837">
        <f>MAX(-1,3-Tableau1[[#This Row],[Nb possédé (digital)]])</f>
        <v>0</v>
      </c>
      <c r="G837">
        <v>3</v>
      </c>
      <c r="H837">
        <f>MAX(-1,3-Tableau1[[#This Row],[Possédé (physique)]])</f>
        <v>0</v>
      </c>
      <c r="I837" t="str">
        <f>IF(Tableau1[[#This Row],[Manque (physique)]]&gt;Tableau1[[#This Row],[Manque (digital)]],"POD",IF(Tableau1[[#This Row],[Manque (digital)]]&gt;Tableau1[[#This Row],[Manque (physique)]],"MarketPlace",""))</f>
        <v/>
      </c>
      <c r="J837" t="s">
        <v>30</v>
      </c>
      <c r="K837" t="s">
        <v>124</v>
      </c>
      <c r="L837" t="s">
        <v>52</v>
      </c>
      <c r="M837" t="s">
        <v>23</v>
      </c>
      <c r="N837" t="s">
        <v>23</v>
      </c>
      <c r="O837" t="s">
        <v>23</v>
      </c>
      <c r="P837" t="s">
        <v>23</v>
      </c>
      <c r="Q837" t="s">
        <v>126</v>
      </c>
    </row>
    <row r="838" spans="1:17" hidden="1" x14ac:dyDescent="0.25">
      <c r="A838" t="s">
        <v>501</v>
      </c>
      <c r="B838" t="s">
        <v>22</v>
      </c>
      <c r="C838" t="s">
        <v>35</v>
      </c>
      <c r="D838" t="s">
        <v>58</v>
      </c>
      <c r="E838">
        <v>3</v>
      </c>
      <c r="F838">
        <f>MAX(-1,3-Tableau1[[#This Row],[Nb possédé (digital)]])</f>
        <v>0</v>
      </c>
      <c r="G838">
        <v>3</v>
      </c>
      <c r="H838">
        <f>MAX(-1,3-Tableau1[[#This Row],[Possédé (physique)]])</f>
        <v>0</v>
      </c>
      <c r="I838" t="str">
        <f>IF(Tableau1[[#This Row],[Manque (physique)]]&gt;Tableau1[[#This Row],[Manque (digital)]],"POD",IF(Tableau1[[#This Row],[Manque (digital)]]&gt;Tableau1[[#This Row],[Manque (physique)]],"MarketPlace",""))</f>
        <v/>
      </c>
      <c r="J838" t="s">
        <v>17</v>
      </c>
      <c r="K838" t="s">
        <v>153</v>
      </c>
      <c r="L838" t="s">
        <v>52</v>
      </c>
      <c r="M838" t="s">
        <v>23</v>
      </c>
      <c r="Q838" t="s">
        <v>502</v>
      </c>
    </row>
    <row r="839" spans="1:17" hidden="1" x14ac:dyDescent="0.25">
      <c r="A839" t="s">
        <v>918</v>
      </c>
      <c r="B839" t="s">
        <v>22</v>
      </c>
      <c r="C839" t="s">
        <v>35</v>
      </c>
      <c r="D839" t="s">
        <v>58</v>
      </c>
      <c r="E839">
        <v>3</v>
      </c>
      <c r="F839">
        <f>MAX(-1,3-Tableau1[[#This Row],[Nb possédé (digital)]])</f>
        <v>0</v>
      </c>
      <c r="G839">
        <v>3</v>
      </c>
      <c r="H839">
        <f>MAX(-1,3-Tableau1[[#This Row],[Possédé (physique)]])</f>
        <v>0</v>
      </c>
      <c r="I839" t="str">
        <f>IF(Tableau1[[#This Row],[Manque (physique)]]&gt;Tableau1[[#This Row],[Manque (digital)]],"POD",IF(Tableau1[[#This Row],[Manque (digital)]]&gt;Tableau1[[#This Row],[Manque (physique)]],"MarketPlace",""))</f>
        <v/>
      </c>
      <c r="J839" t="s">
        <v>30</v>
      </c>
      <c r="K839" t="s">
        <v>919</v>
      </c>
      <c r="L839" t="s">
        <v>52</v>
      </c>
      <c r="M839" t="s">
        <v>23</v>
      </c>
      <c r="N839" t="s">
        <v>23</v>
      </c>
      <c r="O839" t="s">
        <v>89</v>
      </c>
      <c r="P839" t="s">
        <v>52</v>
      </c>
      <c r="Q839" t="s">
        <v>921</v>
      </c>
    </row>
    <row r="840" spans="1:17" hidden="1" x14ac:dyDescent="0.25">
      <c r="A840" t="s">
        <v>57</v>
      </c>
      <c r="B840" t="s">
        <v>22</v>
      </c>
      <c r="C840" t="s">
        <v>35</v>
      </c>
      <c r="D840" t="s">
        <v>58</v>
      </c>
      <c r="E840">
        <v>3</v>
      </c>
      <c r="F840">
        <f>MAX(-1,3-Tableau1[[#This Row],[Nb possédé (digital)]])</f>
        <v>0</v>
      </c>
      <c r="G840">
        <v>3</v>
      </c>
      <c r="H840">
        <f>MAX(-1,3-Tableau1[[#This Row],[Possédé (physique)]])</f>
        <v>0</v>
      </c>
      <c r="I840" t="str">
        <f>IF(Tableau1[[#This Row],[Manque (physique)]]&gt;Tableau1[[#This Row],[Manque (digital)]],"POD",IF(Tableau1[[#This Row],[Manque (digital)]]&gt;Tableau1[[#This Row],[Manque (physique)]],"MarketPlace",""))</f>
        <v/>
      </c>
      <c r="J840" t="s">
        <v>30</v>
      </c>
      <c r="K840" t="s">
        <v>59</v>
      </c>
      <c r="L840" t="s">
        <v>52</v>
      </c>
      <c r="M840" t="s">
        <v>52</v>
      </c>
      <c r="N840" t="s">
        <v>23</v>
      </c>
      <c r="O840" t="s">
        <v>23</v>
      </c>
      <c r="P840" t="s">
        <v>52</v>
      </c>
      <c r="Q840" t="s">
        <v>61</v>
      </c>
    </row>
    <row r="841" spans="1:17" hidden="1" x14ac:dyDescent="0.25">
      <c r="A841" t="s">
        <v>388</v>
      </c>
      <c r="B841" t="s">
        <v>22</v>
      </c>
      <c r="C841" t="s">
        <v>35</v>
      </c>
      <c r="D841" t="s">
        <v>58</v>
      </c>
      <c r="E841">
        <v>3</v>
      </c>
      <c r="F841">
        <f>MAX(-1,3-Tableau1[[#This Row],[Nb possédé (digital)]])</f>
        <v>0</v>
      </c>
      <c r="G841">
        <v>3</v>
      </c>
      <c r="H841">
        <f>MAX(-1,3-Tableau1[[#This Row],[Possédé (physique)]])</f>
        <v>0</v>
      </c>
      <c r="I841" t="str">
        <f>IF(Tableau1[[#This Row],[Manque (physique)]]&gt;Tableau1[[#This Row],[Manque (digital)]],"POD",IF(Tableau1[[#This Row],[Manque (digital)]]&gt;Tableau1[[#This Row],[Manque (physique)]],"MarketPlace",""))</f>
        <v/>
      </c>
      <c r="J841" t="s">
        <v>17</v>
      </c>
      <c r="K841" t="s">
        <v>97</v>
      </c>
      <c r="L841" t="s">
        <v>52</v>
      </c>
      <c r="M841" t="s">
        <v>52</v>
      </c>
      <c r="Q841" t="s">
        <v>390</v>
      </c>
    </row>
    <row r="842" spans="1:17" hidden="1" x14ac:dyDescent="0.25">
      <c r="A842" t="s">
        <v>493</v>
      </c>
      <c r="B842" t="s">
        <v>22</v>
      </c>
      <c r="C842" t="s">
        <v>35</v>
      </c>
      <c r="D842" t="s">
        <v>58</v>
      </c>
      <c r="E842">
        <v>3</v>
      </c>
      <c r="F842">
        <f>MAX(-1,3-Tableau1[[#This Row],[Nb possédé (digital)]])</f>
        <v>0</v>
      </c>
      <c r="G842">
        <v>3</v>
      </c>
      <c r="H842">
        <f>MAX(-1,3-Tableau1[[#This Row],[Possédé (physique)]])</f>
        <v>0</v>
      </c>
      <c r="I842" t="str">
        <f>IF(Tableau1[[#This Row],[Manque (physique)]]&gt;Tableau1[[#This Row],[Manque (digital)]],"POD",IF(Tableau1[[#This Row],[Manque (digital)]]&gt;Tableau1[[#This Row],[Manque (physique)]],"MarketPlace",""))</f>
        <v/>
      </c>
      <c r="J842" t="s">
        <v>17</v>
      </c>
      <c r="K842" t="s">
        <v>153</v>
      </c>
      <c r="L842" t="s">
        <v>52</v>
      </c>
      <c r="M842" t="s">
        <v>52</v>
      </c>
      <c r="Q842" t="s">
        <v>495</v>
      </c>
    </row>
    <row r="843" spans="1:17" hidden="1" x14ac:dyDescent="0.25">
      <c r="A843" t="s">
        <v>1102</v>
      </c>
      <c r="B843" t="s">
        <v>22</v>
      </c>
      <c r="C843" t="s">
        <v>35</v>
      </c>
      <c r="D843" t="s">
        <v>58</v>
      </c>
      <c r="E843">
        <v>3</v>
      </c>
      <c r="F843">
        <f>MAX(-1,3-Tableau1[[#This Row],[Nb possédé (digital)]])</f>
        <v>0</v>
      </c>
      <c r="G843">
        <v>3</v>
      </c>
      <c r="H843">
        <f>MAX(-1,3-Tableau1[[#This Row],[Possédé (physique)]])</f>
        <v>0</v>
      </c>
      <c r="I843" t="str">
        <f>IF(Tableau1[[#This Row],[Manque (physique)]]&gt;Tableau1[[#This Row],[Manque (digital)]],"POD",IF(Tableau1[[#This Row],[Manque (digital)]]&gt;Tableau1[[#This Row],[Manque (physique)]],"MarketPlace",""))</f>
        <v/>
      </c>
      <c r="J843" t="s">
        <v>30</v>
      </c>
      <c r="K843" t="s">
        <v>1103</v>
      </c>
      <c r="L843" t="s">
        <v>52</v>
      </c>
      <c r="M843" t="s">
        <v>52</v>
      </c>
      <c r="N843" t="s">
        <v>37</v>
      </c>
      <c r="O843" t="s">
        <v>37</v>
      </c>
      <c r="P843" t="s">
        <v>37</v>
      </c>
      <c r="Q843" t="s">
        <v>1105</v>
      </c>
    </row>
    <row r="844" spans="1:17" hidden="1" x14ac:dyDescent="0.25">
      <c r="A844" t="s">
        <v>78</v>
      </c>
      <c r="B844" t="s">
        <v>22</v>
      </c>
      <c r="C844" t="s">
        <v>35</v>
      </c>
      <c r="D844" t="s">
        <v>58</v>
      </c>
      <c r="E844">
        <v>3</v>
      </c>
      <c r="F844">
        <f>MAX(-1,3-Tableau1[[#This Row],[Nb possédé (digital)]])</f>
        <v>0</v>
      </c>
      <c r="G844">
        <v>3</v>
      </c>
      <c r="H844">
        <f>MAX(-1,3-Tableau1[[#This Row],[Possédé (physique)]])</f>
        <v>0</v>
      </c>
      <c r="I844" t="str">
        <f>IF(Tableau1[[#This Row],[Manque (physique)]]&gt;Tableau1[[#This Row],[Manque (digital)]],"POD",IF(Tableau1[[#This Row],[Manque (digital)]]&gt;Tableau1[[#This Row],[Manque (physique)]],"MarketPlace",""))</f>
        <v/>
      </c>
      <c r="J844" t="s">
        <v>30</v>
      </c>
      <c r="K844" t="s">
        <v>79</v>
      </c>
      <c r="L844" t="s">
        <v>37</v>
      </c>
      <c r="M844" t="s">
        <v>37</v>
      </c>
      <c r="N844" t="s">
        <v>52</v>
      </c>
      <c r="O844" t="s">
        <v>23</v>
      </c>
      <c r="P844" t="s">
        <v>23</v>
      </c>
      <c r="Q844" t="s">
        <v>81</v>
      </c>
    </row>
    <row r="845" spans="1:17" x14ac:dyDescent="0.25">
      <c r="A845" t="s">
        <v>755</v>
      </c>
      <c r="B845" t="s">
        <v>22</v>
      </c>
      <c r="C845" t="s">
        <v>35</v>
      </c>
      <c r="D845" t="s">
        <v>58</v>
      </c>
      <c r="E845">
        <v>4</v>
      </c>
      <c r="F845">
        <f>MAX(-1,3-Tableau1[[#This Row],[Nb possédé (digital)]])</f>
        <v>-1</v>
      </c>
      <c r="G845">
        <v>4</v>
      </c>
      <c r="H845">
        <f>MAX(-1,3-Tableau1[[#This Row],[Possédé (physique)]])</f>
        <v>-1</v>
      </c>
      <c r="I845" t="str">
        <f>IF(Tableau1[[#This Row],[Manque (physique)]]&gt;Tableau1[[#This Row],[Manque (digital)]],"POD",IF(Tableau1[[#This Row],[Manque (digital)]]&gt;Tableau1[[#This Row],[Manque (physique)]],"MarketPlace",""))</f>
        <v/>
      </c>
      <c r="J845" t="s">
        <v>30</v>
      </c>
      <c r="K845" t="s">
        <v>378</v>
      </c>
      <c r="L845" t="s">
        <v>37</v>
      </c>
      <c r="M845" t="s">
        <v>37</v>
      </c>
      <c r="N845" t="s">
        <v>52</v>
      </c>
      <c r="O845" t="s">
        <v>52</v>
      </c>
      <c r="P845" t="s">
        <v>52</v>
      </c>
      <c r="Q845" t="s">
        <v>756</v>
      </c>
    </row>
    <row r="846" spans="1:17" hidden="1" x14ac:dyDescent="0.25">
      <c r="A846" t="s">
        <v>185</v>
      </c>
      <c r="B846" t="s">
        <v>22</v>
      </c>
      <c r="C846" t="s">
        <v>35</v>
      </c>
      <c r="D846" t="s">
        <v>58</v>
      </c>
      <c r="E846">
        <v>3</v>
      </c>
      <c r="F846">
        <f>MAX(-1,3-Tableau1[[#This Row],[Nb possédé (digital)]])</f>
        <v>0</v>
      </c>
      <c r="G846">
        <v>3</v>
      </c>
      <c r="H846">
        <f>MAX(-1,3-Tableau1[[#This Row],[Possédé (physique)]])</f>
        <v>0</v>
      </c>
      <c r="I846" t="str">
        <f>IF(Tableau1[[#This Row],[Manque (physique)]]&gt;Tableau1[[#This Row],[Manque (digital)]],"POD",IF(Tableau1[[#This Row],[Manque (digital)]]&gt;Tableau1[[#This Row],[Manque (physique)]],"MarketPlace",""))</f>
        <v/>
      </c>
      <c r="J846" t="s">
        <v>30</v>
      </c>
      <c r="K846" t="s">
        <v>51</v>
      </c>
      <c r="L846" t="s">
        <v>39</v>
      </c>
      <c r="M846" t="s">
        <v>39</v>
      </c>
      <c r="N846" t="s">
        <v>39</v>
      </c>
      <c r="O846" t="s">
        <v>39</v>
      </c>
      <c r="P846" t="s">
        <v>39</v>
      </c>
      <c r="Q846" t="s">
        <v>186</v>
      </c>
    </row>
    <row r="847" spans="1:17" hidden="1" x14ac:dyDescent="0.25">
      <c r="A847" t="s">
        <v>1154</v>
      </c>
      <c r="B847" t="s">
        <v>22</v>
      </c>
      <c r="C847" t="s">
        <v>35</v>
      </c>
      <c r="D847" t="s">
        <v>58</v>
      </c>
      <c r="E847">
        <v>3</v>
      </c>
      <c r="F847">
        <f>MAX(-1,3-Tableau1[[#This Row],[Nb possédé (digital)]])</f>
        <v>0</v>
      </c>
      <c r="G847">
        <v>3</v>
      </c>
      <c r="H847">
        <f>MAX(-1,3-Tableau1[[#This Row],[Possédé (physique)]])</f>
        <v>0</v>
      </c>
      <c r="I847" t="str">
        <f>IF(Tableau1[[#This Row],[Manque (physique)]]&gt;Tableau1[[#This Row],[Manque (digital)]],"POD",IF(Tableau1[[#This Row],[Manque (digital)]]&gt;Tableau1[[#This Row],[Manque (physique)]],"MarketPlace",""))</f>
        <v/>
      </c>
      <c r="J847" t="s">
        <v>30</v>
      </c>
      <c r="K847" t="s">
        <v>378</v>
      </c>
      <c r="L847" t="s">
        <v>39</v>
      </c>
      <c r="M847" t="s">
        <v>39</v>
      </c>
      <c r="N847" t="s">
        <v>39</v>
      </c>
      <c r="O847" t="s">
        <v>37</v>
      </c>
      <c r="P847" t="s">
        <v>37</v>
      </c>
      <c r="Q847" t="s">
        <v>379</v>
      </c>
    </row>
    <row r="848" spans="1:17" hidden="1" x14ac:dyDescent="0.25">
      <c r="A848" t="s">
        <v>1153</v>
      </c>
      <c r="B848" t="s">
        <v>22</v>
      </c>
      <c r="C848" t="s">
        <v>35</v>
      </c>
      <c r="D848" t="s">
        <v>58</v>
      </c>
      <c r="E848">
        <v>3</v>
      </c>
      <c r="F848">
        <f>MAX(-1,3-Tableau1[[#This Row],[Nb possédé (digital)]])</f>
        <v>0</v>
      </c>
      <c r="G848">
        <v>3</v>
      </c>
      <c r="H848">
        <f>MAX(-1,3-Tableau1[[#This Row],[Possédé (physique)]])</f>
        <v>0</v>
      </c>
      <c r="I848" t="str">
        <f>IF(Tableau1[[#This Row],[Manque (physique)]]&gt;Tableau1[[#This Row],[Manque (digital)]],"POD",IF(Tableau1[[#This Row],[Manque (digital)]]&gt;Tableau1[[#This Row],[Manque (physique)]],"MarketPlace",""))</f>
        <v/>
      </c>
      <c r="J848" t="s">
        <v>30</v>
      </c>
      <c r="K848" t="s">
        <v>51</v>
      </c>
      <c r="L848" t="s">
        <v>380</v>
      </c>
      <c r="M848" t="s">
        <v>380</v>
      </c>
      <c r="N848" t="s">
        <v>23</v>
      </c>
      <c r="O848" t="s">
        <v>37</v>
      </c>
      <c r="P848" t="s">
        <v>37</v>
      </c>
      <c r="Q848" t="s">
        <v>1140</v>
      </c>
    </row>
    <row r="849" spans="1:17" x14ac:dyDescent="0.25">
      <c r="A849" t="s">
        <v>1536</v>
      </c>
      <c r="B849" t="s">
        <v>22</v>
      </c>
      <c r="C849" t="s">
        <v>35</v>
      </c>
      <c r="D849" t="s">
        <v>1496</v>
      </c>
      <c r="E849">
        <v>4</v>
      </c>
      <c r="F849">
        <f>MAX(-1,3-Tableau1[[#This Row],[Nb possédé (digital)]])</f>
        <v>-1</v>
      </c>
      <c r="G849">
        <v>4</v>
      </c>
      <c r="H849">
        <f>MAX(-1,3-Tableau1[[#This Row],[Possédé (physique)]])</f>
        <v>-1</v>
      </c>
      <c r="I849" t="str">
        <f>IF(Tableau1[[#This Row],[Manque (physique)]]&gt;Tableau1[[#This Row],[Manque (digital)]],"POD",IF(Tableau1[[#This Row],[Manque (digital)]]&gt;Tableau1[[#This Row],[Manque (physique)]],"MarketPlace",""))</f>
        <v/>
      </c>
      <c r="J849" t="s">
        <v>30</v>
      </c>
      <c r="K849" t="s">
        <v>59</v>
      </c>
      <c r="L849" t="s">
        <v>20</v>
      </c>
      <c r="M849" t="s">
        <v>20</v>
      </c>
      <c r="N849" t="s">
        <v>20</v>
      </c>
      <c r="O849" t="s">
        <v>89</v>
      </c>
      <c r="P849" t="s">
        <v>20</v>
      </c>
      <c r="Q849" t="s">
        <v>1684</v>
      </c>
    </row>
    <row r="850" spans="1:17" x14ac:dyDescent="0.25">
      <c r="A850" t="s">
        <v>1540</v>
      </c>
      <c r="B850" t="s">
        <v>22</v>
      </c>
      <c r="C850" t="s">
        <v>35</v>
      </c>
      <c r="D850" t="s">
        <v>1496</v>
      </c>
      <c r="E850">
        <v>4</v>
      </c>
      <c r="F850">
        <f>MAX(-1,3-Tableau1[[#This Row],[Nb possédé (digital)]])</f>
        <v>-1</v>
      </c>
      <c r="G850">
        <v>4</v>
      </c>
      <c r="H850">
        <f>MAX(-1,3-Tableau1[[#This Row],[Possédé (physique)]])</f>
        <v>-1</v>
      </c>
      <c r="I850" t="str">
        <f>IF(Tableau1[[#This Row],[Manque (physique)]]&gt;Tableau1[[#This Row],[Manque (digital)]],"POD",IF(Tableau1[[#This Row],[Manque (digital)]]&gt;Tableau1[[#This Row],[Manque (physique)]],"MarketPlace",""))</f>
        <v/>
      </c>
      <c r="J850" t="s">
        <v>30</v>
      </c>
      <c r="K850" t="s">
        <v>705</v>
      </c>
      <c r="L850" t="s">
        <v>20</v>
      </c>
      <c r="M850" t="s">
        <v>20</v>
      </c>
      <c r="N850" t="s">
        <v>20</v>
      </c>
      <c r="O850" t="s">
        <v>20</v>
      </c>
      <c r="P850" t="s">
        <v>89</v>
      </c>
      <c r="Q850" t="s">
        <v>1690</v>
      </c>
    </row>
    <row r="851" spans="1:17" hidden="1" x14ac:dyDescent="0.25">
      <c r="A851" t="s">
        <v>1552</v>
      </c>
      <c r="B851" t="s">
        <v>22</v>
      </c>
      <c r="C851" t="s">
        <v>35</v>
      </c>
      <c r="D851" t="s">
        <v>1496</v>
      </c>
      <c r="E851">
        <v>1</v>
      </c>
      <c r="F851">
        <f>MAX(-1,3-Tableau1[[#This Row],[Nb possédé (digital)]])</f>
        <v>2</v>
      </c>
      <c r="G851">
        <v>3</v>
      </c>
      <c r="H851">
        <f>MAX(-1,3-Tableau1[[#This Row],[Possédé (physique)]])</f>
        <v>0</v>
      </c>
      <c r="I851" t="str">
        <f>IF(Tableau1[[#This Row],[Manque (physique)]]&gt;Tableau1[[#This Row],[Manque (digital)]],"POD",IF(Tableau1[[#This Row],[Manque (digital)]]&gt;Tableau1[[#This Row],[Manque (physique)]],"MarketPlace",""))</f>
        <v>MarketPlace</v>
      </c>
      <c r="J851" t="s">
        <v>116</v>
      </c>
      <c r="K851" t="s">
        <v>117</v>
      </c>
      <c r="L851" t="s">
        <v>20</v>
      </c>
      <c r="M851" t="s">
        <v>20</v>
      </c>
      <c r="Q851" t="s">
        <v>1719</v>
      </c>
    </row>
    <row r="852" spans="1:17" hidden="1" x14ac:dyDescent="0.25">
      <c r="A852" t="s">
        <v>1594</v>
      </c>
      <c r="B852" t="s">
        <v>22</v>
      </c>
      <c r="C852" t="s">
        <v>35</v>
      </c>
      <c r="D852" t="s">
        <v>1496</v>
      </c>
      <c r="E852">
        <v>2</v>
      </c>
      <c r="F852">
        <f>MAX(-1,3-Tableau1[[#This Row],[Nb possédé (digital)]])</f>
        <v>1</v>
      </c>
      <c r="G852">
        <v>3</v>
      </c>
      <c r="H852">
        <f>MAX(-1,3-Tableau1[[#This Row],[Possédé (physique)]])</f>
        <v>0</v>
      </c>
      <c r="I852" t="str">
        <f>IF(Tableau1[[#This Row],[Manque (physique)]]&gt;Tableau1[[#This Row],[Manque (digital)]],"POD",IF(Tableau1[[#This Row],[Manque (digital)]]&gt;Tableau1[[#This Row],[Manque (physique)]],"MarketPlace",""))</f>
        <v>MarketPlace</v>
      </c>
      <c r="J852" t="s">
        <v>30</v>
      </c>
      <c r="K852" t="s">
        <v>1814</v>
      </c>
      <c r="L852" t="s">
        <v>20</v>
      </c>
      <c r="M852" t="s">
        <v>19</v>
      </c>
      <c r="N852" t="s">
        <v>20</v>
      </c>
      <c r="O852" t="s">
        <v>20</v>
      </c>
      <c r="P852" t="s">
        <v>89</v>
      </c>
      <c r="Q852" t="s">
        <v>1815</v>
      </c>
    </row>
    <row r="853" spans="1:17" hidden="1" x14ac:dyDescent="0.25">
      <c r="A853" t="s">
        <v>1533</v>
      </c>
      <c r="B853" t="s">
        <v>22</v>
      </c>
      <c r="C853" t="s">
        <v>35</v>
      </c>
      <c r="D853" t="s">
        <v>1496</v>
      </c>
      <c r="E853">
        <v>2</v>
      </c>
      <c r="F853">
        <f>MAX(-1,3-Tableau1[[#This Row],[Nb possédé (digital)]])</f>
        <v>1</v>
      </c>
      <c r="G853">
        <v>3</v>
      </c>
      <c r="H853">
        <f>MAX(-1,3-Tableau1[[#This Row],[Possédé (physique)]])</f>
        <v>0</v>
      </c>
      <c r="I853" t="str">
        <f>IF(Tableau1[[#This Row],[Manque (physique)]]&gt;Tableau1[[#This Row],[Manque (digital)]],"POD",IF(Tableau1[[#This Row],[Manque (digital)]]&gt;Tableau1[[#This Row],[Manque (physique)]],"MarketPlace",""))</f>
        <v>MarketPlace</v>
      </c>
      <c r="J853" t="s">
        <v>30</v>
      </c>
      <c r="K853" t="s">
        <v>68</v>
      </c>
      <c r="L853" t="s">
        <v>20</v>
      </c>
      <c r="M853" t="s">
        <v>19</v>
      </c>
      <c r="N853" t="s">
        <v>19</v>
      </c>
      <c r="O853" t="s">
        <v>89</v>
      </c>
      <c r="P853" t="s">
        <v>20</v>
      </c>
      <c r="Q853" t="s">
        <v>1678</v>
      </c>
    </row>
    <row r="854" spans="1:17" hidden="1" x14ac:dyDescent="0.25">
      <c r="A854" t="s">
        <v>1503</v>
      </c>
      <c r="B854" t="s">
        <v>22</v>
      </c>
      <c r="C854" t="s">
        <v>35</v>
      </c>
      <c r="D854" t="s">
        <v>1496</v>
      </c>
      <c r="E854">
        <v>2</v>
      </c>
      <c r="F854">
        <f>MAX(-1,3-Tableau1[[#This Row],[Nb possédé (digital)]])</f>
        <v>1</v>
      </c>
      <c r="G854">
        <v>3</v>
      </c>
      <c r="H854">
        <f>MAX(-1,3-Tableau1[[#This Row],[Possédé (physique)]])</f>
        <v>0</v>
      </c>
      <c r="I854" t="str">
        <f>IF(Tableau1[[#This Row],[Manque (physique)]]&gt;Tableau1[[#This Row],[Manque (digital)]],"POD",IF(Tableau1[[#This Row],[Manque (digital)]]&gt;Tableau1[[#This Row],[Manque (physique)]],"MarketPlace",""))</f>
        <v>MarketPlace</v>
      </c>
      <c r="J854" t="s">
        <v>30</v>
      </c>
      <c r="K854" t="s">
        <v>358</v>
      </c>
      <c r="L854" t="s">
        <v>19</v>
      </c>
      <c r="M854" t="s">
        <v>20</v>
      </c>
      <c r="N854" t="s">
        <v>19</v>
      </c>
      <c r="O854" t="s">
        <v>20</v>
      </c>
      <c r="P854" t="s">
        <v>89</v>
      </c>
      <c r="Q854" t="s">
        <v>1614</v>
      </c>
    </row>
    <row r="855" spans="1:17" hidden="1" x14ac:dyDescent="0.25">
      <c r="A855" t="s">
        <v>1571</v>
      </c>
      <c r="B855" t="s">
        <v>22</v>
      </c>
      <c r="C855" t="s">
        <v>35</v>
      </c>
      <c r="D855" t="s">
        <v>1496</v>
      </c>
      <c r="E855">
        <v>2</v>
      </c>
      <c r="F855">
        <f>MAX(-1,3-Tableau1[[#This Row],[Nb possédé (digital)]])</f>
        <v>1</v>
      </c>
      <c r="G855">
        <v>3</v>
      </c>
      <c r="H855">
        <f>MAX(-1,3-Tableau1[[#This Row],[Possédé (physique)]])</f>
        <v>0</v>
      </c>
      <c r="I855" t="str">
        <f>IF(Tableau1[[#This Row],[Manque (physique)]]&gt;Tableau1[[#This Row],[Manque (digital)]],"POD",IF(Tableau1[[#This Row],[Manque (digital)]]&gt;Tableau1[[#This Row],[Manque (physique)]],"MarketPlace",""))</f>
        <v>MarketPlace</v>
      </c>
      <c r="J855" t="s">
        <v>17</v>
      </c>
      <c r="K855" t="s">
        <v>1756</v>
      </c>
      <c r="L855" t="s">
        <v>19</v>
      </c>
      <c r="M855" t="s">
        <v>20</v>
      </c>
      <c r="Q855" t="s">
        <v>1760</v>
      </c>
    </row>
    <row r="856" spans="1:17" hidden="1" x14ac:dyDescent="0.25">
      <c r="A856" t="s">
        <v>1590</v>
      </c>
      <c r="B856" t="s">
        <v>22</v>
      </c>
      <c r="C856" t="s">
        <v>35</v>
      </c>
      <c r="D856" t="s">
        <v>1496</v>
      </c>
      <c r="E856">
        <v>3</v>
      </c>
      <c r="F856">
        <f>MAX(-1,3-Tableau1[[#This Row],[Nb possédé (digital)]])</f>
        <v>0</v>
      </c>
      <c r="G856">
        <v>3</v>
      </c>
      <c r="H856">
        <f>MAX(-1,3-Tableau1[[#This Row],[Possédé (physique)]])</f>
        <v>0</v>
      </c>
      <c r="I856" t="str">
        <f>IF(Tableau1[[#This Row],[Manque (physique)]]&gt;Tableau1[[#This Row],[Manque (digital)]],"POD",IF(Tableau1[[#This Row],[Manque (digital)]]&gt;Tableau1[[#This Row],[Manque (physique)]],"MarketPlace",""))</f>
        <v/>
      </c>
      <c r="J856" t="s">
        <v>116</v>
      </c>
      <c r="K856" t="s">
        <v>117</v>
      </c>
      <c r="L856" t="s">
        <v>19</v>
      </c>
      <c r="M856" t="s">
        <v>20</v>
      </c>
      <c r="Q856" t="s">
        <v>1805</v>
      </c>
    </row>
    <row r="857" spans="1:17" hidden="1" x14ac:dyDescent="0.25">
      <c r="A857" t="s">
        <v>1534</v>
      </c>
      <c r="B857" t="s">
        <v>22</v>
      </c>
      <c r="C857" t="s">
        <v>35</v>
      </c>
      <c r="D857" t="s">
        <v>1496</v>
      </c>
      <c r="E857">
        <v>1</v>
      </c>
      <c r="F857">
        <f>MAX(-1,3-Tableau1[[#This Row],[Nb possédé (digital)]])</f>
        <v>2</v>
      </c>
      <c r="G857">
        <v>3</v>
      </c>
      <c r="H857">
        <f>MAX(-1,3-Tableau1[[#This Row],[Possédé (physique)]])</f>
        <v>0</v>
      </c>
      <c r="I857" t="str">
        <f>IF(Tableau1[[#This Row],[Manque (physique)]]&gt;Tableau1[[#This Row],[Manque (digital)]],"POD",IF(Tableau1[[#This Row],[Manque (digital)]]&gt;Tableau1[[#This Row],[Manque (physique)]],"MarketPlace",""))</f>
        <v>MarketPlace</v>
      </c>
      <c r="J857" t="s">
        <v>30</v>
      </c>
      <c r="K857" t="s">
        <v>83</v>
      </c>
      <c r="L857" t="s">
        <v>19</v>
      </c>
      <c r="M857" t="s">
        <v>19</v>
      </c>
      <c r="N857" t="s">
        <v>19</v>
      </c>
      <c r="O857" t="s">
        <v>89</v>
      </c>
      <c r="P857" t="s">
        <v>23</v>
      </c>
      <c r="Q857" t="s">
        <v>1680</v>
      </c>
    </row>
    <row r="858" spans="1:17" hidden="1" x14ac:dyDescent="0.25">
      <c r="A858" t="s">
        <v>1546</v>
      </c>
      <c r="B858" t="s">
        <v>22</v>
      </c>
      <c r="C858" t="s">
        <v>35</v>
      </c>
      <c r="D858" t="s">
        <v>1496</v>
      </c>
      <c r="E858">
        <v>1</v>
      </c>
      <c r="F858">
        <f>MAX(-1,3-Tableau1[[#This Row],[Nb possédé (digital)]])</f>
        <v>2</v>
      </c>
      <c r="G858">
        <v>3</v>
      </c>
      <c r="H858">
        <f>MAX(-1,3-Tableau1[[#This Row],[Possédé (physique)]])</f>
        <v>0</v>
      </c>
      <c r="I858" t="str">
        <f>IF(Tableau1[[#This Row],[Manque (physique)]]&gt;Tableau1[[#This Row],[Manque (digital)]],"POD",IF(Tableau1[[#This Row],[Manque (digital)]]&gt;Tableau1[[#This Row],[Manque (physique)]],"MarketPlace",""))</f>
        <v>MarketPlace</v>
      </c>
      <c r="J858" t="s">
        <v>17</v>
      </c>
      <c r="K858" t="s">
        <v>153</v>
      </c>
      <c r="L858" t="s">
        <v>19</v>
      </c>
      <c r="M858" t="s">
        <v>19</v>
      </c>
      <c r="Q858" t="s">
        <v>1704</v>
      </c>
    </row>
    <row r="859" spans="1:17" hidden="1" x14ac:dyDescent="0.25">
      <c r="A859" t="s">
        <v>1564</v>
      </c>
      <c r="B859" t="s">
        <v>22</v>
      </c>
      <c r="C859" t="s">
        <v>35</v>
      </c>
      <c r="D859" t="s">
        <v>1496</v>
      </c>
      <c r="E859">
        <v>3</v>
      </c>
      <c r="F859">
        <f>MAX(-1,3-Tableau1[[#This Row],[Nb possédé (digital)]])</f>
        <v>0</v>
      </c>
      <c r="G859">
        <v>3</v>
      </c>
      <c r="H859">
        <f>MAX(-1,3-Tableau1[[#This Row],[Possédé (physique)]])</f>
        <v>0</v>
      </c>
      <c r="I859" t="str">
        <f>IF(Tableau1[[#This Row],[Manque (physique)]]&gt;Tableau1[[#This Row],[Manque (digital)]],"POD",IF(Tableau1[[#This Row],[Manque (digital)]]&gt;Tableau1[[#This Row],[Manque (physique)]],"MarketPlace",""))</f>
        <v/>
      </c>
      <c r="J859" t="s">
        <v>30</v>
      </c>
      <c r="K859" t="s">
        <v>83</v>
      </c>
      <c r="L859" t="s">
        <v>19</v>
      </c>
      <c r="M859" t="s">
        <v>19</v>
      </c>
      <c r="N859" t="s">
        <v>23</v>
      </c>
      <c r="O859" t="s">
        <v>23</v>
      </c>
      <c r="P859" t="s">
        <v>23</v>
      </c>
      <c r="Q859" t="s">
        <v>1745</v>
      </c>
    </row>
    <row r="860" spans="1:17" hidden="1" x14ac:dyDescent="0.25">
      <c r="A860" t="s">
        <v>1538</v>
      </c>
      <c r="B860" t="s">
        <v>22</v>
      </c>
      <c r="C860" t="s">
        <v>35</v>
      </c>
      <c r="D860" t="s">
        <v>1496</v>
      </c>
      <c r="E860">
        <v>0</v>
      </c>
      <c r="F860">
        <f>MAX(-1,3-Tableau1[[#This Row],[Nb possédé (digital)]])</f>
        <v>3</v>
      </c>
      <c r="G860">
        <v>3</v>
      </c>
      <c r="H860">
        <f>MAX(-1,3-Tableau1[[#This Row],[Possédé (physique)]])</f>
        <v>0</v>
      </c>
      <c r="I860" t="str">
        <f>IF(Tableau1[[#This Row],[Manque (physique)]]&gt;Tableau1[[#This Row],[Manque (digital)]],"POD",IF(Tableau1[[#This Row],[Manque (digital)]]&gt;Tableau1[[#This Row],[Manque (physique)]],"MarketPlace",""))</f>
        <v>MarketPlace</v>
      </c>
      <c r="J860" t="s">
        <v>30</v>
      </c>
      <c r="K860" t="s">
        <v>292</v>
      </c>
      <c r="L860" t="s">
        <v>19</v>
      </c>
      <c r="M860" t="s">
        <v>23</v>
      </c>
      <c r="N860" t="s">
        <v>23</v>
      </c>
      <c r="O860" t="s">
        <v>23</v>
      </c>
      <c r="P860" t="s">
        <v>20</v>
      </c>
      <c r="Q860" t="s">
        <v>1687</v>
      </c>
    </row>
    <row r="861" spans="1:17" hidden="1" x14ac:dyDescent="0.25">
      <c r="A861" t="s">
        <v>1558</v>
      </c>
      <c r="B861" t="s">
        <v>22</v>
      </c>
      <c r="C861" t="s">
        <v>35</v>
      </c>
      <c r="D861" t="s">
        <v>1496</v>
      </c>
      <c r="E861">
        <v>0</v>
      </c>
      <c r="F861">
        <f>MAX(-1,3-Tableau1[[#This Row],[Nb possédé (digital)]])</f>
        <v>3</v>
      </c>
      <c r="G861">
        <v>3</v>
      </c>
      <c r="H861">
        <f>MAX(-1,3-Tableau1[[#This Row],[Possédé (physique)]])</f>
        <v>0</v>
      </c>
      <c r="I861" t="str">
        <f>IF(Tableau1[[#This Row],[Manque (physique)]]&gt;Tableau1[[#This Row],[Manque (digital)]],"POD",IF(Tableau1[[#This Row],[Manque (digital)]]&gt;Tableau1[[#This Row],[Manque (physique)]],"MarketPlace",""))</f>
        <v>MarketPlace</v>
      </c>
      <c r="J861" t="s">
        <v>30</v>
      </c>
      <c r="K861" t="s">
        <v>252</v>
      </c>
      <c r="L861" t="s">
        <v>19</v>
      </c>
      <c r="M861" t="s">
        <v>23</v>
      </c>
      <c r="N861" t="s">
        <v>20</v>
      </c>
      <c r="O861" t="s">
        <v>23</v>
      </c>
      <c r="P861" t="s">
        <v>20</v>
      </c>
      <c r="Q861" t="s">
        <v>1733</v>
      </c>
    </row>
    <row r="862" spans="1:17" hidden="1" x14ac:dyDescent="0.25">
      <c r="A862" t="s">
        <v>1578</v>
      </c>
      <c r="B862" t="s">
        <v>22</v>
      </c>
      <c r="C862" t="s">
        <v>35</v>
      </c>
      <c r="D862" t="s">
        <v>1496</v>
      </c>
      <c r="E862">
        <v>0</v>
      </c>
      <c r="F862">
        <f>MAX(-1,3-Tableau1[[#This Row],[Nb possédé (digital)]])</f>
        <v>3</v>
      </c>
      <c r="G862">
        <v>3</v>
      </c>
      <c r="H862">
        <f>MAX(-1,3-Tableau1[[#This Row],[Possédé (physique)]])</f>
        <v>0</v>
      </c>
      <c r="I862" t="str">
        <f>IF(Tableau1[[#This Row],[Manque (physique)]]&gt;Tableau1[[#This Row],[Manque (digital)]],"POD",IF(Tableau1[[#This Row],[Manque (digital)]]&gt;Tableau1[[#This Row],[Manque (physique)]],"MarketPlace",""))</f>
        <v>MarketPlace</v>
      </c>
      <c r="J862" t="s">
        <v>30</v>
      </c>
      <c r="K862" t="s">
        <v>68</v>
      </c>
      <c r="L862" t="s">
        <v>19</v>
      </c>
      <c r="M862" t="s">
        <v>23</v>
      </c>
      <c r="N862" t="s">
        <v>89</v>
      </c>
      <c r="O862" t="s">
        <v>89</v>
      </c>
      <c r="P862" t="s">
        <v>23</v>
      </c>
      <c r="Q862" t="s">
        <v>1776</v>
      </c>
    </row>
    <row r="863" spans="1:17" hidden="1" x14ac:dyDescent="0.25">
      <c r="A863" t="s">
        <v>1500</v>
      </c>
      <c r="B863" t="s">
        <v>22</v>
      </c>
      <c r="C863" t="s">
        <v>35</v>
      </c>
      <c r="D863" t="s">
        <v>1496</v>
      </c>
      <c r="E863">
        <v>2</v>
      </c>
      <c r="F863">
        <f>MAX(-1,3-Tableau1[[#This Row],[Nb possédé (digital)]])</f>
        <v>1</v>
      </c>
      <c r="G863">
        <v>3</v>
      </c>
      <c r="H863">
        <f>MAX(-1,3-Tableau1[[#This Row],[Possédé (physique)]])</f>
        <v>0</v>
      </c>
      <c r="I863" t="str">
        <f>IF(Tableau1[[#This Row],[Manque (physique)]]&gt;Tableau1[[#This Row],[Manque (digital)]],"POD",IF(Tableau1[[#This Row],[Manque (digital)]]&gt;Tableau1[[#This Row],[Manque (physique)]],"MarketPlace",""))</f>
        <v>MarketPlace</v>
      </c>
      <c r="J863" t="s">
        <v>30</v>
      </c>
      <c r="K863" t="s">
        <v>1606</v>
      </c>
      <c r="L863" t="s">
        <v>19</v>
      </c>
      <c r="M863" t="s">
        <v>52</v>
      </c>
      <c r="N863" t="s">
        <v>19</v>
      </c>
      <c r="O863" t="s">
        <v>19</v>
      </c>
      <c r="P863" t="s">
        <v>23</v>
      </c>
      <c r="Q863" t="s">
        <v>1608</v>
      </c>
    </row>
    <row r="864" spans="1:17" hidden="1" x14ac:dyDescent="0.25">
      <c r="A864" t="s">
        <v>1593</v>
      </c>
      <c r="B864" t="s">
        <v>22</v>
      </c>
      <c r="C864" t="s">
        <v>35</v>
      </c>
      <c r="D864" t="s">
        <v>1496</v>
      </c>
      <c r="E864">
        <v>0</v>
      </c>
      <c r="F864">
        <f>MAX(-1,3-Tableau1[[#This Row],[Nb possédé (digital)]])</f>
        <v>3</v>
      </c>
      <c r="G864">
        <v>3</v>
      </c>
      <c r="H864">
        <f>MAX(-1,3-Tableau1[[#This Row],[Possédé (physique)]])</f>
        <v>0</v>
      </c>
      <c r="I864" t="str">
        <f>IF(Tableau1[[#This Row],[Manque (physique)]]&gt;Tableau1[[#This Row],[Manque (digital)]],"POD",IF(Tableau1[[#This Row],[Manque (digital)]]&gt;Tableau1[[#This Row],[Manque (physique)]],"MarketPlace",""))</f>
        <v>MarketPlace</v>
      </c>
      <c r="J864" t="s">
        <v>30</v>
      </c>
      <c r="K864" t="s">
        <v>83</v>
      </c>
      <c r="L864" t="s">
        <v>19</v>
      </c>
      <c r="M864" t="s">
        <v>52</v>
      </c>
      <c r="N864" t="s">
        <v>89</v>
      </c>
      <c r="O864" t="s">
        <v>23</v>
      </c>
      <c r="P864" t="s">
        <v>23</v>
      </c>
      <c r="Q864" t="s">
        <v>1813</v>
      </c>
    </row>
    <row r="865" spans="1:17" hidden="1" x14ac:dyDescent="0.25">
      <c r="A865" t="s">
        <v>1507</v>
      </c>
      <c r="B865" t="s">
        <v>22</v>
      </c>
      <c r="C865" t="s">
        <v>35</v>
      </c>
      <c r="D865" t="s">
        <v>1496</v>
      </c>
      <c r="E865">
        <v>1</v>
      </c>
      <c r="F865">
        <f>MAX(-1,3-Tableau1[[#This Row],[Nb possédé (digital)]])</f>
        <v>2</v>
      </c>
      <c r="G865">
        <v>3</v>
      </c>
      <c r="H865">
        <f>MAX(-1,3-Tableau1[[#This Row],[Possédé (physique)]])</f>
        <v>0</v>
      </c>
      <c r="I865" t="str">
        <f>IF(Tableau1[[#This Row],[Manque (physique)]]&gt;Tableau1[[#This Row],[Manque (digital)]],"POD",IF(Tableau1[[#This Row],[Manque (digital)]]&gt;Tableau1[[#This Row],[Manque (physique)]],"MarketPlace",""))</f>
        <v>MarketPlace</v>
      </c>
      <c r="J865" t="s">
        <v>30</v>
      </c>
      <c r="K865" t="s">
        <v>1623</v>
      </c>
      <c r="L865" t="s">
        <v>23</v>
      </c>
      <c r="M865" t="s">
        <v>19</v>
      </c>
      <c r="N865" t="s">
        <v>23</v>
      </c>
      <c r="O865" t="s">
        <v>23</v>
      </c>
      <c r="P865" t="s">
        <v>23</v>
      </c>
      <c r="Q865" t="s">
        <v>1625</v>
      </c>
    </row>
    <row r="866" spans="1:17" hidden="1" x14ac:dyDescent="0.25">
      <c r="A866" t="s">
        <v>1531</v>
      </c>
      <c r="B866" t="s">
        <v>22</v>
      </c>
      <c r="C866" t="s">
        <v>35</v>
      </c>
      <c r="D866" t="s">
        <v>1496</v>
      </c>
      <c r="E866">
        <v>1</v>
      </c>
      <c r="F866">
        <f>MAX(-1,3-Tableau1[[#This Row],[Nb possédé (digital)]])</f>
        <v>2</v>
      </c>
      <c r="G866">
        <v>3</v>
      </c>
      <c r="H866">
        <f>MAX(-1,3-Tableau1[[#This Row],[Possédé (physique)]])</f>
        <v>0</v>
      </c>
      <c r="I866" t="str">
        <f>IF(Tableau1[[#This Row],[Manque (physique)]]&gt;Tableau1[[#This Row],[Manque (digital)]],"POD",IF(Tableau1[[#This Row],[Manque (digital)]]&gt;Tableau1[[#This Row],[Manque (physique)]],"MarketPlace",""))</f>
        <v>MarketPlace</v>
      </c>
      <c r="J866" t="s">
        <v>30</v>
      </c>
      <c r="K866" t="s">
        <v>481</v>
      </c>
      <c r="L866" t="s">
        <v>23</v>
      </c>
      <c r="M866" t="s">
        <v>19</v>
      </c>
      <c r="N866" t="s">
        <v>23</v>
      </c>
      <c r="O866" t="s">
        <v>19</v>
      </c>
      <c r="P866" t="s">
        <v>19</v>
      </c>
      <c r="Q866" t="s">
        <v>1675</v>
      </c>
    </row>
    <row r="867" spans="1:17" hidden="1" x14ac:dyDescent="0.25">
      <c r="A867" t="s">
        <v>1495</v>
      </c>
      <c r="B867" t="s">
        <v>22</v>
      </c>
      <c r="C867" t="s">
        <v>35</v>
      </c>
      <c r="D867" t="s">
        <v>1496</v>
      </c>
      <c r="E867">
        <v>2</v>
      </c>
      <c r="F867">
        <f>MAX(-1,3-Tableau1[[#This Row],[Nb possédé (digital)]])</f>
        <v>1</v>
      </c>
      <c r="G867">
        <v>3</v>
      </c>
      <c r="H867">
        <f>MAX(-1,3-Tableau1[[#This Row],[Possédé (physique)]])</f>
        <v>0</v>
      </c>
      <c r="I867" t="str">
        <f>IF(Tableau1[[#This Row],[Manque (physique)]]&gt;Tableau1[[#This Row],[Manque (digital)]],"POD",IF(Tableau1[[#This Row],[Manque (digital)]]&gt;Tableau1[[#This Row],[Manque (physique)]],"MarketPlace",""))</f>
        <v>MarketPlace</v>
      </c>
      <c r="J867" t="s">
        <v>30</v>
      </c>
      <c r="K867" t="s">
        <v>42</v>
      </c>
      <c r="L867" t="s">
        <v>23</v>
      </c>
      <c r="M867" t="s">
        <v>23</v>
      </c>
      <c r="N867" t="s">
        <v>52</v>
      </c>
      <c r="O867" t="s">
        <v>52</v>
      </c>
      <c r="P867" t="s">
        <v>52</v>
      </c>
      <c r="Q867" t="s">
        <v>1596</v>
      </c>
    </row>
    <row r="868" spans="1:17" hidden="1" x14ac:dyDescent="0.25">
      <c r="A868" t="s">
        <v>1514</v>
      </c>
      <c r="B868" t="s">
        <v>22</v>
      </c>
      <c r="C868" t="s">
        <v>35</v>
      </c>
      <c r="D868" t="s">
        <v>1496</v>
      </c>
      <c r="E868">
        <v>1</v>
      </c>
      <c r="F868">
        <f>MAX(-1,3-Tableau1[[#This Row],[Nb possédé (digital)]])</f>
        <v>2</v>
      </c>
      <c r="G868">
        <v>3</v>
      </c>
      <c r="H868">
        <f>MAX(-1,3-Tableau1[[#This Row],[Possédé (physique)]])</f>
        <v>0</v>
      </c>
      <c r="I868" t="str">
        <f>IF(Tableau1[[#This Row],[Manque (physique)]]&gt;Tableau1[[#This Row],[Manque (digital)]],"POD",IF(Tableau1[[#This Row],[Manque (digital)]]&gt;Tableau1[[#This Row],[Manque (physique)]],"MarketPlace",""))</f>
        <v>MarketPlace</v>
      </c>
      <c r="J868" t="s">
        <v>30</v>
      </c>
      <c r="K868" t="s">
        <v>83</v>
      </c>
      <c r="L868" t="s">
        <v>23</v>
      </c>
      <c r="M868" t="s">
        <v>23</v>
      </c>
      <c r="N868" t="s">
        <v>52</v>
      </c>
      <c r="O868" t="s">
        <v>52</v>
      </c>
      <c r="P868" t="s">
        <v>89</v>
      </c>
      <c r="Q868" t="s">
        <v>1638</v>
      </c>
    </row>
    <row r="869" spans="1:17" hidden="1" x14ac:dyDescent="0.25">
      <c r="A869" t="s">
        <v>1518</v>
      </c>
      <c r="B869" t="s">
        <v>22</v>
      </c>
      <c r="C869" t="s">
        <v>35</v>
      </c>
      <c r="D869" t="s">
        <v>1496</v>
      </c>
      <c r="E869">
        <v>0</v>
      </c>
      <c r="F869">
        <f>MAX(-1,3-Tableau1[[#This Row],[Nb possédé (digital)]])</f>
        <v>3</v>
      </c>
      <c r="G869">
        <v>3</v>
      </c>
      <c r="H869">
        <f>MAX(-1,3-Tableau1[[#This Row],[Possédé (physique)]])</f>
        <v>0</v>
      </c>
      <c r="I869" t="str">
        <f>IF(Tableau1[[#This Row],[Manque (physique)]]&gt;Tableau1[[#This Row],[Manque (digital)]],"POD",IF(Tableau1[[#This Row],[Manque (digital)]]&gt;Tableau1[[#This Row],[Manque (physique)]],"MarketPlace",""))</f>
        <v>MarketPlace</v>
      </c>
      <c r="J869" t="s">
        <v>30</v>
      </c>
      <c r="K869" t="s">
        <v>252</v>
      </c>
      <c r="L869" t="s">
        <v>23</v>
      </c>
      <c r="M869" t="s">
        <v>23</v>
      </c>
      <c r="N869" t="s">
        <v>23</v>
      </c>
      <c r="O869" t="s">
        <v>23</v>
      </c>
      <c r="P869" t="s">
        <v>23</v>
      </c>
      <c r="Q869" t="s">
        <v>1645</v>
      </c>
    </row>
    <row r="870" spans="1:17" hidden="1" x14ac:dyDescent="0.25">
      <c r="A870" t="s">
        <v>1525</v>
      </c>
      <c r="B870" t="s">
        <v>22</v>
      </c>
      <c r="C870" t="s">
        <v>35</v>
      </c>
      <c r="D870" t="s">
        <v>1496</v>
      </c>
      <c r="E870">
        <v>1</v>
      </c>
      <c r="F870">
        <f>MAX(-1,3-Tableau1[[#This Row],[Nb possédé (digital)]])</f>
        <v>2</v>
      </c>
      <c r="G870">
        <v>3</v>
      </c>
      <c r="H870">
        <f>MAX(-1,3-Tableau1[[#This Row],[Possédé (physique)]])</f>
        <v>0</v>
      </c>
      <c r="I870" t="str">
        <f>IF(Tableau1[[#This Row],[Manque (physique)]]&gt;Tableau1[[#This Row],[Manque (digital)]],"POD",IF(Tableau1[[#This Row],[Manque (digital)]]&gt;Tableau1[[#This Row],[Manque (physique)]],"MarketPlace",""))</f>
        <v>MarketPlace</v>
      </c>
      <c r="J870" t="s">
        <v>30</v>
      </c>
      <c r="K870" t="s">
        <v>83</v>
      </c>
      <c r="L870" t="s">
        <v>23</v>
      </c>
      <c r="M870" t="s">
        <v>23</v>
      </c>
      <c r="N870" t="s">
        <v>52</v>
      </c>
      <c r="O870" t="s">
        <v>52</v>
      </c>
      <c r="P870" t="s">
        <v>20</v>
      </c>
      <c r="Q870" t="s">
        <v>1661</v>
      </c>
    </row>
    <row r="871" spans="1:17" hidden="1" x14ac:dyDescent="0.25">
      <c r="A871" t="s">
        <v>1535</v>
      </c>
      <c r="B871" t="s">
        <v>22</v>
      </c>
      <c r="C871" t="s">
        <v>35</v>
      </c>
      <c r="D871" t="s">
        <v>1496</v>
      </c>
      <c r="E871">
        <v>0</v>
      </c>
      <c r="F871">
        <f>MAX(-1,3-Tableau1[[#This Row],[Nb possédé (digital)]])</f>
        <v>3</v>
      </c>
      <c r="G871">
        <v>3</v>
      </c>
      <c r="H871">
        <f>MAX(-1,3-Tableau1[[#This Row],[Possédé (physique)]])</f>
        <v>0</v>
      </c>
      <c r="I871" t="str">
        <f>IF(Tableau1[[#This Row],[Manque (physique)]]&gt;Tableau1[[#This Row],[Manque (digital)]],"POD",IF(Tableau1[[#This Row],[Manque (digital)]]&gt;Tableau1[[#This Row],[Manque (physique)]],"MarketPlace",""))</f>
        <v>MarketPlace</v>
      </c>
      <c r="J871" t="s">
        <v>30</v>
      </c>
      <c r="K871" t="s">
        <v>79</v>
      </c>
      <c r="L871" t="s">
        <v>23</v>
      </c>
      <c r="M871" t="s">
        <v>23</v>
      </c>
      <c r="N871" t="s">
        <v>23</v>
      </c>
      <c r="O871" t="s">
        <v>23</v>
      </c>
      <c r="P871" t="s">
        <v>23</v>
      </c>
      <c r="Q871" t="s">
        <v>1682</v>
      </c>
    </row>
    <row r="872" spans="1:17" hidden="1" x14ac:dyDescent="0.25">
      <c r="A872" t="s">
        <v>1550</v>
      </c>
      <c r="B872" t="s">
        <v>22</v>
      </c>
      <c r="C872" t="s">
        <v>35</v>
      </c>
      <c r="D872" t="s">
        <v>1496</v>
      </c>
      <c r="E872">
        <v>1</v>
      </c>
      <c r="F872">
        <f>MAX(-1,3-Tableau1[[#This Row],[Nb possédé (digital)]])</f>
        <v>2</v>
      </c>
      <c r="G872">
        <v>3</v>
      </c>
      <c r="H872">
        <f>MAX(-1,3-Tableau1[[#This Row],[Possédé (physique)]])</f>
        <v>0</v>
      </c>
      <c r="I872" t="str">
        <f>IF(Tableau1[[#This Row],[Manque (physique)]]&gt;Tableau1[[#This Row],[Manque (digital)]],"POD",IF(Tableau1[[#This Row],[Manque (digital)]]&gt;Tableau1[[#This Row],[Manque (physique)]],"MarketPlace",""))</f>
        <v>MarketPlace</v>
      </c>
      <c r="J872" t="s">
        <v>30</v>
      </c>
      <c r="K872" t="s">
        <v>107</v>
      </c>
      <c r="L872" t="s">
        <v>23</v>
      </c>
      <c r="M872" t="s">
        <v>23</v>
      </c>
      <c r="N872" t="s">
        <v>19</v>
      </c>
      <c r="O872" t="s">
        <v>19</v>
      </c>
      <c r="P872" t="s">
        <v>23</v>
      </c>
      <c r="Q872" t="s">
        <v>1714</v>
      </c>
    </row>
    <row r="873" spans="1:17" hidden="1" x14ac:dyDescent="0.25">
      <c r="A873" t="s">
        <v>1584</v>
      </c>
      <c r="B873" t="s">
        <v>22</v>
      </c>
      <c r="C873" t="s">
        <v>35</v>
      </c>
      <c r="D873" t="s">
        <v>1496</v>
      </c>
      <c r="E873">
        <v>2</v>
      </c>
      <c r="F873">
        <f>MAX(-1,3-Tableau1[[#This Row],[Nb possédé (digital)]])</f>
        <v>1</v>
      </c>
      <c r="G873">
        <v>3</v>
      </c>
      <c r="H873">
        <f>MAX(-1,3-Tableau1[[#This Row],[Possédé (physique)]])</f>
        <v>0</v>
      </c>
      <c r="I873" t="str">
        <f>IF(Tableau1[[#This Row],[Manque (physique)]]&gt;Tableau1[[#This Row],[Manque (digital)]],"POD",IF(Tableau1[[#This Row],[Manque (digital)]]&gt;Tableau1[[#This Row],[Manque (physique)]],"MarketPlace",""))</f>
        <v>MarketPlace</v>
      </c>
      <c r="J873" t="s">
        <v>17</v>
      </c>
      <c r="K873" t="s">
        <v>824</v>
      </c>
      <c r="L873" t="s">
        <v>23</v>
      </c>
      <c r="M873" t="s">
        <v>23</v>
      </c>
      <c r="Q873" t="s">
        <v>1792</v>
      </c>
    </row>
    <row r="874" spans="1:17" hidden="1" x14ac:dyDescent="0.25">
      <c r="A874" t="s">
        <v>1573</v>
      </c>
      <c r="B874" t="s">
        <v>22</v>
      </c>
      <c r="C874" t="s">
        <v>35</v>
      </c>
      <c r="D874" t="s">
        <v>1496</v>
      </c>
      <c r="E874">
        <v>3</v>
      </c>
      <c r="F874">
        <f>MAX(-1,3-Tableau1[[#This Row],[Nb possédé (digital)]])</f>
        <v>0</v>
      </c>
      <c r="G874">
        <v>3</v>
      </c>
      <c r="H874">
        <f>MAX(-1,3-Tableau1[[#This Row],[Possédé (physique)]])</f>
        <v>0</v>
      </c>
      <c r="I874" t="str">
        <f>IF(Tableau1[[#This Row],[Manque (physique)]]&gt;Tableau1[[#This Row],[Manque (digital)]],"POD",IF(Tableau1[[#This Row],[Manque (digital)]]&gt;Tableau1[[#This Row],[Manque (physique)]],"MarketPlace",""))</f>
        <v/>
      </c>
      <c r="J874" t="s">
        <v>17</v>
      </c>
      <c r="K874" t="s">
        <v>201</v>
      </c>
      <c r="L874" t="s">
        <v>23</v>
      </c>
      <c r="M874" t="s">
        <v>52</v>
      </c>
      <c r="Q874" t="s">
        <v>1765</v>
      </c>
    </row>
    <row r="875" spans="1:17" hidden="1" x14ac:dyDescent="0.25">
      <c r="A875" t="s">
        <v>1565</v>
      </c>
      <c r="B875" t="s">
        <v>22</v>
      </c>
      <c r="C875" t="s">
        <v>35</v>
      </c>
      <c r="D875" t="s">
        <v>1496</v>
      </c>
      <c r="E875">
        <v>2</v>
      </c>
      <c r="F875">
        <f>MAX(-1,3-Tableau1[[#This Row],[Nb possédé (digital)]])</f>
        <v>1</v>
      </c>
      <c r="G875">
        <v>3</v>
      </c>
      <c r="H875">
        <f>MAX(-1,3-Tableau1[[#This Row],[Possédé (physique)]])</f>
        <v>0</v>
      </c>
      <c r="I875" t="str">
        <f>IF(Tableau1[[#This Row],[Manque (physique)]]&gt;Tableau1[[#This Row],[Manque (digital)]],"POD",IF(Tableau1[[#This Row],[Manque (digital)]]&gt;Tableau1[[#This Row],[Manque (physique)]],"MarketPlace",""))</f>
        <v>MarketPlace</v>
      </c>
      <c r="J875" t="s">
        <v>17</v>
      </c>
      <c r="K875" t="s">
        <v>153</v>
      </c>
      <c r="L875" t="s">
        <v>23</v>
      </c>
      <c r="M875" t="s">
        <v>37</v>
      </c>
      <c r="Q875" t="s">
        <v>1747</v>
      </c>
    </row>
    <row r="876" spans="1:17" hidden="1" x14ac:dyDescent="0.25">
      <c r="A876" t="s">
        <v>1566</v>
      </c>
      <c r="B876" t="s">
        <v>22</v>
      </c>
      <c r="C876" t="s">
        <v>35</v>
      </c>
      <c r="D876" t="s">
        <v>1496</v>
      </c>
      <c r="E876">
        <v>0</v>
      </c>
      <c r="F876">
        <f>MAX(-1,3-Tableau1[[#This Row],[Nb possédé (digital)]])</f>
        <v>3</v>
      </c>
      <c r="G876">
        <v>3</v>
      </c>
      <c r="H876">
        <f>MAX(-1,3-Tableau1[[#This Row],[Possédé (physique)]])</f>
        <v>0</v>
      </c>
      <c r="I876" t="str">
        <f>IF(Tableau1[[#This Row],[Manque (physique)]]&gt;Tableau1[[#This Row],[Manque (digital)]],"POD",IF(Tableau1[[#This Row],[Manque (digital)]]&gt;Tableau1[[#This Row],[Manque (physique)]],"MarketPlace",""))</f>
        <v>MarketPlace</v>
      </c>
      <c r="J876" t="s">
        <v>30</v>
      </c>
      <c r="K876" t="s">
        <v>68</v>
      </c>
      <c r="L876" t="s">
        <v>23</v>
      </c>
      <c r="M876" t="s">
        <v>37</v>
      </c>
      <c r="N876" t="s">
        <v>23</v>
      </c>
      <c r="O876" t="s">
        <v>23</v>
      </c>
      <c r="P876" t="s">
        <v>52</v>
      </c>
      <c r="Q876" t="s">
        <v>1750</v>
      </c>
    </row>
    <row r="877" spans="1:17" x14ac:dyDescent="0.25">
      <c r="A877" t="s">
        <v>1561</v>
      </c>
      <c r="B877" t="s">
        <v>22</v>
      </c>
      <c r="C877" t="s">
        <v>35</v>
      </c>
      <c r="D877" t="s">
        <v>1496</v>
      </c>
      <c r="E877">
        <v>4</v>
      </c>
      <c r="F877">
        <f>MAX(-1,3-Tableau1[[#This Row],[Nb possédé (digital)]])</f>
        <v>-1</v>
      </c>
      <c r="G877">
        <v>4</v>
      </c>
      <c r="H877">
        <f>MAX(-1,3-Tableau1[[#This Row],[Possédé (physique)]])</f>
        <v>-1</v>
      </c>
      <c r="I877" t="str">
        <f>IF(Tableau1[[#This Row],[Manque (physique)]]&gt;Tableau1[[#This Row],[Manque (digital)]],"POD",IF(Tableau1[[#This Row],[Manque (digital)]]&gt;Tableau1[[#This Row],[Manque (physique)]],"MarketPlace",""))</f>
        <v/>
      </c>
      <c r="J877" t="s">
        <v>30</v>
      </c>
      <c r="K877" t="s">
        <v>481</v>
      </c>
      <c r="L877" t="s">
        <v>52</v>
      </c>
      <c r="M877" t="s">
        <v>52</v>
      </c>
      <c r="N877" t="s">
        <v>37</v>
      </c>
      <c r="O877" t="s">
        <v>37</v>
      </c>
      <c r="P877" t="s">
        <v>37</v>
      </c>
      <c r="Q877" t="s">
        <v>1741</v>
      </c>
    </row>
    <row r="878" spans="1:17" hidden="1" x14ac:dyDescent="0.25">
      <c r="A878" t="s">
        <v>1585</v>
      </c>
      <c r="B878" t="s">
        <v>22</v>
      </c>
      <c r="C878" t="s">
        <v>35</v>
      </c>
      <c r="D878" t="s">
        <v>1496</v>
      </c>
      <c r="E878">
        <v>2</v>
      </c>
      <c r="F878">
        <f>MAX(-1,3-Tableau1[[#This Row],[Nb possédé (digital)]])</f>
        <v>1</v>
      </c>
      <c r="G878">
        <v>3</v>
      </c>
      <c r="H878">
        <f>MAX(-1,3-Tableau1[[#This Row],[Possédé (physique)]])</f>
        <v>0</v>
      </c>
      <c r="I878" t="str">
        <f>IF(Tableau1[[#This Row],[Manque (physique)]]&gt;Tableau1[[#This Row],[Manque (digital)]],"POD",IF(Tableau1[[#This Row],[Manque (digital)]]&gt;Tableau1[[#This Row],[Manque (physique)]],"MarketPlace",""))</f>
        <v>MarketPlace</v>
      </c>
      <c r="J878" t="s">
        <v>30</v>
      </c>
      <c r="K878" t="s">
        <v>1793</v>
      </c>
      <c r="L878" t="s">
        <v>37</v>
      </c>
      <c r="M878" t="s">
        <v>52</v>
      </c>
      <c r="N878" t="s">
        <v>52</v>
      </c>
      <c r="O878" t="s">
        <v>52</v>
      </c>
      <c r="P878" t="s">
        <v>52</v>
      </c>
      <c r="Q878" t="s">
        <v>1795</v>
      </c>
    </row>
    <row r="879" spans="1:17" hidden="1" x14ac:dyDescent="0.25">
      <c r="A879" t="s">
        <v>1521</v>
      </c>
      <c r="B879" t="s">
        <v>22</v>
      </c>
      <c r="C879" t="s">
        <v>35</v>
      </c>
      <c r="D879" t="s">
        <v>1496</v>
      </c>
      <c r="E879">
        <v>1</v>
      </c>
      <c r="F879">
        <f>MAX(-1,3-Tableau1[[#This Row],[Nb possédé (digital)]])</f>
        <v>2</v>
      </c>
      <c r="G879">
        <v>3</v>
      </c>
      <c r="H879">
        <f>MAX(-1,3-Tableau1[[#This Row],[Possédé (physique)]])</f>
        <v>0</v>
      </c>
      <c r="I879" t="str">
        <f>IF(Tableau1[[#This Row],[Manque (physique)]]&gt;Tableau1[[#This Row],[Manque (digital)]],"POD",IF(Tableau1[[#This Row],[Manque (digital)]]&gt;Tableau1[[#This Row],[Manque (physique)]],"MarketPlace",""))</f>
        <v>MarketPlace</v>
      </c>
      <c r="J879" t="s">
        <v>30</v>
      </c>
      <c r="K879" t="s">
        <v>72</v>
      </c>
      <c r="L879" t="s">
        <v>37</v>
      </c>
      <c r="M879" t="s">
        <v>37</v>
      </c>
      <c r="N879" t="s">
        <v>23</v>
      </c>
      <c r="O879" t="s">
        <v>23</v>
      </c>
      <c r="P879" t="s">
        <v>23</v>
      </c>
      <c r="Q879" t="s">
        <v>1652</v>
      </c>
    </row>
    <row r="880" spans="1:17" hidden="1" x14ac:dyDescent="0.25">
      <c r="A880" t="s">
        <v>1511</v>
      </c>
      <c r="B880" t="s">
        <v>22</v>
      </c>
      <c r="C880" t="s">
        <v>35</v>
      </c>
      <c r="D880" t="s">
        <v>1496</v>
      </c>
      <c r="E880">
        <v>1</v>
      </c>
      <c r="F880">
        <f>MAX(-1,3-Tableau1[[#This Row],[Nb possédé (digital)]])</f>
        <v>2</v>
      </c>
      <c r="G880">
        <v>3</v>
      </c>
      <c r="H880">
        <f>MAX(-1,3-Tableau1[[#This Row],[Possédé (physique)]])</f>
        <v>0</v>
      </c>
      <c r="I880" t="str">
        <f>IF(Tableau1[[#This Row],[Manque (physique)]]&gt;Tableau1[[#This Row],[Manque (digital)]],"POD",IF(Tableau1[[#This Row],[Manque (digital)]]&gt;Tableau1[[#This Row],[Manque (physique)]],"MarketPlace",""))</f>
        <v>MarketPlace</v>
      </c>
      <c r="J880" t="s">
        <v>30</v>
      </c>
      <c r="K880" t="s">
        <v>171</v>
      </c>
      <c r="L880" t="s">
        <v>39</v>
      </c>
      <c r="M880" t="s">
        <v>39</v>
      </c>
      <c r="N880" t="s">
        <v>39</v>
      </c>
      <c r="O880" t="s">
        <v>39</v>
      </c>
      <c r="P880" t="s">
        <v>39</v>
      </c>
      <c r="Q880" t="s">
        <v>1633</v>
      </c>
    </row>
    <row r="881" spans="1:17" hidden="1" x14ac:dyDescent="0.25">
      <c r="A881" t="s">
        <v>469</v>
      </c>
      <c r="B881" t="s">
        <v>22</v>
      </c>
      <c r="C881" t="s">
        <v>35</v>
      </c>
      <c r="D881" t="s">
        <v>29</v>
      </c>
      <c r="E881">
        <v>3</v>
      </c>
      <c r="F881">
        <f>MAX(-1,3-Tableau1[[#This Row],[Nb possédé (digital)]])</f>
        <v>0</v>
      </c>
      <c r="G881">
        <v>3</v>
      </c>
      <c r="H881">
        <f>MAX(-1,3-Tableau1[[#This Row],[Possédé (physique)]])</f>
        <v>0</v>
      </c>
      <c r="I881" t="str">
        <f>IF(Tableau1[[#This Row],[Manque (physique)]]&gt;Tableau1[[#This Row],[Manque (digital)]],"POD",IF(Tableau1[[#This Row],[Manque (digital)]]&gt;Tableau1[[#This Row],[Manque (physique)]],"MarketPlace",""))</f>
        <v/>
      </c>
      <c r="J881" t="s">
        <v>30</v>
      </c>
      <c r="K881" t="s">
        <v>179</v>
      </c>
      <c r="L881" t="s">
        <v>20</v>
      </c>
      <c r="M881" t="s">
        <v>20</v>
      </c>
      <c r="N881" t="s">
        <v>19</v>
      </c>
      <c r="O881" t="s">
        <v>89</v>
      </c>
      <c r="P881" t="s">
        <v>89</v>
      </c>
      <c r="Q881" t="s">
        <v>470</v>
      </c>
    </row>
    <row r="882" spans="1:17" x14ac:dyDescent="0.25">
      <c r="A882" t="s">
        <v>718</v>
      </c>
      <c r="B882" t="s">
        <v>22</v>
      </c>
      <c r="C882" t="s">
        <v>35</v>
      </c>
      <c r="D882" t="s">
        <v>29</v>
      </c>
      <c r="E882">
        <v>4</v>
      </c>
      <c r="F882">
        <f>MAX(-1,3-Tableau1[[#This Row],[Nb possédé (digital)]])</f>
        <v>-1</v>
      </c>
      <c r="G882">
        <v>3</v>
      </c>
      <c r="H882">
        <f>MAX(-1,3-Tableau1[[#This Row],[Possédé (physique)]])</f>
        <v>0</v>
      </c>
      <c r="I882" t="str">
        <f>IF(Tableau1[[#This Row],[Manque (physique)]]&gt;Tableau1[[#This Row],[Manque (digital)]],"POD",IF(Tableau1[[#This Row],[Manque (digital)]]&gt;Tableau1[[#This Row],[Manque (physique)]],"MarketPlace",""))</f>
        <v>POD</v>
      </c>
      <c r="J882" t="s">
        <v>116</v>
      </c>
      <c r="K882" t="s">
        <v>117</v>
      </c>
      <c r="L882" t="s">
        <v>20</v>
      </c>
      <c r="M882" t="s">
        <v>20</v>
      </c>
      <c r="Q882" t="s">
        <v>720</v>
      </c>
    </row>
    <row r="883" spans="1:17" hidden="1" x14ac:dyDescent="0.25">
      <c r="A883" t="s">
        <v>945</v>
      </c>
      <c r="B883" t="s">
        <v>22</v>
      </c>
      <c r="C883" t="s">
        <v>35</v>
      </c>
      <c r="D883" t="s">
        <v>29</v>
      </c>
      <c r="E883">
        <v>3</v>
      </c>
      <c r="F883">
        <f>MAX(-1,3-Tableau1[[#This Row],[Nb possédé (digital)]])</f>
        <v>0</v>
      </c>
      <c r="G883">
        <v>3</v>
      </c>
      <c r="H883">
        <f>MAX(-1,3-Tableau1[[#This Row],[Possédé (physique)]])</f>
        <v>0</v>
      </c>
      <c r="I883" t="str">
        <f>IF(Tableau1[[#This Row],[Manque (physique)]]&gt;Tableau1[[#This Row],[Manque (digital)]],"POD",IF(Tableau1[[#This Row],[Manque (digital)]]&gt;Tableau1[[#This Row],[Manque (physique)]],"MarketPlace",""))</f>
        <v/>
      </c>
      <c r="J883" t="s">
        <v>30</v>
      </c>
      <c r="K883" t="s">
        <v>79</v>
      </c>
      <c r="L883" t="s">
        <v>20</v>
      </c>
      <c r="M883" t="s">
        <v>20</v>
      </c>
      <c r="N883" t="s">
        <v>89</v>
      </c>
      <c r="O883" t="s">
        <v>20</v>
      </c>
      <c r="P883" t="s">
        <v>20</v>
      </c>
      <c r="Q883" t="s">
        <v>946</v>
      </c>
    </row>
    <row r="884" spans="1:17" hidden="1" x14ac:dyDescent="0.25">
      <c r="A884" t="s">
        <v>1039</v>
      </c>
      <c r="B884" t="s">
        <v>22</v>
      </c>
      <c r="C884" t="s">
        <v>35</v>
      </c>
      <c r="D884" t="s">
        <v>29</v>
      </c>
      <c r="E884">
        <v>3</v>
      </c>
      <c r="F884">
        <f>MAX(-1,3-Tableau1[[#This Row],[Nb possédé (digital)]])</f>
        <v>0</v>
      </c>
      <c r="G884">
        <v>3</v>
      </c>
      <c r="H884">
        <f>MAX(-1,3-Tableau1[[#This Row],[Possédé (physique)]])</f>
        <v>0</v>
      </c>
      <c r="I884" t="str">
        <f>IF(Tableau1[[#This Row],[Manque (physique)]]&gt;Tableau1[[#This Row],[Manque (digital)]],"POD",IF(Tableau1[[#This Row],[Manque (digital)]]&gt;Tableau1[[#This Row],[Manque (physique)]],"MarketPlace",""))</f>
        <v/>
      </c>
      <c r="J884" t="s">
        <v>17</v>
      </c>
      <c r="K884" t="s">
        <v>18</v>
      </c>
      <c r="L884" t="s">
        <v>20</v>
      </c>
      <c r="M884" t="s">
        <v>19</v>
      </c>
      <c r="Q884" t="s">
        <v>1041</v>
      </c>
    </row>
    <row r="885" spans="1:17" hidden="1" x14ac:dyDescent="0.25">
      <c r="A885" t="s">
        <v>572</v>
      </c>
      <c r="B885" t="s">
        <v>22</v>
      </c>
      <c r="C885" t="s">
        <v>35</v>
      </c>
      <c r="D885" t="s">
        <v>29</v>
      </c>
      <c r="E885">
        <v>3</v>
      </c>
      <c r="F885">
        <f>MAX(-1,3-Tableau1[[#This Row],[Nb possédé (digital)]])</f>
        <v>0</v>
      </c>
      <c r="G885">
        <v>3</v>
      </c>
      <c r="H885">
        <f>MAX(-1,3-Tableau1[[#This Row],[Possédé (physique)]])</f>
        <v>0</v>
      </c>
      <c r="I885" t="str">
        <f>IF(Tableau1[[#This Row],[Manque (physique)]]&gt;Tableau1[[#This Row],[Manque (digital)]],"POD",IF(Tableau1[[#This Row],[Manque (digital)]]&gt;Tableau1[[#This Row],[Manque (physique)]],"MarketPlace",""))</f>
        <v/>
      </c>
      <c r="J885" t="s">
        <v>17</v>
      </c>
      <c r="K885" t="s">
        <v>18</v>
      </c>
      <c r="L885" t="s">
        <v>20</v>
      </c>
      <c r="M885" t="s">
        <v>23</v>
      </c>
      <c r="Q885" t="s">
        <v>574</v>
      </c>
    </row>
    <row r="886" spans="1:17" x14ac:dyDescent="0.25">
      <c r="A886" t="s">
        <v>867</v>
      </c>
      <c r="B886" t="s">
        <v>22</v>
      </c>
      <c r="C886" t="s">
        <v>35</v>
      </c>
      <c r="D886" t="s">
        <v>29</v>
      </c>
      <c r="E886">
        <v>4</v>
      </c>
      <c r="F886">
        <f>MAX(-1,3-Tableau1[[#This Row],[Nb possédé (digital)]])</f>
        <v>-1</v>
      </c>
      <c r="G886">
        <v>2</v>
      </c>
      <c r="H886">
        <f>MAX(-1,3-Tableau1[[#This Row],[Possédé (physique)]])</f>
        <v>1</v>
      </c>
      <c r="I886" t="str">
        <f>IF(Tableau1[[#This Row],[Manque (physique)]]&gt;Tableau1[[#This Row],[Manque (digital)]],"POD",IF(Tableau1[[#This Row],[Manque (digital)]]&gt;Tableau1[[#This Row],[Manque (physique)]],"MarketPlace",""))</f>
        <v>POD</v>
      </c>
      <c r="J886" t="s">
        <v>30</v>
      </c>
      <c r="K886" t="s">
        <v>868</v>
      </c>
      <c r="L886" t="s">
        <v>20</v>
      </c>
      <c r="M886" t="s">
        <v>23</v>
      </c>
      <c r="N886" t="s">
        <v>20</v>
      </c>
      <c r="O886" t="s">
        <v>20</v>
      </c>
      <c r="P886" t="s">
        <v>20</v>
      </c>
      <c r="Q886" t="s">
        <v>870</v>
      </c>
    </row>
    <row r="887" spans="1:17" hidden="1" x14ac:dyDescent="0.25">
      <c r="A887" t="s">
        <v>441</v>
      </c>
      <c r="B887" t="s">
        <v>22</v>
      </c>
      <c r="C887" t="s">
        <v>35</v>
      </c>
      <c r="D887" t="s">
        <v>29</v>
      </c>
      <c r="E887">
        <v>3</v>
      </c>
      <c r="F887">
        <f>MAX(-1,3-Tableau1[[#This Row],[Nb possédé (digital)]])</f>
        <v>0</v>
      </c>
      <c r="G887">
        <v>3</v>
      </c>
      <c r="H887">
        <f>MAX(-1,3-Tableau1[[#This Row],[Possédé (physique)]])</f>
        <v>0</v>
      </c>
      <c r="I887" t="str">
        <f>IF(Tableau1[[#This Row],[Manque (physique)]]&gt;Tableau1[[#This Row],[Manque (digital)]],"POD",IF(Tableau1[[#This Row],[Manque (digital)]]&gt;Tableau1[[#This Row],[Manque (physique)]],"MarketPlace",""))</f>
        <v/>
      </c>
      <c r="J887" t="s">
        <v>30</v>
      </c>
      <c r="K887" t="s">
        <v>171</v>
      </c>
      <c r="L887" t="s">
        <v>19</v>
      </c>
      <c r="M887" t="s">
        <v>20</v>
      </c>
      <c r="N887" t="s">
        <v>20</v>
      </c>
      <c r="O887" t="s">
        <v>20</v>
      </c>
      <c r="P887" t="s">
        <v>89</v>
      </c>
      <c r="Q887" t="s">
        <v>442</v>
      </c>
    </row>
    <row r="888" spans="1:17" hidden="1" x14ac:dyDescent="0.25">
      <c r="A888" t="s">
        <v>883</v>
      </c>
      <c r="B888" t="s">
        <v>22</v>
      </c>
      <c r="C888" t="s">
        <v>35</v>
      </c>
      <c r="D888" t="s">
        <v>29</v>
      </c>
      <c r="E888">
        <v>3</v>
      </c>
      <c r="F888">
        <f>MAX(-1,3-Tableau1[[#This Row],[Nb possédé (digital)]])</f>
        <v>0</v>
      </c>
      <c r="G888">
        <v>3</v>
      </c>
      <c r="H888">
        <f>MAX(-1,3-Tableau1[[#This Row],[Possédé (physique)]])</f>
        <v>0</v>
      </c>
      <c r="I888" t="str">
        <f>IF(Tableau1[[#This Row],[Manque (physique)]]&gt;Tableau1[[#This Row],[Manque (digital)]],"POD",IF(Tableau1[[#This Row],[Manque (digital)]]&gt;Tableau1[[#This Row],[Manque (physique)]],"MarketPlace",""))</f>
        <v/>
      </c>
      <c r="J888" t="s">
        <v>17</v>
      </c>
      <c r="K888" t="s">
        <v>97</v>
      </c>
      <c r="L888" t="s">
        <v>19</v>
      </c>
      <c r="M888" t="s">
        <v>20</v>
      </c>
      <c r="Q888" t="s">
        <v>885</v>
      </c>
    </row>
    <row r="889" spans="1:17" hidden="1" x14ac:dyDescent="0.25">
      <c r="A889" t="s">
        <v>188</v>
      </c>
      <c r="B889" t="s">
        <v>22</v>
      </c>
      <c r="C889" t="s">
        <v>35</v>
      </c>
      <c r="D889" t="s">
        <v>29</v>
      </c>
      <c r="E889">
        <v>3</v>
      </c>
      <c r="F889">
        <f>MAX(-1,3-Tableau1[[#This Row],[Nb possédé (digital)]])</f>
        <v>0</v>
      </c>
      <c r="G889">
        <v>3</v>
      </c>
      <c r="H889">
        <f>MAX(-1,3-Tableau1[[#This Row],[Possédé (physique)]])</f>
        <v>0</v>
      </c>
      <c r="I889" t="str">
        <f>IF(Tableau1[[#This Row],[Manque (physique)]]&gt;Tableau1[[#This Row],[Manque (digital)]],"POD",IF(Tableau1[[#This Row],[Manque (digital)]]&gt;Tableau1[[#This Row],[Manque (physique)]],"MarketPlace",""))</f>
        <v/>
      </c>
      <c r="J889" t="s">
        <v>17</v>
      </c>
      <c r="K889" t="s">
        <v>189</v>
      </c>
      <c r="L889" t="s">
        <v>19</v>
      </c>
      <c r="M889" t="s">
        <v>19</v>
      </c>
      <c r="Q889" t="s">
        <v>191</v>
      </c>
    </row>
    <row r="890" spans="1:17" hidden="1" x14ac:dyDescent="0.25">
      <c r="A890" t="s">
        <v>294</v>
      </c>
      <c r="B890" t="s">
        <v>22</v>
      </c>
      <c r="C890" t="s">
        <v>35</v>
      </c>
      <c r="D890" t="s">
        <v>29</v>
      </c>
      <c r="E890">
        <v>3</v>
      </c>
      <c r="F890">
        <f>MAX(-1,3-Tableau1[[#This Row],[Nb possédé (digital)]])</f>
        <v>0</v>
      </c>
      <c r="G890">
        <v>3</v>
      </c>
      <c r="H890">
        <f>MAX(-1,3-Tableau1[[#This Row],[Possédé (physique)]])</f>
        <v>0</v>
      </c>
      <c r="I890" t="str">
        <f>IF(Tableau1[[#This Row],[Manque (physique)]]&gt;Tableau1[[#This Row],[Manque (digital)]],"POD",IF(Tableau1[[#This Row],[Manque (digital)]]&gt;Tableau1[[#This Row],[Manque (physique)]],"MarketPlace",""))</f>
        <v/>
      </c>
      <c r="J890" t="s">
        <v>30</v>
      </c>
      <c r="K890" t="s">
        <v>79</v>
      </c>
      <c r="L890" t="s">
        <v>19</v>
      </c>
      <c r="M890" t="s">
        <v>19</v>
      </c>
      <c r="N890" t="s">
        <v>19</v>
      </c>
      <c r="O890" t="s">
        <v>20</v>
      </c>
      <c r="P890" t="s">
        <v>20</v>
      </c>
      <c r="Q890" t="s">
        <v>296</v>
      </c>
    </row>
    <row r="891" spans="1:17" hidden="1" x14ac:dyDescent="0.25">
      <c r="A891" t="s">
        <v>324</v>
      </c>
      <c r="B891" t="s">
        <v>22</v>
      </c>
      <c r="C891" t="s">
        <v>35</v>
      </c>
      <c r="D891" t="s">
        <v>29</v>
      </c>
      <c r="E891">
        <v>3</v>
      </c>
      <c r="F891">
        <f>MAX(-1,3-Tableau1[[#This Row],[Nb possédé (digital)]])</f>
        <v>0</v>
      </c>
      <c r="G891">
        <v>3</v>
      </c>
      <c r="H891">
        <f>MAX(-1,3-Tableau1[[#This Row],[Possédé (physique)]])</f>
        <v>0</v>
      </c>
      <c r="I891" t="str">
        <f>IF(Tableau1[[#This Row],[Manque (physique)]]&gt;Tableau1[[#This Row],[Manque (digital)]],"POD",IF(Tableau1[[#This Row],[Manque (digital)]]&gt;Tableau1[[#This Row],[Manque (physique)]],"MarketPlace",""))</f>
        <v/>
      </c>
      <c r="J891" t="s">
        <v>17</v>
      </c>
      <c r="K891" t="s">
        <v>18</v>
      </c>
      <c r="L891" t="s">
        <v>19</v>
      </c>
      <c r="M891" t="s">
        <v>19</v>
      </c>
      <c r="Q891" t="s">
        <v>326</v>
      </c>
    </row>
    <row r="892" spans="1:17" hidden="1" x14ac:dyDescent="0.25">
      <c r="A892" t="s">
        <v>361</v>
      </c>
      <c r="B892" t="s">
        <v>22</v>
      </c>
      <c r="C892" t="s">
        <v>35</v>
      </c>
      <c r="D892" t="s">
        <v>29</v>
      </c>
      <c r="E892">
        <v>3</v>
      </c>
      <c r="F892">
        <f>MAX(-1,3-Tableau1[[#This Row],[Nb possédé (digital)]])</f>
        <v>0</v>
      </c>
      <c r="G892">
        <v>3</v>
      </c>
      <c r="H892">
        <f>MAX(-1,3-Tableau1[[#This Row],[Possédé (physique)]])</f>
        <v>0</v>
      </c>
      <c r="I892" t="str">
        <f>IF(Tableau1[[#This Row],[Manque (physique)]]&gt;Tableau1[[#This Row],[Manque (digital)]],"POD",IF(Tableau1[[#This Row],[Manque (digital)]]&gt;Tableau1[[#This Row],[Manque (physique)]],"MarketPlace",""))</f>
        <v/>
      </c>
      <c r="J892" t="s">
        <v>17</v>
      </c>
      <c r="K892" t="s">
        <v>153</v>
      </c>
      <c r="L892" t="s">
        <v>19</v>
      </c>
      <c r="M892" t="s">
        <v>19</v>
      </c>
      <c r="Q892" t="s">
        <v>363</v>
      </c>
    </row>
    <row r="893" spans="1:17" hidden="1" x14ac:dyDescent="0.25">
      <c r="A893" t="s">
        <v>701</v>
      </c>
      <c r="B893" t="s">
        <v>22</v>
      </c>
      <c r="C893" t="s">
        <v>35</v>
      </c>
      <c r="D893" t="s">
        <v>29</v>
      </c>
      <c r="E893">
        <v>3</v>
      </c>
      <c r="F893">
        <f>MAX(-1,3-Tableau1[[#This Row],[Nb possédé (digital)]])</f>
        <v>0</v>
      </c>
      <c r="G893">
        <v>2</v>
      </c>
      <c r="H893">
        <f>MAX(-1,3-Tableau1[[#This Row],[Possédé (physique)]])</f>
        <v>1</v>
      </c>
      <c r="I893" t="str">
        <f>IF(Tableau1[[#This Row],[Manque (physique)]]&gt;Tableau1[[#This Row],[Manque (digital)]],"POD",IF(Tableau1[[#This Row],[Manque (digital)]]&gt;Tableau1[[#This Row],[Manque (physique)]],"MarketPlace",""))</f>
        <v>POD</v>
      </c>
      <c r="J893" t="s">
        <v>268</v>
      </c>
      <c r="K893" t="s">
        <v>438</v>
      </c>
      <c r="L893" t="s">
        <v>19</v>
      </c>
      <c r="M893" t="s">
        <v>19</v>
      </c>
      <c r="Q893" t="s">
        <v>703</v>
      </c>
    </row>
    <row r="894" spans="1:17" hidden="1" x14ac:dyDescent="0.25">
      <c r="A894" t="s">
        <v>726</v>
      </c>
      <c r="B894" t="s">
        <v>22</v>
      </c>
      <c r="C894" t="s">
        <v>35</v>
      </c>
      <c r="D894" t="s">
        <v>29</v>
      </c>
      <c r="E894">
        <v>3</v>
      </c>
      <c r="F894">
        <f>MAX(-1,3-Tableau1[[#This Row],[Nb possédé (digital)]])</f>
        <v>0</v>
      </c>
      <c r="G894">
        <v>3</v>
      </c>
      <c r="H894">
        <f>MAX(-1,3-Tableau1[[#This Row],[Possédé (physique)]])</f>
        <v>0</v>
      </c>
      <c r="I894" t="str">
        <f>IF(Tableau1[[#This Row],[Manque (physique)]]&gt;Tableau1[[#This Row],[Manque (digital)]],"POD",IF(Tableau1[[#This Row],[Manque (digital)]]&gt;Tableau1[[#This Row],[Manque (physique)]],"MarketPlace",""))</f>
        <v/>
      </c>
      <c r="J894" t="s">
        <v>268</v>
      </c>
      <c r="K894" t="s">
        <v>269</v>
      </c>
      <c r="L894" t="s">
        <v>19</v>
      </c>
      <c r="M894" t="s">
        <v>19</v>
      </c>
      <c r="Q894" t="s">
        <v>728</v>
      </c>
    </row>
    <row r="895" spans="1:17" hidden="1" x14ac:dyDescent="0.25">
      <c r="A895" t="s">
        <v>746</v>
      </c>
      <c r="B895" t="s">
        <v>22</v>
      </c>
      <c r="C895" t="s">
        <v>35</v>
      </c>
      <c r="D895" t="s">
        <v>29</v>
      </c>
      <c r="E895">
        <v>3</v>
      </c>
      <c r="F895">
        <f>MAX(-1,3-Tableau1[[#This Row],[Nb possédé (digital)]])</f>
        <v>0</v>
      </c>
      <c r="G895">
        <v>3</v>
      </c>
      <c r="H895">
        <f>MAX(-1,3-Tableau1[[#This Row],[Possédé (physique)]])</f>
        <v>0</v>
      </c>
      <c r="I895" t="str">
        <f>IF(Tableau1[[#This Row],[Manque (physique)]]&gt;Tableau1[[#This Row],[Manque (digital)]],"POD",IF(Tableau1[[#This Row],[Manque (digital)]]&gt;Tableau1[[#This Row],[Manque (physique)]],"MarketPlace",""))</f>
        <v/>
      </c>
      <c r="J895" t="s">
        <v>30</v>
      </c>
      <c r="K895" t="s">
        <v>42</v>
      </c>
      <c r="L895" t="s">
        <v>19</v>
      </c>
      <c r="M895" t="s">
        <v>19</v>
      </c>
      <c r="N895" t="s">
        <v>20</v>
      </c>
      <c r="O895" t="s">
        <v>19</v>
      </c>
      <c r="P895" t="s">
        <v>19</v>
      </c>
      <c r="Q895" t="s">
        <v>747</v>
      </c>
    </row>
    <row r="896" spans="1:17" hidden="1" x14ac:dyDescent="0.25">
      <c r="A896" t="s">
        <v>819</v>
      </c>
      <c r="B896" t="s">
        <v>22</v>
      </c>
      <c r="C896" t="s">
        <v>35</v>
      </c>
      <c r="D896" t="s">
        <v>29</v>
      </c>
      <c r="E896">
        <v>3</v>
      </c>
      <c r="F896">
        <f>MAX(-1,3-Tableau1[[#This Row],[Nb possédé (digital)]])</f>
        <v>0</v>
      </c>
      <c r="G896">
        <v>3</v>
      </c>
      <c r="H896">
        <f>MAX(-1,3-Tableau1[[#This Row],[Possédé (physique)]])</f>
        <v>0</v>
      </c>
      <c r="I896" t="str">
        <f>IF(Tableau1[[#This Row],[Manque (physique)]]&gt;Tableau1[[#This Row],[Manque (digital)]],"POD",IF(Tableau1[[#This Row],[Manque (digital)]]&gt;Tableau1[[#This Row],[Manque (physique)]],"MarketPlace",""))</f>
        <v/>
      </c>
      <c r="J896" t="s">
        <v>17</v>
      </c>
      <c r="K896" t="s">
        <v>97</v>
      </c>
      <c r="L896" t="s">
        <v>19</v>
      </c>
      <c r="M896" t="s">
        <v>19</v>
      </c>
      <c r="Q896" t="s">
        <v>821</v>
      </c>
    </row>
    <row r="897" spans="1:17" hidden="1" x14ac:dyDescent="0.25">
      <c r="A897" t="s">
        <v>857</v>
      </c>
      <c r="B897" t="s">
        <v>22</v>
      </c>
      <c r="C897" t="s">
        <v>35</v>
      </c>
      <c r="D897" t="s">
        <v>29</v>
      </c>
      <c r="E897">
        <v>3</v>
      </c>
      <c r="F897">
        <f>MAX(-1,3-Tableau1[[#This Row],[Nb possédé (digital)]])</f>
        <v>0</v>
      </c>
      <c r="G897">
        <v>3</v>
      </c>
      <c r="H897">
        <f>MAX(-1,3-Tableau1[[#This Row],[Possédé (physique)]])</f>
        <v>0</v>
      </c>
      <c r="I897" t="str">
        <f>IF(Tableau1[[#This Row],[Manque (physique)]]&gt;Tableau1[[#This Row],[Manque (digital)]],"POD",IF(Tableau1[[#This Row],[Manque (digital)]]&gt;Tableau1[[#This Row],[Manque (physique)]],"MarketPlace",""))</f>
        <v/>
      </c>
      <c r="J897" t="s">
        <v>30</v>
      </c>
      <c r="K897" t="s">
        <v>83</v>
      </c>
      <c r="L897" t="s">
        <v>19</v>
      </c>
      <c r="M897" t="s">
        <v>23</v>
      </c>
      <c r="N897" t="s">
        <v>20</v>
      </c>
      <c r="O897" t="s">
        <v>20</v>
      </c>
      <c r="P897" t="s">
        <v>20</v>
      </c>
      <c r="Q897" t="s">
        <v>859</v>
      </c>
    </row>
    <row r="898" spans="1:17" hidden="1" x14ac:dyDescent="0.25">
      <c r="A898" t="s">
        <v>892</v>
      </c>
      <c r="B898" t="s">
        <v>22</v>
      </c>
      <c r="C898" t="s">
        <v>35</v>
      </c>
      <c r="D898" t="s">
        <v>29</v>
      </c>
      <c r="E898">
        <v>0</v>
      </c>
      <c r="F898">
        <f>MAX(-1,3-Tableau1[[#This Row],[Nb possédé (digital)]])</f>
        <v>3</v>
      </c>
      <c r="G898">
        <v>3</v>
      </c>
      <c r="H898">
        <f>MAX(-1,3-Tableau1[[#This Row],[Possédé (physique)]])</f>
        <v>0</v>
      </c>
      <c r="I898" t="str">
        <f>IF(Tableau1[[#This Row],[Manque (physique)]]&gt;Tableau1[[#This Row],[Manque (digital)]],"POD",IF(Tableau1[[#This Row],[Manque (digital)]]&gt;Tableau1[[#This Row],[Manque (physique)]],"MarketPlace",""))</f>
        <v>MarketPlace</v>
      </c>
      <c r="J898" t="s">
        <v>30</v>
      </c>
      <c r="K898" t="s">
        <v>83</v>
      </c>
      <c r="L898" t="s">
        <v>19</v>
      </c>
      <c r="M898" t="s">
        <v>23</v>
      </c>
      <c r="N898" t="s">
        <v>20</v>
      </c>
      <c r="O898" t="s">
        <v>19</v>
      </c>
      <c r="P898" t="s">
        <v>20</v>
      </c>
      <c r="Q898" t="s">
        <v>894</v>
      </c>
    </row>
    <row r="899" spans="1:17" hidden="1" x14ac:dyDescent="0.25">
      <c r="A899" t="s">
        <v>430</v>
      </c>
      <c r="B899" t="s">
        <v>22</v>
      </c>
      <c r="C899" t="s">
        <v>35</v>
      </c>
      <c r="D899" t="s">
        <v>29</v>
      </c>
      <c r="E899">
        <v>0</v>
      </c>
      <c r="F899">
        <f>MAX(-1,3-Tableau1[[#This Row],[Nb possédé (digital)]])</f>
        <v>3</v>
      </c>
      <c r="G899">
        <v>3</v>
      </c>
      <c r="H899">
        <f>MAX(-1,3-Tableau1[[#This Row],[Possédé (physique)]])</f>
        <v>0</v>
      </c>
      <c r="I899" t="str">
        <f>IF(Tableau1[[#This Row],[Manque (physique)]]&gt;Tableau1[[#This Row],[Manque (digital)]],"POD",IF(Tableau1[[#This Row],[Manque (digital)]]&gt;Tableau1[[#This Row],[Manque (physique)]],"MarketPlace",""))</f>
        <v>MarketPlace</v>
      </c>
      <c r="J899" t="s">
        <v>30</v>
      </c>
      <c r="K899" t="s">
        <v>68</v>
      </c>
      <c r="L899" t="s">
        <v>19</v>
      </c>
      <c r="M899" t="s">
        <v>52</v>
      </c>
      <c r="N899" t="s">
        <v>20</v>
      </c>
      <c r="O899" t="s">
        <v>20</v>
      </c>
      <c r="P899" t="s">
        <v>23</v>
      </c>
      <c r="Q899" t="s">
        <v>433</v>
      </c>
    </row>
    <row r="900" spans="1:17" hidden="1" x14ac:dyDescent="0.25">
      <c r="A900" t="s">
        <v>498</v>
      </c>
      <c r="B900" t="s">
        <v>22</v>
      </c>
      <c r="C900" t="s">
        <v>35</v>
      </c>
      <c r="D900" t="s">
        <v>29</v>
      </c>
      <c r="E900">
        <v>2</v>
      </c>
      <c r="F900">
        <f>MAX(-1,3-Tableau1[[#This Row],[Nb possédé (digital)]])</f>
        <v>1</v>
      </c>
      <c r="G900">
        <v>3</v>
      </c>
      <c r="H900">
        <f>MAX(-1,3-Tableau1[[#This Row],[Possédé (physique)]])</f>
        <v>0</v>
      </c>
      <c r="I900" t="str">
        <f>IF(Tableau1[[#This Row],[Manque (physique)]]&gt;Tableau1[[#This Row],[Manque (digital)]],"POD",IF(Tableau1[[#This Row],[Manque (digital)]]&gt;Tableau1[[#This Row],[Manque (physique)]],"MarketPlace",""))</f>
        <v>MarketPlace</v>
      </c>
      <c r="J900" t="s">
        <v>30</v>
      </c>
      <c r="K900" t="s">
        <v>42</v>
      </c>
      <c r="L900" t="s">
        <v>23</v>
      </c>
      <c r="M900" t="s">
        <v>19</v>
      </c>
      <c r="N900" t="s">
        <v>19</v>
      </c>
      <c r="O900" t="s">
        <v>19</v>
      </c>
      <c r="P900" t="s">
        <v>19</v>
      </c>
      <c r="Q900" t="s">
        <v>500</v>
      </c>
    </row>
    <row r="901" spans="1:17" x14ac:dyDescent="0.25">
      <c r="A901" t="s">
        <v>375</v>
      </c>
      <c r="B901" t="s">
        <v>22</v>
      </c>
      <c r="C901" t="s">
        <v>35</v>
      </c>
      <c r="D901" t="s">
        <v>29</v>
      </c>
      <c r="E901">
        <v>4</v>
      </c>
      <c r="F901">
        <f>MAX(-1,3-Tableau1[[#This Row],[Nb possédé (digital)]])</f>
        <v>-1</v>
      </c>
      <c r="G901">
        <v>1</v>
      </c>
      <c r="H901">
        <f>MAX(-1,3-Tableau1[[#This Row],[Possédé (physique)]])</f>
        <v>2</v>
      </c>
      <c r="I901" t="str">
        <f>IF(Tableau1[[#This Row],[Manque (physique)]]&gt;Tableau1[[#This Row],[Manque (digital)]],"POD",IF(Tableau1[[#This Row],[Manque (digital)]]&gt;Tableau1[[#This Row],[Manque (physique)]],"MarketPlace",""))</f>
        <v>POD</v>
      </c>
      <c r="J901" t="s">
        <v>30</v>
      </c>
      <c r="K901" t="s">
        <v>42</v>
      </c>
      <c r="L901" t="s">
        <v>23</v>
      </c>
      <c r="M901" t="s">
        <v>23</v>
      </c>
      <c r="N901" t="s">
        <v>89</v>
      </c>
      <c r="O901" t="s">
        <v>23</v>
      </c>
      <c r="P901" t="s">
        <v>23</v>
      </c>
      <c r="Q901" t="s">
        <v>377</v>
      </c>
    </row>
    <row r="902" spans="1:17" hidden="1" x14ac:dyDescent="0.25">
      <c r="A902" t="s">
        <v>1010</v>
      </c>
      <c r="B902" t="s">
        <v>22</v>
      </c>
      <c r="C902" t="s">
        <v>35</v>
      </c>
      <c r="D902" t="s">
        <v>29</v>
      </c>
      <c r="E902">
        <v>0</v>
      </c>
      <c r="F902">
        <f>MAX(-1,3-Tableau1[[#This Row],[Nb possédé (digital)]])</f>
        <v>3</v>
      </c>
      <c r="G902">
        <v>3</v>
      </c>
      <c r="H902">
        <f>MAX(-1,3-Tableau1[[#This Row],[Possédé (physique)]])</f>
        <v>0</v>
      </c>
      <c r="I902" t="str">
        <f>IF(Tableau1[[#This Row],[Manque (physique)]]&gt;Tableau1[[#This Row],[Manque (digital)]],"POD",IF(Tableau1[[#This Row],[Manque (digital)]]&gt;Tableau1[[#This Row],[Manque (physique)]],"MarketPlace",""))</f>
        <v>MarketPlace</v>
      </c>
      <c r="J902" t="s">
        <v>30</v>
      </c>
      <c r="K902" t="s">
        <v>557</v>
      </c>
      <c r="L902" t="s">
        <v>23</v>
      </c>
      <c r="M902" t="s">
        <v>23</v>
      </c>
      <c r="N902" t="s">
        <v>23</v>
      </c>
      <c r="O902" t="s">
        <v>19</v>
      </c>
      <c r="P902" t="s">
        <v>19</v>
      </c>
      <c r="Q902" t="s">
        <v>1012</v>
      </c>
    </row>
    <row r="903" spans="1:17" hidden="1" x14ac:dyDescent="0.25">
      <c r="A903" t="s">
        <v>247</v>
      </c>
      <c r="B903" t="s">
        <v>22</v>
      </c>
      <c r="C903" t="s">
        <v>35</v>
      </c>
      <c r="D903" t="s">
        <v>29</v>
      </c>
      <c r="E903">
        <v>0</v>
      </c>
      <c r="F903">
        <f>MAX(-1,3-Tableau1[[#This Row],[Nb possédé (digital)]])</f>
        <v>3</v>
      </c>
      <c r="G903">
        <v>3</v>
      </c>
      <c r="H903">
        <f>MAX(-1,3-Tableau1[[#This Row],[Possédé (physique)]])</f>
        <v>0</v>
      </c>
      <c r="I903" t="str">
        <f>IF(Tableau1[[#This Row],[Manque (physique)]]&gt;Tableau1[[#This Row],[Manque (digital)]],"POD",IF(Tableau1[[#This Row],[Manque (digital)]]&gt;Tableau1[[#This Row],[Manque (physique)]],"MarketPlace",""))</f>
        <v>MarketPlace</v>
      </c>
      <c r="J903" t="s">
        <v>30</v>
      </c>
      <c r="K903" t="s">
        <v>68</v>
      </c>
      <c r="L903" t="s">
        <v>23</v>
      </c>
      <c r="M903" t="s">
        <v>37</v>
      </c>
      <c r="N903" t="s">
        <v>19</v>
      </c>
      <c r="O903" t="s">
        <v>52</v>
      </c>
      <c r="P903" t="s">
        <v>19</v>
      </c>
      <c r="Q903" t="s">
        <v>249</v>
      </c>
    </row>
    <row r="904" spans="1:17" hidden="1" x14ac:dyDescent="0.25">
      <c r="A904" t="s">
        <v>462</v>
      </c>
      <c r="B904" t="s">
        <v>22</v>
      </c>
      <c r="C904" t="s">
        <v>35</v>
      </c>
      <c r="D904" t="s">
        <v>29</v>
      </c>
      <c r="E904">
        <v>1</v>
      </c>
      <c r="F904">
        <f>MAX(-1,3-Tableau1[[#This Row],[Nb possédé (digital)]])</f>
        <v>2</v>
      </c>
      <c r="G904">
        <v>3</v>
      </c>
      <c r="H904">
        <f>MAX(-1,3-Tableau1[[#This Row],[Possédé (physique)]])</f>
        <v>0</v>
      </c>
      <c r="I904" t="str">
        <f>IF(Tableau1[[#This Row],[Manque (physique)]]&gt;Tableau1[[#This Row],[Manque (digital)]],"POD",IF(Tableau1[[#This Row],[Manque (digital)]]&gt;Tableau1[[#This Row],[Manque (physique)]],"MarketPlace",""))</f>
        <v>MarketPlace</v>
      </c>
      <c r="J904" t="s">
        <v>30</v>
      </c>
      <c r="K904" t="s">
        <v>463</v>
      </c>
      <c r="L904" t="s">
        <v>52</v>
      </c>
      <c r="M904" t="s">
        <v>52</v>
      </c>
      <c r="N904" t="s">
        <v>20</v>
      </c>
      <c r="O904" t="s">
        <v>20</v>
      </c>
      <c r="P904" t="s">
        <v>20</v>
      </c>
      <c r="Q904" t="s">
        <v>464</v>
      </c>
    </row>
    <row r="905" spans="1:17" hidden="1" x14ac:dyDescent="0.25">
      <c r="A905" t="s">
        <v>542</v>
      </c>
      <c r="B905" t="s">
        <v>22</v>
      </c>
      <c r="C905" t="s">
        <v>35</v>
      </c>
      <c r="D905" t="s">
        <v>29</v>
      </c>
      <c r="E905">
        <v>0</v>
      </c>
      <c r="F905">
        <f>MAX(-1,3-Tableau1[[#This Row],[Nb possédé (digital)]])</f>
        <v>3</v>
      </c>
      <c r="G905">
        <v>3</v>
      </c>
      <c r="H905">
        <f>MAX(-1,3-Tableau1[[#This Row],[Possédé (physique)]])</f>
        <v>0</v>
      </c>
      <c r="I905" t="str">
        <f>IF(Tableau1[[#This Row],[Manque (physique)]]&gt;Tableau1[[#This Row],[Manque (digital)]],"POD",IF(Tableau1[[#This Row],[Manque (digital)]]&gt;Tableau1[[#This Row],[Manque (physique)]],"MarketPlace",""))</f>
        <v>MarketPlace</v>
      </c>
      <c r="J905" t="s">
        <v>30</v>
      </c>
      <c r="K905" t="s">
        <v>51</v>
      </c>
      <c r="L905" t="s">
        <v>52</v>
      </c>
      <c r="M905" t="s">
        <v>52</v>
      </c>
      <c r="N905" t="s">
        <v>52</v>
      </c>
      <c r="O905" t="s">
        <v>52</v>
      </c>
      <c r="P905" t="s">
        <v>52</v>
      </c>
      <c r="Q905" t="s">
        <v>543</v>
      </c>
    </row>
    <row r="906" spans="1:17" hidden="1" x14ac:dyDescent="0.25">
      <c r="A906" t="s">
        <v>93</v>
      </c>
      <c r="B906" t="s">
        <v>22</v>
      </c>
      <c r="C906" t="s">
        <v>35</v>
      </c>
      <c r="D906" t="s">
        <v>29</v>
      </c>
      <c r="E906">
        <v>3</v>
      </c>
      <c r="F906">
        <f>MAX(-1,3-Tableau1[[#This Row],[Nb possédé (digital)]])</f>
        <v>0</v>
      </c>
      <c r="G906">
        <v>3</v>
      </c>
      <c r="H906">
        <f>MAX(-1,3-Tableau1[[#This Row],[Possédé (physique)]])</f>
        <v>0</v>
      </c>
      <c r="I906" t="str">
        <f>IF(Tableau1[[#This Row],[Manque (physique)]]&gt;Tableau1[[#This Row],[Manque (digital)]],"POD",IF(Tableau1[[#This Row],[Manque (digital)]]&gt;Tableau1[[#This Row],[Manque (physique)]],"MarketPlace",""))</f>
        <v/>
      </c>
      <c r="J906" t="s">
        <v>30</v>
      </c>
      <c r="K906" t="s">
        <v>94</v>
      </c>
      <c r="L906" t="s">
        <v>37</v>
      </c>
      <c r="M906" t="s">
        <v>37</v>
      </c>
      <c r="N906" t="s">
        <v>37</v>
      </c>
      <c r="O906" t="s">
        <v>52</v>
      </c>
      <c r="P906" t="s">
        <v>37</v>
      </c>
      <c r="Q906" t="s">
        <v>95</v>
      </c>
    </row>
    <row r="907" spans="1:17" hidden="1" x14ac:dyDescent="0.25">
      <c r="A907" t="s">
        <v>551</v>
      </c>
      <c r="B907" t="s">
        <v>22</v>
      </c>
      <c r="C907" t="s">
        <v>35</v>
      </c>
      <c r="D907" t="s">
        <v>29</v>
      </c>
      <c r="E907">
        <v>2</v>
      </c>
      <c r="F907">
        <f>MAX(-1,3-Tableau1[[#This Row],[Nb possédé (digital)]])</f>
        <v>1</v>
      </c>
      <c r="G907">
        <v>3</v>
      </c>
      <c r="H907">
        <f>MAX(-1,3-Tableau1[[#This Row],[Possédé (physique)]])</f>
        <v>0</v>
      </c>
      <c r="I907" t="str">
        <f>IF(Tableau1[[#This Row],[Manque (physique)]]&gt;Tableau1[[#This Row],[Manque (digital)]],"POD",IF(Tableau1[[#This Row],[Manque (digital)]]&gt;Tableau1[[#This Row],[Manque (physique)]],"MarketPlace",""))</f>
        <v>MarketPlace</v>
      </c>
      <c r="J907" t="s">
        <v>30</v>
      </c>
      <c r="K907" t="s">
        <v>552</v>
      </c>
      <c r="L907" t="s">
        <v>37</v>
      </c>
      <c r="M907" t="s">
        <v>37</v>
      </c>
      <c r="N907" t="s">
        <v>89</v>
      </c>
      <c r="O907" t="s">
        <v>89</v>
      </c>
      <c r="P907" t="s">
        <v>89</v>
      </c>
      <c r="Q907" t="s">
        <v>553</v>
      </c>
    </row>
    <row r="908" spans="1:17" hidden="1" x14ac:dyDescent="0.25">
      <c r="A908" t="s">
        <v>908</v>
      </c>
      <c r="B908" t="s">
        <v>22</v>
      </c>
      <c r="C908" t="s">
        <v>35</v>
      </c>
      <c r="D908" t="s">
        <v>29</v>
      </c>
      <c r="E908">
        <v>2</v>
      </c>
      <c r="F908">
        <f>MAX(-1,3-Tableau1[[#This Row],[Nb possédé (digital)]])</f>
        <v>1</v>
      </c>
      <c r="G908">
        <v>3</v>
      </c>
      <c r="H908">
        <f>MAX(-1,3-Tableau1[[#This Row],[Possédé (physique)]])</f>
        <v>0</v>
      </c>
      <c r="I908" t="str">
        <f>IF(Tableau1[[#This Row],[Manque (physique)]]&gt;Tableau1[[#This Row],[Manque (digital)]],"POD",IF(Tableau1[[#This Row],[Manque (digital)]]&gt;Tableau1[[#This Row],[Manque (physique)]],"MarketPlace",""))</f>
        <v>MarketPlace</v>
      </c>
      <c r="J908" t="s">
        <v>30</v>
      </c>
      <c r="K908" t="s">
        <v>292</v>
      </c>
      <c r="L908" t="s">
        <v>37</v>
      </c>
      <c r="M908" t="s">
        <v>39</v>
      </c>
      <c r="N908" t="s">
        <v>37</v>
      </c>
      <c r="O908" t="s">
        <v>37</v>
      </c>
      <c r="P908" t="s">
        <v>37</v>
      </c>
      <c r="Q908" t="s">
        <v>911</v>
      </c>
    </row>
    <row r="909" spans="1:17" hidden="1" x14ac:dyDescent="0.25">
      <c r="A909" t="s">
        <v>327</v>
      </c>
      <c r="B909" t="s">
        <v>22</v>
      </c>
      <c r="C909" t="s">
        <v>35</v>
      </c>
      <c r="D909" t="s">
        <v>29</v>
      </c>
      <c r="E909">
        <v>2</v>
      </c>
      <c r="F909">
        <f>MAX(-1,3-Tableau1[[#This Row],[Nb possédé (digital)]])</f>
        <v>1</v>
      </c>
      <c r="G909">
        <v>3</v>
      </c>
      <c r="H909">
        <f>MAX(-1,3-Tableau1[[#This Row],[Possédé (physique)]])</f>
        <v>0</v>
      </c>
      <c r="I909" t="str">
        <f>IF(Tableau1[[#This Row],[Manque (physique)]]&gt;Tableau1[[#This Row],[Manque (digital)]],"POD",IF(Tableau1[[#This Row],[Manque (digital)]]&gt;Tableau1[[#This Row],[Manque (physique)]],"MarketPlace",""))</f>
        <v>MarketPlace</v>
      </c>
      <c r="J909" t="s">
        <v>30</v>
      </c>
      <c r="K909" t="s">
        <v>328</v>
      </c>
      <c r="L909" t="s">
        <v>39</v>
      </c>
      <c r="M909" t="s">
        <v>39</v>
      </c>
      <c r="N909" t="s">
        <v>37</v>
      </c>
      <c r="O909" t="s">
        <v>37</v>
      </c>
      <c r="P909" t="s">
        <v>37</v>
      </c>
      <c r="Q909" t="s">
        <v>330</v>
      </c>
    </row>
    <row r="910" spans="1:17" hidden="1" x14ac:dyDescent="0.25">
      <c r="A910" t="s">
        <v>621</v>
      </c>
      <c r="B910" t="s">
        <v>22</v>
      </c>
      <c r="C910" t="s">
        <v>35</v>
      </c>
      <c r="D910" t="s">
        <v>29</v>
      </c>
      <c r="E910">
        <v>1</v>
      </c>
      <c r="F910">
        <f>MAX(-1,3-Tableau1[[#This Row],[Nb possédé (digital)]])</f>
        <v>2</v>
      </c>
      <c r="G910">
        <v>3</v>
      </c>
      <c r="H910">
        <f>MAX(-1,3-Tableau1[[#This Row],[Possédé (physique)]])</f>
        <v>0</v>
      </c>
      <c r="I910" t="str">
        <f>IF(Tableau1[[#This Row],[Manque (physique)]]&gt;Tableau1[[#This Row],[Manque (digital)]],"POD",IF(Tableau1[[#This Row],[Manque (digital)]]&gt;Tableau1[[#This Row],[Manque (physique)]],"MarketPlace",""))</f>
        <v>MarketPlace</v>
      </c>
      <c r="J910" t="s">
        <v>30</v>
      </c>
      <c r="K910" t="s">
        <v>103</v>
      </c>
      <c r="L910" t="s">
        <v>101</v>
      </c>
      <c r="M910" t="s">
        <v>39</v>
      </c>
      <c r="N910" t="s">
        <v>23</v>
      </c>
      <c r="O910" t="s">
        <v>23</v>
      </c>
      <c r="P910" t="s">
        <v>23</v>
      </c>
      <c r="Q910" t="s">
        <v>623</v>
      </c>
    </row>
    <row r="911" spans="1:17" hidden="1" x14ac:dyDescent="0.25">
      <c r="A911" t="s">
        <v>1072</v>
      </c>
      <c r="B911" t="s">
        <v>22</v>
      </c>
      <c r="C911" t="s">
        <v>35</v>
      </c>
      <c r="D911" t="s">
        <v>29</v>
      </c>
      <c r="E911">
        <v>3</v>
      </c>
      <c r="F911">
        <f>MAX(-1,3-Tableau1[[#This Row],[Nb possédé (digital)]])</f>
        <v>0</v>
      </c>
      <c r="G911">
        <v>3</v>
      </c>
      <c r="H911">
        <f>MAX(-1,3-Tableau1[[#This Row],[Possédé (physique)]])</f>
        <v>0</v>
      </c>
      <c r="I911" t="str">
        <f>IF(Tableau1[[#This Row],[Manque (physique)]]&gt;Tableau1[[#This Row],[Manque (digital)]],"POD",IF(Tableau1[[#This Row],[Manque (digital)]]&gt;Tableau1[[#This Row],[Manque (physique)]],"MarketPlace",""))</f>
        <v/>
      </c>
      <c r="J911" t="s">
        <v>30</v>
      </c>
      <c r="K911" t="s">
        <v>83</v>
      </c>
      <c r="L911" t="s">
        <v>101</v>
      </c>
      <c r="M911" t="s">
        <v>101</v>
      </c>
      <c r="N911" t="s">
        <v>39</v>
      </c>
      <c r="O911" t="s">
        <v>39</v>
      </c>
      <c r="P911" t="s">
        <v>39</v>
      </c>
      <c r="Q911" t="s">
        <v>1074</v>
      </c>
    </row>
    <row r="912" spans="1:17" hidden="1" x14ac:dyDescent="0.25">
      <c r="A912" t="s">
        <v>1190</v>
      </c>
      <c r="B912" t="s">
        <v>22</v>
      </c>
      <c r="C912" t="s">
        <v>35</v>
      </c>
      <c r="D912" t="s">
        <v>1156</v>
      </c>
      <c r="E912">
        <v>1</v>
      </c>
      <c r="F912">
        <f>MAX(-1,3-Tableau1[[#This Row],[Nb possédé (digital)]])</f>
        <v>2</v>
      </c>
      <c r="G912">
        <v>3</v>
      </c>
      <c r="H912">
        <f>MAX(-1,3-Tableau1[[#This Row],[Possédé (physique)]])</f>
        <v>0</v>
      </c>
      <c r="I912" t="str">
        <f>IF(Tableau1[[#This Row],[Manque (physique)]]&gt;Tableau1[[#This Row],[Manque (digital)]],"POD",IF(Tableau1[[#This Row],[Manque (digital)]]&gt;Tableau1[[#This Row],[Manque (physique)]],"MarketPlace",""))</f>
        <v>MarketPlace</v>
      </c>
      <c r="J912" t="s">
        <v>30</v>
      </c>
      <c r="K912" t="s">
        <v>79</v>
      </c>
      <c r="L912" t="s">
        <v>20</v>
      </c>
      <c r="M912" t="s">
        <v>20</v>
      </c>
      <c r="N912" t="s">
        <v>89</v>
      </c>
      <c r="O912" t="s">
        <v>89</v>
      </c>
      <c r="P912" t="s">
        <v>20</v>
      </c>
      <c r="Q912" t="s">
        <v>1340</v>
      </c>
    </row>
    <row r="913" spans="1:17" hidden="1" x14ac:dyDescent="0.25">
      <c r="A913" t="s">
        <v>1203</v>
      </c>
      <c r="B913" t="s">
        <v>22</v>
      </c>
      <c r="C913" t="s">
        <v>35</v>
      </c>
      <c r="D913" t="s">
        <v>1156</v>
      </c>
      <c r="E913">
        <v>1</v>
      </c>
      <c r="F913">
        <f>MAX(-1,3-Tableau1[[#This Row],[Nb possédé (digital)]])</f>
        <v>2</v>
      </c>
      <c r="G913">
        <v>3</v>
      </c>
      <c r="H913">
        <f>MAX(-1,3-Tableau1[[#This Row],[Possédé (physique)]])</f>
        <v>0</v>
      </c>
      <c r="I913" t="str">
        <f>IF(Tableau1[[#This Row],[Manque (physique)]]&gt;Tableau1[[#This Row],[Manque (digital)]],"POD",IF(Tableau1[[#This Row],[Manque (digital)]]&gt;Tableau1[[#This Row],[Manque (physique)]],"MarketPlace",""))</f>
        <v>MarketPlace</v>
      </c>
      <c r="J913" t="s">
        <v>17</v>
      </c>
      <c r="K913" t="s">
        <v>201</v>
      </c>
      <c r="L913" t="s">
        <v>20</v>
      </c>
      <c r="M913" t="s">
        <v>20</v>
      </c>
      <c r="Q913" t="s">
        <v>1366</v>
      </c>
    </row>
    <row r="914" spans="1:17" hidden="1" x14ac:dyDescent="0.25">
      <c r="A914" t="s">
        <v>1239</v>
      </c>
      <c r="B914" t="s">
        <v>22</v>
      </c>
      <c r="C914" t="s">
        <v>35</v>
      </c>
      <c r="D914" t="s">
        <v>1156</v>
      </c>
      <c r="E914">
        <v>1</v>
      </c>
      <c r="F914">
        <f>MAX(-1,3-Tableau1[[#This Row],[Nb possédé (digital)]])</f>
        <v>2</v>
      </c>
      <c r="G914">
        <v>3</v>
      </c>
      <c r="H914">
        <f>MAX(-1,3-Tableau1[[#This Row],[Possédé (physique)]])</f>
        <v>0</v>
      </c>
      <c r="I914" t="str">
        <f>IF(Tableau1[[#This Row],[Manque (physique)]]&gt;Tableau1[[#This Row],[Manque (digital)]],"POD",IF(Tableau1[[#This Row],[Manque (digital)]]&gt;Tableau1[[#This Row],[Manque (physique)]],"MarketPlace",""))</f>
        <v>MarketPlace</v>
      </c>
      <c r="J914" t="s">
        <v>17</v>
      </c>
      <c r="K914" t="s">
        <v>1442</v>
      </c>
      <c r="L914" t="s">
        <v>20</v>
      </c>
      <c r="M914" t="s">
        <v>20</v>
      </c>
      <c r="Q914" t="s">
        <v>1444</v>
      </c>
    </row>
    <row r="915" spans="1:17" hidden="1" x14ac:dyDescent="0.25">
      <c r="A915" t="s">
        <v>1252</v>
      </c>
      <c r="B915" t="s">
        <v>22</v>
      </c>
      <c r="C915" t="s">
        <v>35</v>
      </c>
      <c r="D915" t="s">
        <v>1156</v>
      </c>
      <c r="E915">
        <v>2</v>
      </c>
      <c r="F915">
        <f>MAX(-1,3-Tableau1[[#This Row],[Nb possédé (digital)]])</f>
        <v>1</v>
      </c>
      <c r="G915">
        <v>3</v>
      </c>
      <c r="H915">
        <f>MAX(-1,3-Tableau1[[#This Row],[Possédé (physique)]])</f>
        <v>0</v>
      </c>
      <c r="I915" t="str">
        <f>IF(Tableau1[[#This Row],[Manque (physique)]]&gt;Tableau1[[#This Row],[Manque (digital)]],"POD",IF(Tableau1[[#This Row],[Manque (digital)]]&gt;Tableau1[[#This Row],[Manque (physique)]],"MarketPlace",""))</f>
        <v>MarketPlace</v>
      </c>
      <c r="J915" t="s">
        <v>268</v>
      </c>
      <c r="K915" t="s">
        <v>438</v>
      </c>
      <c r="L915" t="s">
        <v>20</v>
      </c>
      <c r="M915" t="s">
        <v>20</v>
      </c>
      <c r="Q915" t="s">
        <v>1469</v>
      </c>
    </row>
    <row r="916" spans="1:17" hidden="1" x14ac:dyDescent="0.25">
      <c r="A916" t="s">
        <v>1168</v>
      </c>
      <c r="B916" t="s">
        <v>22</v>
      </c>
      <c r="C916" t="s">
        <v>35</v>
      </c>
      <c r="D916" t="s">
        <v>1156</v>
      </c>
      <c r="E916">
        <v>1</v>
      </c>
      <c r="F916">
        <f>MAX(-1,3-Tableau1[[#This Row],[Nb possédé (digital)]])</f>
        <v>2</v>
      </c>
      <c r="G916">
        <v>3</v>
      </c>
      <c r="H916">
        <f>MAX(-1,3-Tableau1[[#This Row],[Possédé (physique)]])</f>
        <v>0</v>
      </c>
      <c r="I916" t="str">
        <f>IF(Tableau1[[#This Row],[Manque (physique)]]&gt;Tableau1[[#This Row],[Manque (digital)]],"POD",IF(Tableau1[[#This Row],[Manque (digital)]]&gt;Tableau1[[#This Row],[Manque (physique)]],"MarketPlace",""))</f>
        <v>MarketPlace</v>
      </c>
      <c r="J916" t="s">
        <v>268</v>
      </c>
      <c r="K916" t="s">
        <v>269</v>
      </c>
      <c r="L916" t="s">
        <v>19</v>
      </c>
      <c r="M916" t="s">
        <v>19</v>
      </c>
      <c r="Q916" t="s">
        <v>1291</v>
      </c>
    </row>
    <row r="917" spans="1:17" hidden="1" x14ac:dyDescent="0.25">
      <c r="A917" t="s">
        <v>1192</v>
      </c>
      <c r="B917" t="s">
        <v>22</v>
      </c>
      <c r="C917" t="s">
        <v>35</v>
      </c>
      <c r="D917" t="s">
        <v>1156</v>
      </c>
      <c r="E917">
        <v>1</v>
      </c>
      <c r="F917">
        <f>MAX(-1,3-Tableau1[[#This Row],[Nb possédé (digital)]])</f>
        <v>2</v>
      </c>
      <c r="G917">
        <v>3</v>
      </c>
      <c r="H917">
        <f>MAX(-1,3-Tableau1[[#This Row],[Possédé (physique)]])</f>
        <v>0</v>
      </c>
      <c r="I917" t="str">
        <f>IF(Tableau1[[#This Row],[Manque (physique)]]&gt;Tableau1[[#This Row],[Manque (digital)]],"POD",IF(Tableau1[[#This Row],[Manque (digital)]]&gt;Tableau1[[#This Row],[Manque (physique)]],"MarketPlace",""))</f>
        <v>MarketPlace</v>
      </c>
      <c r="J917" t="s">
        <v>30</v>
      </c>
      <c r="K917" t="s">
        <v>557</v>
      </c>
      <c r="L917" t="s">
        <v>19</v>
      </c>
      <c r="M917" t="s">
        <v>19</v>
      </c>
      <c r="N917" t="s">
        <v>23</v>
      </c>
      <c r="O917" t="s">
        <v>19</v>
      </c>
      <c r="P917" t="s">
        <v>19</v>
      </c>
      <c r="Q917" t="s">
        <v>1343</v>
      </c>
    </row>
    <row r="918" spans="1:17" hidden="1" x14ac:dyDescent="0.25">
      <c r="A918" t="s">
        <v>1193</v>
      </c>
      <c r="B918" t="s">
        <v>22</v>
      </c>
      <c r="C918" t="s">
        <v>35</v>
      </c>
      <c r="D918" t="s">
        <v>1156</v>
      </c>
      <c r="E918">
        <v>1</v>
      </c>
      <c r="F918">
        <f>MAX(-1,3-Tableau1[[#This Row],[Nb possédé (digital)]])</f>
        <v>2</v>
      </c>
      <c r="G918">
        <v>3</v>
      </c>
      <c r="H918">
        <f>MAX(-1,3-Tableau1[[#This Row],[Possédé (physique)]])</f>
        <v>0</v>
      </c>
      <c r="I918" t="str">
        <f>IF(Tableau1[[#This Row],[Manque (physique)]]&gt;Tableau1[[#This Row],[Manque (digital)]],"POD",IF(Tableau1[[#This Row],[Manque (digital)]]&gt;Tableau1[[#This Row],[Manque (physique)]],"MarketPlace",""))</f>
        <v>MarketPlace</v>
      </c>
      <c r="J918" t="s">
        <v>30</v>
      </c>
      <c r="K918" t="s">
        <v>79</v>
      </c>
      <c r="L918" t="s">
        <v>19</v>
      </c>
      <c r="M918" t="s">
        <v>19</v>
      </c>
      <c r="N918" t="s">
        <v>89</v>
      </c>
      <c r="O918" t="s">
        <v>52</v>
      </c>
      <c r="P918" t="s">
        <v>89</v>
      </c>
      <c r="Q918" t="s">
        <v>1345</v>
      </c>
    </row>
    <row r="919" spans="1:17" hidden="1" x14ac:dyDescent="0.25">
      <c r="A919" t="s">
        <v>1202</v>
      </c>
      <c r="B919" t="s">
        <v>22</v>
      </c>
      <c r="C919" t="s">
        <v>35</v>
      </c>
      <c r="D919" t="s">
        <v>1156</v>
      </c>
      <c r="E919">
        <v>0</v>
      </c>
      <c r="F919">
        <f>MAX(-1,3-Tableau1[[#This Row],[Nb possédé (digital)]])</f>
        <v>3</v>
      </c>
      <c r="G919">
        <v>3</v>
      </c>
      <c r="H919">
        <f>MAX(-1,3-Tableau1[[#This Row],[Possédé (physique)]])</f>
        <v>0</v>
      </c>
      <c r="I919" t="str">
        <f>IF(Tableau1[[#This Row],[Manque (physique)]]&gt;Tableau1[[#This Row],[Manque (digital)]],"POD",IF(Tableau1[[#This Row],[Manque (digital)]]&gt;Tableau1[[#This Row],[Manque (physique)]],"MarketPlace",""))</f>
        <v>MarketPlace</v>
      </c>
      <c r="J919" t="s">
        <v>268</v>
      </c>
      <c r="K919" t="s">
        <v>269</v>
      </c>
      <c r="L919" t="s">
        <v>19</v>
      </c>
      <c r="M919" t="s">
        <v>19</v>
      </c>
      <c r="Q919" t="s">
        <v>1363</v>
      </c>
    </row>
    <row r="920" spans="1:17" hidden="1" x14ac:dyDescent="0.25">
      <c r="A920" t="s">
        <v>1233</v>
      </c>
      <c r="B920" t="s">
        <v>22</v>
      </c>
      <c r="C920" t="s">
        <v>35</v>
      </c>
      <c r="D920" t="s">
        <v>1156</v>
      </c>
      <c r="E920">
        <v>2</v>
      </c>
      <c r="F920">
        <f>MAX(-1,3-Tableau1[[#This Row],[Nb possédé (digital)]])</f>
        <v>1</v>
      </c>
      <c r="G920">
        <v>3</v>
      </c>
      <c r="H920">
        <f>MAX(-1,3-Tableau1[[#This Row],[Possédé (physique)]])</f>
        <v>0</v>
      </c>
      <c r="I920" t="str">
        <f>IF(Tableau1[[#This Row],[Manque (physique)]]&gt;Tableau1[[#This Row],[Manque (digital)]],"POD",IF(Tableau1[[#This Row],[Manque (digital)]]&gt;Tableau1[[#This Row],[Manque (physique)]],"MarketPlace",""))</f>
        <v>MarketPlace</v>
      </c>
      <c r="J920" t="s">
        <v>268</v>
      </c>
      <c r="K920" t="s">
        <v>269</v>
      </c>
      <c r="L920" t="s">
        <v>19</v>
      </c>
      <c r="M920" t="s">
        <v>19</v>
      </c>
      <c r="Q920" t="s">
        <v>1430</v>
      </c>
    </row>
    <row r="921" spans="1:17" hidden="1" x14ac:dyDescent="0.25">
      <c r="A921" t="s">
        <v>1234</v>
      </c>
      <c r="B921" t="s">
        <v>22</v>
      </c>
      <c r="C921" t="s">
        <v>35</v>
      </c>
      <c r="D921" t="s">
        <v>1156</v>
      </c>
      <c r="E921">
        <v>1</v>
      </c>
      <c r="F921">
        <f>MAX(-1,3-Tableau1[[#This Row],[Nb possédé (digital)]])</f>
        <v>2</v>
      </c>
      <c r="G921">
        <v>3</v>
      </c>
      <c r="H921">
        <f>MAX(-1,3-Tableau1[[#This Row],[Possédé (physique)]])</f>
        <v>0</v>
      </c>
      <c r="I921" t="str">
        <f>IF(Tableau1[[#This Row],[Manque (physique)]]&gt;Tableau1[[#This Row],[Manque (digital)]],"POD",IF(Tableau1[[#This Row],[Manque (digital)]]&gt;Tableau1[[#This Row],[Manque (physique)]],"MarketPlace",""))</f>
        <v>MarketPlace</v>
      </c>
      <c r="J921" t="s">
        <v>30</v>
      </c>
      <c r="K921" t="s">
        <v>83</v>
      </c>
      <c r="L921" t="s">
        <v>19</v>
      </c>
      <c r="M921" t="s">
        <v>19</v>
      </c>
      <c r="N921" t="s">
        <v>19</v>
      </c>
      <c r="O921" t="s">
        <v>19</v>
      </c>
      <c r="P921" t="s">
        <v>19</v>
      </c>
      <c r="Q921" t="s">
        <v>1432</v>
      </c>
    </row>
    <row r="922" spans="1:17" hidden="1" x14ac:dyDescent="0.25">
      <c r="A922" t="s">
        <v>1254</v>
      </c>
      <c r="B922" t="s">
        <v>22</v>
      </c>
      <c r="C922" t="s">
        <v>35</v>
      </c>
      <c r="D922" t="s">
        <v>1156</v>
      </c>
      <c r="E922">
        <v>1</v>
      </c>
      <c r="F922">
        <f>MAX(-1,3-Tableau1[[#This Row],[Nb possédé (digital)]])</f>
        <v>2</v>
      </c>
      <c r="G922">
        <v>3</v>
      </c>
      <c r="H922">
        <f>MAX(-1,3-Tableau1[[#This Row],[Possédé (physique)]])</f>
        <v>0</v>
      </c>
      <c r="I922" t="str">
        <f>IF(Tableau1[[#This Row],[Manque (physique)]]&gt;Tableau1[[#This Row],[Manque (digital)]],"POD",IF(Tableau1[[#This Row],[Manque (digital)]]&gt;Tableau1[[#This Row],[Manque (physique)]],"MarketPlace",""))</f>
        <v>MarketPlace</v>
      </c>
      <c r="J922" t="s">
        <v>30</v>
      </c>
      <c r="K922" t="s">
        <v>83</v>
      </c>
      <c r="L922" t="s">
        <v>19</v>
      </c>
      <c r="M922" t="s">
        <v>19</v>
      </c>
      <c r="N922" t="s">
        <v>19</v>
      </c>
      <c r="O922" t="s">
        <v>23</v>
      </c>
      <c r="P922" t="s">
        <v>19</v>
      </c>
      <c r="Q922" t="s">
        <v>1474</v>
      </c>
    </row>
    <row r="923" spans="1:17" hidden="1" x14ac:dyDescent="0.25">
      <c r="A923" t="s">
        <v>1177</v>
      </c>
      <c r="B923" t="s">
        <v>22</v>
      </c>
      <c r="C923" t="s">
        <v>35</v>
      </c>
      <c r="D923" t="s">
        <v>1156</v>
      </c>
      <c r="E923">
        <v>1</v>
      </c>
      <c r="F923">
        <f>MAX(-1,3-Tableau1[[#This Row],[Nb possédé (digital)]])</f>
        <v>2</v>
      </c>
      <c r="G923">
        <v>3</v>
      </c>
      <c r="H923">
        <f>MAX(-1,3-Tableau1[[#This Row],[Possédé (physique)]])</f>
        <v>0</v>
      </c>
      <c r="I923" t="str">
        <f>IF(Tableau1[[#This Row],[Manque (physique)]]&gt;Tableau1[[#This Row],[Manque (digital)]],"POD",IF(Tableau1[[#This Row],[Manque (digital)]]&gt;Tableau1[[#This Row],[Manque (physique)]],"MarketPlace",""))</f>
        <v>MarketPlace</v>
      </c>
      <c r="J923" t="s">
        <v>30</v>
      </c>
      <c r="K923" t="s">
        <v>328</v>
      </c>
      <c r="L923" t="s">
        <v>19</v>
      </c>
      <c r="M923" t="s">
        <v>23</v>
      </c>
      <c r="N923" t="s">
        <v>19</v>
      </c>
      <c r="O923" t="s">
        <v>23</v>
      </c>
      <c r="P923" t="s">
        <v>89</v>
      </c>
      <c r="Q923" t="s">
        <v>1314</v>
      </c>
    </row>
    <row r="924" spans="1:17" hidden="1" x14ac:dyDescent="0.25">
      <c r="A924" t="s">
        <v>1223</v>
      </c>
      <c r="B924" t="s">
        <v>22</v>
      </c>
      <c r="C924" t="s">
        <v>35</v>
      </c>
      <c r="D924" t="s">
        <v>1156</v>
      </c>
      <c r="E924">
        <v>2</v>
      </c>
      <c r="F924">
        <f>MAX(-1,3-Tableau1[[#This Row],[Nb possédé (digital)]])</f>
        <v>1</v>
      </c>
      <c r="G924">
        <v>3</v>
      </c>
      <c r="H924">
        <f>MAX(-1,3-Tableau1[[#This Row],[Possédé (physique)]])</f>
        <v>0</v>
      </c>
      <c r="I924" t="str">
        <f>IF(Tableau1[[#This Row],[Manque (physique)]]&gt;Tableau1[[#This Row],[Manque (digital)]],"POD",IF(Tableau1[[#This Row],[Manque (digital)]]&gt;Tableau1[[#This Row],[Manque (physique)]],"MarketPlace",""))</f>
        <v>MarketPlace</v>
      </c>
      <c r="J924" t="s">
        <v>30</v>
      </c>
      <c r="K924" t="s">
        <v>51</v>
      </c>
      <c r="L924" t="s">
        <v>23</v>
      </c>
      <c r="M924" t="s">
        <v>20</v>
      </c>
      <c r="N924" t="s">
        <v>89</v>
      </c>
      <c r="O924" t="s">
        <v>89</v>
      </c>
      <c r="P924" t="s">
        <v>89</v>
      </c>
      <c r="Q924" t="s">
        <v>1408</v>
      </c>
    </row>
    <row r="925" spans="1:17" hidden="1" x14ac:dyDescent="0.25">
      <c r="A925" t="s">
        <v>1253</v>
      </c>
      <c r="B925" t="s">
        <v>22</v>
      </c>
      <c r="C925" t="s">
        <v>35</v>
      </c>
      <c r="D925" t="s">
        <v>1156</v>
      </c>
      <c r="E925">
        <v>3</v>
      </c>
      <c r="F925">
        <f>MAX(-1,3-Tableau1[[#This Row],[Nb possédé (digital)]])</f>
        <v>0</v>
      </c>
      <c r="G925">
        <v>3</v>
      </c>
      <c r="H925">
        <f>MAX(-1,3-Tableau1[[#This Row],[Possédé (physique)]])</f>
        <v>0</v>
      </c>
      <c r="I925" t="str">
        <f>IF(Tableau1[[#This Row],[Manque (physique)]]&gt;Tableau1[[#This Row],[Manque (digital)]],"POD",IF(Tableau1[[#This Row],[Manque (digital)]]&gt;Tableau1[[#This Row],[Manque (physique)]],"MarketPlace",""))</f>
        <v/>
      </c>
      <c r="J925" t="s">
        <v>30</v>
      </c>
      <c r="K925" t="s">
        <v>1471</v>
      </c>
      <c r="L925" t="s">
        <v>23</v>
      </c>
      <c r="M925" t="s">
        <v>20</v>
      </c>
      <c r="N925" t="s">
        <v>20</v>
      </c>
      <c r="O925" t="s">
        <v>89</v>
      </c>
      <c r="P925" t="s">
        <v>89</v>
      </c>
      <c r="Q925" t="s">
        <v>1473</v>
      </c>
    </row>
    <row r="926" spans="1:17" hidden="1" x14ac:dyDescent="0.25">
      <c r="A926" t="s">
        <v>1157</v>
      </c>
      <c r="B926" t="s">
        <v>22</v>
      </c>
      <c r="C926" t="s">
        <v>35</v>
      </c>
      <c r="D926" t="s">
        <v>1156</v>
      </c>
      <c r="E926">
        <v>1</v>
      </c>
      <c r="F926">
        <f>MAX(-1,3-Tableau1[[#This Row],[Nb possédé (digital)]])</f>
        <v>2</v>
      </c>
      <c r="G926">
        <v>3</v>
      </c>
      <c r="H926">
        <f>MAX(-1,3-Tableau1[[#This Row],[Possédé (physique)]])</f>
        <v>0</v>
      </c>
      <c r="I926" t="str">
        <f>IF(Tableau1[[#This Row],[Manque (physique)]]&gt;Tableau1[[#This Row],[Manque (digital)]],"POD",IF(Tableau1[[#This Row],[Manque (digital)]]&gt;Tableau1[[#This Row],[Manque (physique)]],"MarketPlace",""))</f>
        <v>MarketPlace</v>
      </c>
      <c r="J926" t="s">
        <v>30</v>
      </c>
      <c r="K926" t="s">
        <v>171</v>
      </c>
      <c r="L926" t="s">
        <v>23</v>
      </c>
      <c r="M926" t="s">
        <v>23</v>
      </c>
      <c r="N926" t="s">
        <v>89</v>
      </c>
      <c r="O926" t="s">
        <v>37</v>
      </c>
      <c r="P926" t="s">
        <v>23</v>
      </c>
      <c r="Q926" t="s">
        <v>1268</v>
      </c>
    </row>
    <row r="927" spans="1:17" hidden="1" x14ac:dyDescent="0.25">
      <c r="A927" t="s">
        <v>1170</v>
      </c>
      <c r="B927" t="s">
        <v>22</v>
      </c>
      <c r="C927" t="s">
        <v>35</v>
      </c>
      <c r="D927" t="s">
        <v>1156</v>
      </c>
      <c r="E927">
        <v>1</v>
      </c>
      <c r="F927">
        <f>MAX(-1,3-Tableau1[[#This Row],[Nb possédé (digital)]])</f>
        <v>2</v>
      </c>
      <c r="G927">
        <v>3</v>
      </c>
      <c r="H927">
        <f>MAX(-1,3-Tableau1[[#This Row],[Possédé (physique)]])</f>
        <v>0</v>
      </c>
      <c r="I927" t="str">
        <f>IF(Tableau1[[#This Row],[Manque (physique)]]&gt;Tableau1[[#This Row],[Manque (digital)]],"POD",IF(Tableau1[[#This Row],[Manque (digital)]]&gt;Tableau1[[#This Row],[Manque (physique)]],"MarketPlace",""))</f>
        <v>MarketPlace</v>
      </c>
      <c r="J927" t="s">
        <v>268</v>
      </c>
      <c r="K927" t="s">
        <v>269</v>
      </c>
      <c r="L927" t="s">
        <v>23</v>
      </c>
      <c r="M927" t="s">
        <v>23</v>
      </c>
      <c r="Q927" t="s">
        <v>1296</v>
      </c>
    </row>
    <row r="928" spans="1:17" hidden="1" x14ac:dyDescent="0.25">
      <c r="A928" t="s">
        <v>1173</v>
      </c>
      <c r="B928" t="s">
        <v>22</v>
      </c>
      <c r="C928" t="s">
        <v>35</v>
      </c>
      <c r="D928" t="s">
        <v>1156</v>
      </c>
      <c r="E928">
        <v>3</v>
      </c>
      <c r="F928">
        <f>MAX(-1,3-Tableau1[[#This Row],[Nb possédé (digital)]])</f>
        <v>0</v>
      </c>
      <c r="G928">
        <v>3</v>
      </c>
      <c r="H928">
        <f>MAX(-1,3-Tableau1[[#This Row],[Possédé (physique)]])</f>
        <v>0</v>
      </c>
      <c r="I928" t="str">
        <f>IF(Tableau1[[#This Row],[Manque (physique)]]&gt;Tableau1[[#This Row],[Manque (digital)]],"POD",IF(Tableau1[[#This Row],[Manque (digital)]]&gt;Tableau1[[#This Row],[Manque (physique)]],"MarketPlace",""))</f>
        <v/>
      </c>
      <c r="J928" t="s">
        <v>30</v>
      </c>
      <c r="K928" t="s">
        <v>79</v>
      </c>
      <c r="L928" t="s">
        <v>23</v>
      </c>
      <c r="M928" t="s">
        <v>23</v>
      </c>
      <c r="N928" t="s">
        <v>20</v>
      </c>
      <c r="O928" t="s">
        <v>20</v>
      </c>
      <c r="P928" t="s">
        <v>20</v>
      </c>
      <c r="Q928" t="s">
        <v>1304</v>
      </c>
    </row>
    <row r="929" spans="1:17" hidden="1" x14ac:dyDescent="0.25">
      <c r="A929" t="s">
        <v>1196</v>
      </c>
      <c r="B929" t="s">
        <v>22</v>
      </c>
      <c r="C929" t="s">
        <v>35</v>
      </c>
      <c r="D929" t="s">
        <v>1156</v>
      </c>
      <c r="E929">
        <v>2</v>
      </c>
      <c r="F929">
        <f>MAX(-1,3-Tableau1[[#This Row],[Nb possédé (digital)]])</f>
        <v>1</v>
      </c>
      <c r="G929">
        <v>3</v>
      </c>
      <c r="H929">
        <f>MAX(-1,3-Tableau1[[#This Row],[Possédé (physique)]])</f>
        <v>0</v>
      </c>
      <c r="I929" t="str">
        <f>IF(Tableau1[[#This Row],[Manque (physique)]]&gt;Tableau1[[#This Row],[Manque (digital)]],"POD",IF(Tableau1[[#This Row],[Manque (digital)]]&gt;Tableau1[[#This Row],[Manque (physique)]],"MarketPlace",""))</f>
        <v>MarketPlace</v>
      </c>
      <c r="J929" t="s">
        <v>30</v>
      </c>
      <c r="K929" t="s">
        <v>83</v>
      </c>
      <c r="L929" t="s">
        <v>23</v>
      </c>
      <c r="M929" t="s">
        <v>23</v>
      </c>
      <c r="N929" t="s">
        <v>23</v>
      </c>
      <c r="O929" t="s">
        <v>19</v>
      </c>
      <c r="P929" t="s">
        <v>19</v>
      </c>
      <c r="Q929" t="s">
        <v>1351</v>
      </c>
    </row>
    <row r="930" spans="1:17" hidden="1" x14ac:dyDescent="0.25">
      <c r="A930" t="s">
        <v>1206</v>
      </c>
      <c r="B930" t="s">
        <v>22</v>
      </c>
      <c r="C930" t="s">
        <v>35</v>
      </c>
      <c r="D930" t="s">
        <v>1156</v>
      </c>
      <c r="E930">
        <v>2</v>
      </c>
      <c r="F930">
        <f>MAX(-1,3-Tableau1[[#This Row],[Nb possédé (digital)]])</f>
        <v>1</v>
      </c>
      <c r="G930">
        <v>3</v>
      </c>
      <c r="H930">
        <f>MAX(-1,3-Tableau1[[#This Row],[Possédé (physique)]])</f>
        <v>0</v>
      </c>
      <c r="I930" t="str">
        <f>IF(Tableau1[[#This Row],[Manque (physique)]]&gt;Tableau1[[#This Row],[Manque (digital)]],"POD",IF(Tableau1[[#This Row],[Manque (digital)]]&gt;Tableau1[[#This Row],[Manque (physique)]],"MarketPlace",""))</f>
        <v>MarketPlace</v>
      </c>
      <c r="J930" t="s">
        <v>17</v>
      </c>
      <c r="K930" t="s">
        <v>153</v>
      </c>
      <c r="L930" t="s">
        <v>23</v>
      </c>
      <c r="M930" t="s">
        <v>23</v>
      </c>
      <c r="Q930" t="s">
        <v>1373</v>
      </c>
    </row>
    <row r="931" spans="1:17" hidden="1" x14ac:dyDescent="0.25">
      <c r="A931" t="s">
        <v>1210</v>
      </c>
      <c r="B931" t="s">
        <v>22</v>
      </c>
      <c r="C931" t="s">
        <v>35</v>
      </c>
      <c r="D931" t="s">
        <v>1156</v>
      </c>
      <c r="E931">
        <v>2</v>
      </c>
      <c r="F931">
        <f>MAX(-1,3-Tableau1[[#This Row],[Nb possédé (digital)]])</f>
        <v>1</v>
      </c>
      <c r="G931">
        <v>3</v>
      </c>
      <c r="H931">
        <f>MAX(-1,3-Tableau1[[#This Row],[Possédé (physique)]])</f>
        <v>0</v>
      </c>
      <c r="I931" t="str">
        <f>IF(Tableau1[[#This Row],[Manque (physique)]]&gt;Tableau1[[#This Row],[Manque (digital)]],"POD",IF(Tableau1[[#This Row],[Manque (digital)]]&gt;Tableau1[[#This Row],[Manque (physique)]],"MarketPlace",""))</f>
        <v>MarketPlace</v>
      </c>
      <c r="J931" t="s">
        <v>30</v>
      </c>
      <c r="K931" t="s">
        <v>79</v>
      </c>
      <c r="L931" t="s">
        <v>23</v>
      </c>
      <c r="M931" t="s">
        <v>23</v>
      </c>
      <c r="N931" t="s">
        <v>23</v>
      </c>
      <c r="O931" t="s">
        <v>23</v>
      </c>
      <c r="P931" t="s">
        <v>23</v>
      </c>
      <c r="Q931" t="s">
        <v>1379</v>
      </c>
    </row>
    <row r="932" spans="1:17" hidden="1" x14ac:dyDescent="0.25">
      <c r="A932" t="s">
        <v>1232</v>
      </c>
      <c r="B932" t="s">
        <v>22</v>
      </c>
      <c r="C932" t="s">
        <v>35</v>
      </c>
      <c r="D932" t="s">
        <v>1156</v>
      </c>
      <c r="E932">
        <v>3</v>
      </c>
      <c r="F932">
        <f>MAX(-1,3-Tableau1[[#This Row],[Nb possédé (digital)]])</f>
        <v>0</v>
      </c>
      <c r="G932">
        <v>3</v>
      </c>
      <c r="H932">
        <f>MAX(-1,3-Tableau1[[#This Row],[Possédé (physique)]])</f>
        <v>0</v>
      </c>
      <c r="I932" t="str">
        <f>IF(Tableau1[[#This Row],[Manque (physique)]]&gt;Tableau1[[#This Row],[Manque (digital)]],"POD",IF(Tableau1[[#This Row],[Manque (digital)]]&gt;Tableau1[[#This Row],[Manque (physique)]],"MarketPlace",""))</f>
        <v/>
      </c>
      <c r="J932" t="s">
        <v>30</v>
      </c>
      <c r="K932" t="s">
        <v>83</v>
      </c>
      <c r="L932" t="s">
        <v>23</v>
      </c>
      <c r="M932" t="s">
        <v>23</v>
      </c>
      <c r="N932" t="s">
        <v>19</v>
      </c>
      <c r="O932" t="s">
        <v>23</v>
      </c>
      <c r="P932" t="s">
        <v>23</v>
      </c>
      <c r="Q932" t="s">
        <v>1428</v>
      </c>
    </row>
    <row r="933" spans="1:17" hidden="1" x14ac:dyDescent="0.25">
      <c r="A933" t="s">
        <v>1236</v>
      </c>
      <c r="B933" t="s">
        <v>22</v>
      </c>
      <c r="C933" t="s">
        <v>35</v>
      </c>
      <c r="D933" t="s">
        <v>1156</v>
      </c>
      <c r="E933">
        <v>1</v>
      </c>
      <c r="F933">
        <f>MAX(-1,3-Tableau1[[#This Row],[Nb possédé (digital)]])</f>
        <v>2</v>
      </c>
      <c r="G933">
        <v>3</v>
      </c>
      <c r="H933">
        <f>MAX(-1,3-Tableau1[[#This Row],[Possédé (physique)]])</f>
        <v>0</v>
      </c>
      <c r="I933" t="str">
        <f>IF(Tableau1[[#This Row],[Manque (physique)]]&gt;Tableau1[[#This Row],[Manque (digital)]],"POD",IF(Tableau1[[#This Row],[Manque (digital)]]&gt;Tableau1[[#This Row],[Manque (physique)]],"MarketPlace",""))</f>
        <v>MarketPlace</v>
      </c>
      <c r="J933" t="s">
        <v>30</v>
      </c>
      <c r="K933" t="s">
        <v>83</v>
      </c>
      <c r="L933" t="s">
        <v>23</v>
      </c>
      <c r="M933" t="s">
        <v>23</v>
      </c>
      <c r="N933" t="s">
        <v>23</v>
      </c>
      <c r="O933" t="s">
        <v>23</v>
      </c>
      <c r="P933" t="s">
        <v>23</v>
      </c>
      <c r="Q933" t="s">
        <v>1437</v>
      </c>
    </row>
    <row r="934" spans="1:17" hidden="1" x14ac:dyDescent="0.25">
      <c r="A934" t="s">
        <v>1248</v>
      </c>
      <c r="B934" t="s">
        <v>22</v>
      </c>
      <c r="C934" t="s">
        <v>35</v>
      </c>
      <c r="D934" t="s">
        <v>1156</v>
      </c>
      <c r="E934">
        <v>2</v>
      </c>
      <c r="F934">
        <f>MAX(-1,3-Tableau1[[#This Row],[Nb possédé (digital)]])</f>
        <v>1</v>
      </c>
      <c r="G934">
        <v>3</v>
      </c>
      <c r="H934">
        <f>MAX(-1,3-Tableau1[[#This Row],[Possédé (physique)]])</f>
        <v>0</v>
      </c>
      <c r="I934" t="str">
        <f>IF(Tableau1[[#This Row],[Manque (physique)]]&gt;Tableau1[[#This Row],[Manque (digital)]],"POD",IF(Tableau1[[#This Row],[Manque (digital)]]&gt;Tableau1[[#This Row],[Manque (physique)]],"MarketPlace",""))</f>
        <v>MarketPlace</v>
      </c>
      <c r="J934" t="s">
        <v>17</v>
      </c>
      <c r="K934" t="s">
        <v>97</v>
      </c>
      <c r="L934" t="s">
        <v>23</v>
      </c>
      <c r="M934" t="s">
        <v>23</v>
      </c>
      <c r="Q934" t="s">
        <v>1464</v>
      </c>
    </row>
    <row r="935" spans="1:17" hidden="1" x14ac:dyDescent="0.25">
      <c r="A935" t="s">
        <v>1218</v>
      </c>
      <c r="B935" t="s">
        <v>22</v>
      </c>
      <c r="C935" t="s">
        <v>35</v>
      </c>
      <c r="D935" t="s">
        <v>1156</v>
      </c>
      <c r="E935">
        <v>1</v>
      </c>
      <c r="F935">
        <f>MAX(-1,3-Tableau1[[#This Row],[Nb possédé (digital)]])</f>
        <v>2</v>
      </c>
      <c r="G935">
        <v>3</v>
      </c>
      <c r="H935">
        <f>MAX(-1,3-Tableau1[[#This Row],[Possédé (physique)]])</f>
        <v>0</v>
      </c>
      <c r="I935" t="str">
        <f>IF(Tableau1[[#This Row],[Manque (physique)]]&gt;Tableau1[[#This Row],[Manque (digital)]],"POD",IF(Tableau1[[#This Row],[Manque (digital)]]&gt;Tableau1[[#This Row],[Manque (physique)]],"MarketPlace",""))</f>
        <v>MarketPlace</v>
      </c>
      <c r="J935" t="s">
        <v>30</v>
      </c>
      <c r="K935" t="s">
        <v>51</v>
      </c>
      <c r="L935" t="s">
        <v>23</v>
      </c>
      <c r="M935" t="s">
        <v>37</v>
      </c>
      <c r="N935" t="s">
        <v>23</v>
      </c>
      <c r="O935" t="s">
        <v>19</v>
      </c>
      <c r="P935" t="s">
        <v>23</v>
      </c>
      <c r="Q935" t="s">
        <v>1398</v>
      </c>
    </row>
    <row r="936" spans="1:17" hidden="1" x14ac:dyDescent="0.25">
      <c r="A936" t="s">
        <v>1201</v>
      </c>
      <c r="B936" t="s">
        <v>22</v>
      </c>
      <c r="C936" t="s">
        <v>35</v>
      </c>
      <c r="D936" t="s">
        <v>1156</v>
      </c>
      <c r="E936">
        <v>1</v>
      </c>
      <c r="F936">
        <f>MAX(-1,3-Tableau1[[#This Row],[Nb possédé (digital)]])</f>
        <v>2</v>
      </c>
      <c r="G936">
        <v>3</v>
      </c>
      <c r="H936">
        <f>MAX(-1,3-Tableau1[[#This Row],[Possédé (physique)]])</f>
        <v>0</v>
      </c>
      <c r="I936" t="str">
        <f>IF(Tableau1[[#This Row],[Manque (physique)]]&gt;Tableau1[[#This Row],[Manque (digital)]],"POD",IF(Tableau1[[#This Row],[Manque (digital)]]&gt;Tableau1[[#This Row],[Manque (physique)]],"MarketPlace",""))</f>
        <v>MarketPlace</v>
      </c>
      <c r="J936" t="s">
        <v>30</v>
      </c>
      <c r="K936" t="s">
        <v>601</v>
      </c>
      <c r="L936" t="s">
        <v>52</v>
      </c>
      <c r="M936" t="s">
        <v>52</v>
      </c>
      <c r="N936" t="s">
        <v>23</v>
      </c>
      <c r="O936" t="s">
        <v>89</v>
      </c>
      <c r="P936" t="s">
        <v>23</v>
      </c>
      <c r="Q936" t="s">
        <v>1360</v>
      </c>
    </row>
    <row r="937" spans="1:17" hidden="1" x14ac:dyDescent="0.25">
      <c r="A937" t="s">
        <v>1237</v>
      </c>
      <c r="B937" t="s">
        <v>22</v>
      </c>
      <c r="C937" t="s">
        <v>35</v>
      </c>
      <c r="D937" t="s">
        <v>1156</v>
      </c>
      <c r="E937">
        <v>3</v>
      </c>
      <c r="F937">
        <f>MAX(-1,3-Tableau1[[#This Row],[Nb possédé (digital)]])</f>
        <v>0</v>
      </c>
      <c r="G937">
        <v>3</v>
      </c>
      <c r="H937">
        <f>MAX(-1,3-Tableau1[[#This Row],[Possédé (physique)]])</f>
        <v>0</v>
      </c>
      <c r="I937" t="str">
        <f>IF(Tableau1[[#This Row],[Manque (physique)]]&gt;Tableau1[[#This Row],[Manque (digital)]],"POD",IF(Tableau1[[#This Row],[Manque (digital)]]&gt;Tableau1[[#This Row],[Manque (physique)]],"MarketPlace",""))</f>
        <v/>
      </c>
      <c r="J937" t="s">
        <v>30</v>
      </c>
      <c r="K937" t="s">
        <v>83</v>
      </c>
      <c r="L937" t="s">
        <v>52</v>
      </c>
      <c r="M937" t="s">
        <v>52</v>
      </c>
      <c r="N937" t="s">
        <v>37</v>
      </c>
      <c r="O937" t="s">
        <v>37</v>
      </c>
      <c r="P937" t="s">
        <v>37</v>
      </c>
      <c r="Q937" t="s">
        <v>1439</v>
      </c>
    </row>
    <row r="938" spans="1:17" hidden="1" x14ac:dyDescent="0.25">
      <c r="A938" t="s">
        <v>1161</v>
      </c>
      <c r="B938" t="s">
        <v>22</v>
      </c>
      <c r="C938" t="s">
        <v>35</v>
      </c>
      <c r="D938" t="s">
        <v>1156</v>
      </c>
      <c r="E938">
        <v>1</v>
      </c>
      <c r="F938">
        <f>MAX(-1,3-Tableau1[[#This Row],[Nb possédé (digital)]])</f>
        <v>2</v>
      </c>
      <c r="G938">
        <v>3</v>
      </c>
      <c r="H938">
        <f>MAX(-1,3-Tableau1[[#This Row],[Possédé (physique)]])</f>
        <v>0</v>
      </c>
      <c r="I938" t="str">
        <f>IF(Tableau1[[#This Row],[Manque (physique)]]&gt;Tableau1[[#This Row],[Manque (digital)]],"POD",IF(Tableau1[[#This Row],[Manque (digital)]]&gt;Tableau1[[#This Row],[Manque (physique)]],"MarketPlace",""))</f>
        <v>MarketPlace</v>
      </c>
      <c r="J938" t="s">
        <v>30</v>
      </c>
      <c r="K938" t="s">
        <v>83</v>
      </c>
      <c r="L938" t="s">
        <v>37</v>
      </c>
      <c r="M938" t="s">
        <v>37</v>
      </c>
      <c r="N938" t="s">
        <v>37</v>
      </c>
      <c r="O938" t="s">
        <v>19</v>
      </c>
      <c r="P938" t="s">
        <v>37</v>
      </c>
      <c r="Q938" t="s">
        <v>1276</v>
      </c>
    </row>
    <row r="939" spans="1:17" hidden="1" x14ac:dyDescent="0.25">
      <c r="A939" t="s">
        <v>1265</v>
      </c>
      <c r="B939" t="s">
        <v>22</v>
      </c>
      <c r="C939" t="s">
        <v>35</v>
      </c>
      <c r="D939" t="s">
        <v>1156</v>
      </c>
      <c r="E939">
        <v>2</v>
      </c>
      <c r="F939">
        <f>MAX(-1,3-Tableau1[[#This Row],[Nb possédé (digital)]])</f>
        <v>1</v>
      </c>
      <c r="G939">
        <v>3</v>
      </c>
      <c r="H939">
        <f>MAX(-1,3-Tableau1[[#This Row],[Possédé (physique)]])</f>
        <v>0</v>
      </c>
      <c r="I939" t="str">
        <f>IF(Tableau1[[#This Row],[Manque (physique)]]&gt;Tableau1[[#This Row],[Manque (digital)]],"POD",IF(Tableau1[[#This Row],[Manque (digital)]]&gt;Tableau1[[#This Row],[Manque (physique)]],"MarketPlace",""))</f>
        <v>MarketPlace</v>
      </c>
      <c r="J939" t="s">
        <v>30</v>
      </c>
      <c r="K939" t="s">
        <v>51</v>
      </c>
      <c r="L939" t="s">
        <v>37</v>
      </c>
      <c r="M939" t="s">
        <v>37</v>
      </c>
      <c r="N939" t="s">
        <v>37</v>
      </c>
      <c r="O939" t="s">
        <v>37</v>
      </c>
      <c r="P939" t="s">
        <v>37</v>
      </c>
      <c r="Q939" t="s">
        <v>1494</v>
      </c>
    </row>
    <row r="940" spans="1:17" hidden="1" x14ac:dyDescent="0.25">
      <c r="A940" t="s">
        <v>1244</v>
      </c>
      <c r="B940" t="s">
        <v>22</v>
      </c>
      <c r="C940" t="s">
        <v>35</v>
      </c>
      <c r="D940" t="s">
        <v>1156</v>
      </c>
      <c r="E940">
        <v>1</v>
      </c>
      <c r="F940">
        <f>MAX(-1,3-Tableau1[[#This Row],[Nb possédé (digital)]])</f>
        <v>2</v>
      </c>
      <c r="G940">
        <v>3</v>
      </c>
      <c r="H940">
        <f>MAX(-1,3-Tableau1[[#This Row],[Possédé (physique)]])</f>
        <v>0</v>
      </c>
      <c r="I940" t="str">
        <f>IF(Tableau1[[#This Row],[Manque (physique)]]&gt;Tableau1[[#This Row],[Manque (digital)]],"POD",IF(Tableau1[[#This Row],[Manque (digital)]]&gt;Tableau1[[#This Row],[Manque (physique)]],"MarketPlace",""))</f>
        <v>MarketPlace</v>
      </c>
      <c r="J940" t="s">
        <v>17</v>
      </c>
      <c r="K940" t="s">
        <v>97</v>
      </c>
      <c r="L940" t="s">
        <v>37</v>
      </c>
      <c r="M940" t="s">
        <v>37</v>
      </c>
      <c r="Q940" t="s">
        <v>1456</v>
      </c>
    </row>
    <row r="941" spans="1:17" hidden="1" x14ac:dyDescent="0.25">
      <c r="A941" t="s">
        <v>1261</v>
      </c>
      <c r="B941" t="s">
        <v>22</v>
      </c>
      <c r="C941" t="s">
        <v>35</v>
      </c>
      <c r="D941" t="s">
        <v>1156</v>
      </c>
      <c r="E941">
        <v>0</v>
      </c>
      <c r="F941">
        <f>MAX(-1,3-Tableau1[[#This Row],[Nb possédé (digital)]])</f>
        <v>3</v>
      </c>
      <c r="G941">
        <v>3</v>
      </c>
      <c r="H941">
        <f>MAX(-1,3-Tableau1[[#This Row],[Possédé (physique)]])</f>
        <v>0</v>
      </c>
      <c r="I941" t="str">
        <f>IF(Tableau1[[#This Row],[Manque (physique)]]&gt;Tableau1[[#This Row],[Manque (digital)]],"POD",IF(Tableau1[[#This Row],[Manque (digital)]]&gt;Tableau1[[#This Row],[Manque (physique)]],"MarketPlace",""))</f>
        <v>MarketPlace</v>
      </c>
      <c r="J941" t="s">
        <v>30</v>
      </c>
      <c r="K941" t="s">
        <v>1471</v>
      </c>
      <c r="L941" t="s">
        <v>37</v>
      </c>
      <c r="M941" t="s">
        <v>37</v>
      </c>
      <c r="N941" t="s">
        <v>52</v>
      </c>
      <c r="O941" t="s">
        <v>52</v>
      </c>
      <c r="P941" t="s">
        <v>52</v>
      </c>
      <c r="Q941" t="s">
        <v>1487</v>
      </c>
    </row>
    <row r="942" spans="1:17" hidden="1" x14ac:dyDescent="0.25">
      <c r="A942" t="s">
        <v>1227</v>
      </c>
      <c r="B942" t="s">
        <v>22</v>
      </c>
      <c r="C942" t="s">
        <v>35</v>
      </c>
      <c r="D942" t="s">
        <v>1156</v>
      </c>
      <c r="E942">
        <v>3</v>
      </c>
      <c r="F942">
        <f>MAX(-1,3-Tableau1[[#This Row],[Nb possédé (digital)]])</f>
        <v>0</v>
      </c>
      <c r="G942">
        <v>3</v>
      </c>
      <c r="H942">
        <f>MAX(-1,3-Tableau1[[#This Row],[Possédé (physique)]])</f>
        <v>0</v>
      </c>
      <c r="I942" t="str">
        <f>IF(Tableau1[[#This Row],[Manque (physique)]]&gt;Tableau1[[#This Row],[Manque (digital)]],"POD",IF(Tableau1[[#This Row],[Manque (digital)]]&gt;Tableau1[[#This Row],[Manque (physique)]],"MarketPlace",""))</f>
        <v/>
      </c>
      <c r="J942" t="s">
        <v>17</v>
      </c>
      <c r="K942" t="s">
        <v>201</v>
      </c>
      <c r="L942" t="s">
        <v>37</v>
      </c>
      <c r="M942" t="s">
        <v>39</v>
      </c>
      <c r="Q942" t="s">
        <v>1419</v>
      </c>
    </row>
    <row r="943" spans="1:17" hidden="1" x14ac:dyDescent="0.25">
      <c r="A943" t="s">
        <v>1257</v>
      </c>
      <c r="B943" t="s">
        <v>22</v>
      </c>
      <c r="C943" t="s">
        <v>35</v>
      </c>
      <c r="D943" t="s">
        <v>1156</v>
      </c>
      <c r="E943">
        <v>1</v>
      </c>
      <c r="F943">
        <f>MAX(-1,3-Tableau1[[#This Row],[Nb possédé (digital)]])</f>
        <v>2</v>
      </c>
      <c r="G943">
        <v>3</v>
      </c>
      <c r="H943">
        <f>MAX(-1,3-Tableau1[[#This Row],[Possédé (physique)]])</f>
        <v>0</v>
      </c>
      <c r="I943" t="str">
        <f>IF(Tableau1[[#This Row],[Manque (physique)]]&gt;Tableau1[[#This Row],[Manque (digital)]],"POD",IF(Tableau1[[#This Row],[Manque (digital)]]&gt;Tableau1[[#This Row],[Manque (physique)]],"MarketPlace",""))</f>
        <v>MarketPlace</v>
      </c>
      <c r="J943" t="s">
        <v>30</v>
      </c>
      <c r="K943" t="s">
        <v>236</v>
      </c>
      <c r="L943" t="s">
        <v>39</v>
      </c>
      <c r="M943" t="s">
        <v>39</v>
      </c>
      <c r="N943" t="s">
        <v>37</v>
      </c>
      <c r="O943" t="s">
        <v>37</v>
      </c>
      <c r="P943" t="s">
        <v>37</v>
      </c>
      <c r="Q943" t="s">
        <v>1480</v>
      </c>
    </row>
    <row r="944" spans="1:17" hidden="1" x14ac:dyDescent="0.25">
      <c r="A944" t="s">
        <v>1176</v>
      </c>
      <c r="B944" t="s">
        <v>22</v>
      </c>
      <c r="C944" t="s">
        <v>35</v>
      </c>
      <c r="D944" t="s">
        <v>1156</v>
      </c>
      <c r="E944">
        <v>1</v>
      </c>
      <c r="F944">
        <f>MAX(-1,3-Tableau1[[#This Row],[Nb possédé (digital)]])</f>
        <v>2</v>
      </c>
      <c r="G944">
        <v>3</v>
      </c>
      <c r="H944">
        <f>MAX(-1,3-Tableau1[[#This Row],[Possédé (physique)]])</f>
        <v>0</v>
      </c>
      <c r="I944" t="str">
        <f>IF(Tableau1[[#This Row],[Manque (physique)]]&gt;Tableau1[[#This Row],[Manque (digital)]],"POD",IF(Tableau1[[#This Row],[Manque (digital)]]&gt;Tableau1[[#This Row],[Manque (physique)]],"MarketPlace",""))</f>
        <v>MarketPlace</v>
      </c>
      <c r="J944" t="s">
        <v>17</v>
      </c>
      <c r="K944" t="s">
        <v>97</v>
      </c>
      <c r="L944" t="s">
        <v>380</v>
      </c>
      <c r="M944" t="s">
        <v>380</v>
      </c>
      <c r="Q944" t="s">
        <v>1311</v>
      </c>
    </row>
    <row r="945" spans="1:17" hidden="1" x14ac:dyDescent="0.25">
      <c r="A945" t="s">
        <v>1195</v>
      </c>
      <c r="B945" t="s">
        <v>22</v>
      </c>
      <c r="C945" t="s">
        <v>35</v>
      </c>
      <c r="D945" t="s">
        <v>1156</v>
      </c>
      <c r="E945">
        <v>2</v>
      </c>
      <c r="F945">
        <f>MAX(-1,3-Tableau1[[#This Row],[Nb possédé (digital)]])</f>
        <v>1</v>
      </c>
      <c r="G945">
        <v>3</v>
      </c>
      <c r="H945">
        <f>MAX(-1,3-Tableau1[[#This Row],[Possédé (physique)]])</f>
        <v>0</v>
      </c>
      <c r="I945" t="str">
        <f>IF(Tableau1[[#This Row],[Manque (physique)]]&gt;Tableau1[[#This Row],[Manque (digital)]],"POD",IF(Tableau1[[#This Row],[Manque (digital)]]&gt;Tableau1[[#This Row],[Manque (physique)]],"MarketPlace",""))</f>
        <v>MarketPlace</v>
      </c>
      <c r="J945" t="s">
        <v>30</v>
      </c>
      <c r="K945" t="s">
        <v>601</v>
      </c>
      <c r="L945" t="s">
        <v>380</v>
      </c>
      <c r="M945" t="s">
        <v>380</v>
      </c>
      <c r="N945" t="s">
        <v>37</v>
      </c>
      <c r="O945" t="s">
        <v>37</v>
      </c>
      <c r="P945" t="s">
        <v>37</v>
      </c>
      <c r="Q945" t="s">
        <v>1349</v>
      </c>
    </row>
    <row r="946" spans="1:17" hidden="1" x14ac:dyDescent="0.25">
      <c r="A946" t="s">
        <v>320</v>
      </c>
      <c r="B946" t="s">
        <v>22</v>
      </c>
      <c r="C946" t="s">
        <v>70</v>
      </c>
      <c r="D946" t="s">
        <v>16</v>
      </c>
      <c r="E946">
        <v>3</v>
      </c>
      <c r="F946">
        <f>MAX(-1,3-Tableau1[[#This Row],[Nb possédé (digital)]])</f>
        <v>0</v>
      </c>
      <c r="G946">
        <v>3</v>
      </c>
      <c r="H946">
        <f>MAX(-1,3-Tableau1[[#This Row],[Possédé (physique)]])</f>
        <v>0</v>
      </c>
      <c r="I946" t="str">
        <f>IF(Tableau1[[#This Row],[Manque (physique)]]&gt;Tableau1[[#This Row],[Manque (digital)]],"POD",IF(Tableau1[[#This Row],[Manque (digital)]]&gt;Tableau1[[#This Row],[Manque (physique)]],"MarketPlace",""))</f>
        <v/>
      </c>
      <c r="J946" t="s">
        <v>30</v>
      </c>
      <c r="K946" t="s">
        <v>321</v>
      </c>
      <c r="L946" t="s">
        <v>20</v>
      </c>
      <c r="M946" t="s">
        <v>20</v>
      </c>
      <c r="N946" t="s">
        <v>89</v>
      </c>
      <c r="O946" t="s">
        <v>20</v>
      </c>
      <c r="P946" t="s">
        <v>20</v>
      </c>
      <c r="Q946" t="s">
        <v>323</v>
      </c>
    </row>
    <row r="947" spans="1:17" hidden="1" x14ac:dyDescent="0.25">
      <c r="A947" t="s">
        <v>556</v>
      </c>
      <c r="B947" t="s">
        <v>22</v>
      </c>
      <c r="C947" t="s">
        <v>70</v>
      </c>
      <c r="D947" t="s">
        <v>16</v>
      </c>
      <c r="E947">
        <v>3</v>
      </c>
      <c r="F947">
        <f>MAX(-1,3-Tableau1[[#This Row],[Nb possédé (digital)]])</f>
        <v>0</v>
      </c>
      <c r="G947">
        <v>3</v>
      </c>
      <c r="H947">
        <f>MAX(-1,3-Tableau1[[#This Row],[Possédé (physique)]])</f>
        <v>0</v>
      </c>
      <c r="I947" t="str">
        <f>IF(Tableau1[[#This Row],[Manque (physique)]]&gt;Tableau1[[#This Row],[Manque (digital)]],"POD",IF(Tableau1[[#This Row],[Manque (digital)]]&gt;Tableau1[[#This Row],[Manque (physique)]],"MarketPlace",""))</f>
        <v/>
      </c>
      <c r="J947" t="s">
        <v>30</v>
      </c>
      <c r="K947" t="s">
        <v>557</v>
      </c>
      <c r="L947" t="s">
        <v>20</v>
      </c>
      <c r="M947" t="s">
        <v>20</v>
      </c>
      <c r="N947" t="s">
        <v>89</v>
      </c>
      <c r="O947" t="s">
        <v>20</v>
      </c>
      <c r="P947" t="s">
        <v>20</v>
      </c>
      <c r="Q947" t="s">
        <v>558</v>
      </c>
    </row>
    <row r="948" spans="1:17" hidden="1" x14ac:dyDescent="0.25">
      <c r="A948" t="s">
        <v>787</v>
      </c>
      <c r="B948" t="s">
        <v>22</v>
      </c>
      <c r="C948" t="s">
        <v>70</v>
      </c>
      <c r="D948" t="s">
        <v>16</v>
      </c>
      <c r="E948">
        <v>3</v>
      </c>
      <c r="F948">
        <f>MAX(-1,3-Tableau1[[#This Row],[Nb possédé (digital)]])</f>
        <v>0</v>
      </c>
      <c r="G948">
        <v>3</v>
      </c>
      <c r="H948">
        <f>MAX(-1,3-Tableau1[[#This Row],[Possédé (physique)]])</f>
        <v>0</v>
      </c>
      <c r="I948" t="str">
        <f>IF(Tableau1[[#This Row],[Manque (physique)]]&gt;Tableau1[[#This Row],[Manque (digital)]],"POD",IF(Tableau1[[#This Row],[Manque (digital)]]&gt;Tableau1[[#This Row],[Manque (physique)]],"MarketPlace",""))</f>
        <v/>
      </c>
      <c r="J948" t="s">
        <v>30</v>
      </c>
      <c r="K948" t="s">
        <v>59</v>
      </c>
      <c r="L948" t="s">
        <v>20</v>
      </c>
      <c r="M948" t="s">
        <v>20</v>
      </c>
      <c r="N948" t="s">
        <v>20</v>
      </c>
      <c r="O948" t="s">
        <v>20</v>
      </c>
      <c r="P948" t="s">
        <v>89</v>
      </c>
      <c r="Q948" t="s">
        <v>789</v>
      </c>
    </row>
    <row r="949" spans="1:17" hidden="1" x14ac:dyDescent="0.25">
      <c r="A949" t="s">
        <v>526</v>
      </c>
      <c r="B949" t="s">
        <v>22</v>
      </c>
      <c r="C949" t="s">
        <v>70</v>
      </c>
      <c r="D949" t="s">
        <v>16</v>
      </c>
      <c r="E949">
        <v>3</v>
      </c>
      <c r="F949">
        <f>MAX(-1,3-Tableau1[[#This Row],[Nb possédé (digital)]])</f>
        <v>0</v>
      </c>
      <c r="G949">
        <v>3</v>
      </c>
      <c r="H949">
        <f>MAX(-1,3-Tableau1[[#This Row],[Possédé (physique)]])</f>
        <v>0</v>
      </c>
      <c r="I949" t="str">
        <f>IF(Tableau1[[#This Row],[Manque (physique)]]&gt;Tableau1[[#This Row],[Manque (digital)]],"POD",IF(Tableau1[[#This Row],[Manque (digital)]]&gt;Tableau1[[#This Row],[Manque (physique)]],"MarketPlace",""))</f>
        <v/>
      </c>
      <c r="J949" t="s">
        <v>17</v>
      </c>
      <c r="K949" t="s">
        <v>201</v>
      </c>
      <c r="L949" t="s">
        <v>20</v>
      </c>
      <c r="M949" t="s">
        <v>19</v>
      </c>
      <c r="Q949" t="s">
        <v>527</v>
      </c>
    </row>
    <row r="950" spans="1:17" hidden="1" x14ac:dyDescent="0.25">
      <c r="A950" t="s">
        <v>403</v>
      </c>
      <c r="B950" t="s">
        <v>22</v>
      </c>
      <c r="C950" t="s">
        <v>70</v>
      </c>
      <c r="D950" t="s">
        <v>16</v>
      </c>
      <c r="E950">
        <v>2</v>
      </c>
      <c r="F950">
        <f>MAX(-1,3-Tableau1[[#This Row],[Nb possédé (digital)]])</f>
        <v>1</v>
      </c>
      <c r="G950">
        <v>3</v>
      </c>
      <c r="H950">
        <f>MAX(-1,3-Tableau1[[#This Row],[Possédé (physique)]])</f>
        <v>0</v>
      </c>
      <c r="I950" t="str">
        <f>IF(Tableau1[[#This Row],[Manque (physique)]]&gt;Tableau1[[#This Row],[Manque (digital)]],"POD",IF(Tableau1[[#This Row],[Manque (digital)]]&gt;Tableau1[[#This Row],[Manque (physique)]],"MarketPlace",""))</f>
        <v>MarketPlace</v>
      </c>
      <c r="J950" t="s">
        <v>17</v>
      </c>
      <c r="K950" t="s">
        <v>97</v>
      </c>
      <c r="L950" t="s">
        <v>20</v>
      </c>
      <c r="M950" t="s">
        <v>23</v>
      </c>
      <c r="Q950" t="s">
        <v>404</v>
      </c>
    </row>
    <row r="951" spans="1:17" hidden="1" x14ac:dyDescent="0.25">
      <c r="A951" t="s">
        <v>773</v>
      </c>
      <c r="B951" t="s">
        <v>22</v>
      </c>
      <c r="C951" t="s">
        <v>70</v>
      </c>
      <c r="D951" t="s">
        <v>16</v>
      </c>
      <c r="E951">
        <v>3</v>
      </c>
      <c r="F951">
        <f>MAX(-1,3-Tableau1[[#This Row],[Nb possédé (digital)]])</f>
        <v>0</v>
      </c>
      <c r="G951">
        <v>3</v>
      </c>
      <c r="H951">
        <f>MAX(-1,3-Tableau1[[#This Row],[Possédé (physique)]])</f>
        <v>0</v>
      </c>
      <c r="I951" t="str">
        <f>IF(Tableau1[[#This Row],[Manque (physique)]]&gt;Tableau1[[#This Row],[Manque (digital)]],"POD",IF(Tableau1[[#This Row],[Manque (digital)]]&gt;Tableau1[[#This Row],[Manque (physique)]],"MarketPlace",""))</f>
        <v/>
      </c>
      <c r="J951" t="s">
        <v>30</v>
      </c>
      <c r="K951" t="s">
        <v>774</v>
      </c>
      <c r="L951" t="s">
        <v>19</v>
      </c>
      <c r="M951" t="s">
        <v>20</v>
      </c>
      <c r="N951" t="s">
        <v>20</v>
      </c>
      <c r="O951" t="s">
        <v>20</v>
      </c>
      <c r="P951" t="s">
        <v>20</v>
      </c>
      <c r="Q951" t="s">
        <v>776</v>
      </c>
    </row>
    <row r="952" spans="1:17" hidden="1" x14ac:dyDescent="0.25">
      <c r="A952" t="s">
        <v>264</v>
      </c>
      <c r="B952" t="s">
        <v>22</v>
      </c>
      <c r="C952" t="s">
        <v>70</v>
      </c>
      <c r="D952" t="s">
        <v>16</v>
      </c>
      <c r="E952">
        <v>3</v>
      </c>
      <c r="F952">
        <f>MAX(-1,3-Tableau1[[#This Row],[Nb possédé (digital)]])</f>
        <v>0</v>
      </c>
      <c r="G952">
        <v>3</v>
      </c>
      <c r="H952">
        <f>MAX(-1,3-Tableau1[[#This Row],[Possédé (physique)]])</f>
        <v>0</v>
      </c>
      <c r="I952" t="str">
        <f>IF(Tableau1[[#This Row],[Manque (physique)]]&gt;Tableau1[[#This Row],[Manque (digital)]],"POD",IF(Tableau1[[#This Row],[Manque (digital)]]&gt;Tableau1[[#This Row],[Manque (physique)]],"MarketPlace",""))</f>
        <v/>
      </c>
      <c r="J952" t="s">
        <v>17</v>
      </c>
      <c r="K952" t="s">
        <v>153</v>
      </c>
      <c r="L952" t="s">
        <v>19</v>
      </c>
      <c r="M952" t="s">
        <v>19</v>
      </c>
      <c r="Q952" t="s">
        <v>266</v>
      </c>
    </row>
    <row r="953" spans="1:17" hidden="1" x14ac:dyDescent="0.25">
      <c r="A953" t="s">
        <v>282</v>
      </c>
      <c r="B953" t="s">
        <v>22</v>
      </c>
      <c r="C953" t="s">
        <v>70</v>
      </c>
      <c r="D953" t="s">
        <v>16</v>
      </c>
      <c r="E953">
        <v>3</v>
      </c>
      <c r="F953">
        <f>MAX(-1,3-Tableau1[[#This Row],[Nb possédé (digital)]])</f>
        <v>0</v>
      </c>
      <c r="G953">
        <v>3</v>
      </c>
      <c r="H953">
        <f>MAX(-1,3-Tableau1[[#This Row],[Possédé (physique)]])</f>
        <v>0</v>
      </c>
      <c r="I953" t="str">
        <f>IF(Tableau1[[#This Row],[Manque (physique)]]&gt;Tableau1[[#This Row],[Manque (digital)]],"POD",IF(Tableau1[[#This Row],[Manque (digital)]]&gt;Tableau1[[#This Row],[Manque (physique)]],"MarketPlace",""))</f>
        <v/>
      </c>
      <c r="J953" t="s">
        <v>30</v>
      </c>
      <c r="K953" t="s">
        <v>171</v>
      </c>
      <c r="L953" t="s">
        <v>19</v>
      </c>
      <c r="M953" t="s">
        <v>19</v>
      </c>
      <c r="N953" t="s">
        <v>19</v>
      </c>
      <c r="O953" t="s">
        <v>19</v>
      </c>
      <c r="P953" t="s">
        <v>19</v>
      </c>
      <c r="Q953" t="s">
        <v>284</v>
      </c>
    </row>
    <row r="954" spans="1:17" hidden="1" x14ac:dyDescent="0.25">
      <c r="A954" t="s">
        <v>392</v>
      </c>
      <c r="B954" t="s">
        <v>22</v>
      </c>
      <c r="C954" t="s">
        <v>70</v>
      </c>
      <c r="D954" t="s">
        <v>16</v>
      </c>
      <c r="E954">
        <v>3</v>
      </c>
      <c r="F954">
        <f>MAX(-1,3-Tableau1[[#This Row],[Nb possédé (digital)]])</f>
        <v>0</v>
      </c>
      <c r="G954">
        <v>3</v>
      </c>
      <c r="H954">
        <f>MAX(-1,3-Tableau1[[#This Row],[Possédé (physique)]])</f>
        <v>0</v>
      </c>
      <c r="I954" t="str">
        <f>IF(Tableau1[[#This Row],[Manque (physique)]]&gt;Tableau1[[#This Row],[Manque (digital)]],"POD",IF(Tableau1[[#This Row],[Manque (digital)]]&gt;Tableau1[[#This Row],[Manque (physique)]],"MarketPlace",""))</f>
        <v/>
      </c>
      <c r="J954" t="s">
        <v>30</v>
      </c>
      <c r="K954" t="s">
        <v>171</v>
      </c>
      <c r="L954" t="s">
        <v>19</v>
      </c>
      <c r="M954" t="s">
        <v>19</v>
      </c>
      <c r="N954" t="s">
        <v>19</v>
      </c>
      <c r="O954" t="s">
        <v>19</v>
      </c>
      <c r="P954" t="s">
        <v>19</v>
      </c>
      <c r="Q954" t="s">
        <v>394</v>
      </c>
    </row>
    <row r="955" spans="1:17" hidden="1" x14ac:dyDescent="0.25">
      <c r="A955" t="s">
        <v>400</v>
      </c>
      <c r="B955" t="s">
        <v>22</v>
      </c>
      <c r="C955" t="s">
        <v>70</v>
      </c>
      <c r="D955" t="s">
        <v>16</v>
      </c>
      <c r="E955">
        <v>3</v>
      </c>
      <c r="F955">
        <f>MAX(-1,3-Tableau1[[#This Row],[Nb possédé (digital)]])</f>
        <v>0</v>
      </c>
      <c r="G955">
        <v>3</v>
      </c>
      <c r="H955">
        <f>MAX(-1,3-Tableau1[[#This Row],[Possédé (physique)]])</f>
        <v>0</v>
      </c>
      <c r="I955" t="str">
        <f>IF(Tableau1[[#This Row],[Manque (physique)]]&gt;Tableau1[[#This Row],[Manque (digital)]],"POD",IF(Tableau1[[#This Row],[Manque (digital)]]&gt;Tableau1[[#This Row],[Manque (physique)]],"MarketPlace",""))</f>
        <v/>
      </c>
      <c r="J955" t="s">
        <v>17</v>
      </c>
      <c r="K955" t="s">
        <v>189</v>
      </c>
      <c r="L955" t="s">
        <v>19</v>
      </c>
      <c r="M955" t="s">
        <v>19</v>
      </c>
      <c r="Q955" t="s">
        <v>402</v>
      </c>
    </row>
    <row r="956" spans="1:17" hidden="1" x14ac:dyDescent="0.25">
      <c r="A956" t="s">
        <v>421</v>
      </c>
      <c r="B956" t="s">
        <v>22</v>
      </c>
      <c r="C956" t="s">
        <v>70</v>
      </c>
      <c r="D956" t="s">
        <v>16</v>
      </c>
      <c r="E956">
        <v>3</v>
      </c>
      <c r="F956">
        <f>MAX(-1,3-Tableau1[[#This Row],[Nb possédé (digital)]])</f>
        <v>0</v>
      </c>
      <c r="G956">
        <v>3</v>
      </c>
      <c r="H956">
        <f>MAX(-1,3-Tableau1[[#This Row],[Possédé (physique)]])</f>
        <v>0</v>
      </c>
      <c r="I956" t="str">
        <f>IF(Tableau1[[#This Row],[Manque (physique)]]&gt;Tableau1[[#This Row],[Manque (digital)]],"POD",IF(Tableau1[[#This Row],[Manque (digital)]]&gt;Tableau1[[#This Row],[Manque (physique)]],"MarketPlace",""))</f>
        <v/>
      </c>
      <c r="J956" t="s">
        <v>17</v>
      </c>
      <c r="K956" t="s">
        <v>153</v>
      </c>
      <c r="L956" t="s">
        <v>19</v>
      </c>
      <c r="M956" t="s">
        <v>19</v>
      </c>
      <c r="Q956" t="s">
        <v>422</v>
      </c>
    </row>
    <row r="957" spans="1:17" hidden="1" x14ac:dyDescent="0.25">
      <c r="A957" t="s">
        <v>474</v>
      </c>
      <c r="B957" t="s">
        <v>22</v>
      </c>
      <c r="C957" t="s">
        <v>70</v>
      </c>
      <c r="D957" t="s">
        <v>16</v>
      </c>
      <c r="E957">
        <v>3</v>
      </c>
      <c r="F957">
        <f>MAX(-1,3-Tableau1[[#This Row],[Nb possédé (digital)]])</f>
        <v>0</v>
      </c>
      <c r="G957">
        <v>3</v>
      </c>
      <c r="H957">
        <f>MAX(-1,3-Tableau1[[#This Row],[Possédé (physique)]])</f>
        <v>0</v>
      </c>
      <c r="I957" t="str">
        <f>IF(Tableau1[[#This Row],[Manque (physique)]]&gt;Tableau1[[#This Row],[Manque (digital)]],"POD",IF(Tableau1[[#This Row],[Manque (digital)]]&gt;Tableau1[[#This Row],[Manque (physique)]],"MarketPlace",""))</f>
        <v/>
      </c>
      <c r="J957" t="s">
        <v>17</v>
      </c>
      <c r="K957" t="s">
        <v>201</v>
      </c>
      <c r="L957" t="s">
        <v>19</v>
      </c>
      <c r="M957" t="s">
        <v>19</v>
      </c>
      <c r="Q957" t="s">
        <v>476</v>
      </c>
    </row>
    <row r="958" spans="1:17" hidden="1" x14ac:dyDescent="0.25">
      <c r="A958" t="s">
        <v>532</v>
      </c>
      <c r="B958" t="s">
        <v>22</v>
      </c>
      <c r="C958" t="s">
        <v>70</v>
      </c>
      <c r="D958" t="s">
        <v>16</v>
      </c>
      <c r="E958">
        <v>3</v>
      </c>
      <c r="F958">
        <f>MAX(-1,3-Tableau1[[#This Row],[Nb possédé (digital)]])</f>
        <v>0</v>
      </c>
      <c r="G958">
        <v>3</v>
      </c>
      <c r="H958">
        <f>MAX(-1,3-Tableau1[[#This Row],[Possédé (physique)]])</f>
        <v>0</v>
      </c>
      <c r="I958" t="str">
        <f>IF(Tableau1[[#This Row],[Manque (physique)]]&gt;Tableau1[[#This Row],[Manque (digital)]],"POD",IF(Tableau1[[#This Row],[Manque (digital)]]&gt;Tableau1[[#This Row],[Manque (physique)]],"MarketPlace",""))</f>
        <v/>
      </c>
      <c r="J958" t="s">
        <v>30</v>
      </c>
      <c r="K958" t="s">
        <v>86</v>
      </c>
      <c r="L958" t="s">
        <v>19</v>
      </c>
      <c r="M958" t="s">
        <v>19</v>
      </c>
      <c r="N958" t="s">
        <v>23</v>
      </c>
      <c r="O958" t="s">
        <v>23</v>
      </c>
      <c r="P958" t="s">
        <v>89</v>
      </c>
      <c r="Q958" t="s">
        <v>533</v>
      </c>
    </row>
    <row r="959" spans="1:17" hidden="1" x14ac:dyDescent="0.25">
      <c r="A959" t="s">
        <v>612</v>
      </c>
      <c r="B959" t="s">
        <v>22</v>
      </c>
      <c r="C959" t="s">
        <v>70</v>
      </c>
      <c r="D959" t="s">
        <v>16</v>
      </c>
      <c r="E959">
        <v>3</v>
      </c>
      <c r="F959">
        <f>MAX(-1,3-Tableau1[[#This Row],[Nb possédé (digital)]])</f>
        <v>0</v>
      </c>
      <c r="G959">
        <v>3</v>
      </c>
      <c r="H959">
        <f>MAX(-1,3-Tableau1[[#This Row],[Possédé (physique)]])</f>
        <v>0</v>
      </c>
      <c r="I959" t="str">
        <f>IF(Tableau1[[#This Row],[Manque (physique)]]&gt;Tableau1[[#This Row],[Manque (digital)]],"POD",IF(Tableau1[[#This Row],[Manque (digital)]]&gt;Tableau1[[#This Row],[Manque (physique)]],"MarketPlace",""))</f>
        <v/>
      </c>
      <c r="J959" t="s">
        <v>30</v>
      </c>
      <c r="K959" t="s">
        <v>613</v>
      </c>
      <c r="L959" t="s">
        <v>19</v>
      </c>
      <c r="M959" t="s">
        <v>19</v>
      </c>
      <c r="N959" t="s">
        <v>23</v>
      </c>
      <c r="O959" t="s">
        <v>23</v>
      </c>
      <c r="P959" t="s">
        <v>23</v>
      </c>
      <c r="Q959" t="s">
        <v>615</v>
      </c>
    </row>
    <row r="960" spans="1:17" hidden="1" x14ac:dyDescent="0.25">
      <c r="A960" t="s">
        <v>814</v>
      </c>
      <c r="B960" t="s">
        <v>22</v>
      </c>
      <c r="C960" t="s">
        <v>70</v>
      </c>
      <c r="D960" t="s">
        <v>16</v>
      </c>
      <c r="E960">
        <v>3</v>
      </c>
      <c r="F960">
        <f>MAX(-1,3-Tableau1[[#This Row],[Nb possédé (digital)]])</f>
        <v>0</v>
      </c>
      <c r="G960">
        <v>3</v>
      </c>
      <c r="H960">
        <f>MAX(-1,3-Tableau1[[#This Row],[Possédé (physique)]])</f>
        <v>0</v>
      </c>
      <c r="I960" t="str">
        <f>IF(Tableau1[[#This Row],[Manque (physique)]]&gt;Tableau1[[#This Row],[Manque (digital)]],"POD",IF(Tableau1[[#This Row],[Manque (digital)]]&gt;Tableau1[[#This Row],[Manque (physique)]],"MarketPlace",""))</f>
        <v/>
      </c>
      <c r="J960" t="s">
        <v>30</v>
      </c>
      <c r="K960" t="s">
        <v>68</v>
      </c>
      <c r="L960" t="s">
        <v>19</v>
      </c>
      <c r="M960" t="s">
        <v>19</v>
      </c>
      <c r="N960" t="s">
        <v>89</v>
      </c>
      <c r="O960" t="s">
        <v>89</v>
      </c>
      <c r="P960" t="s">
        <v>52</v>
      </c>
      <c r="Q960" t="s">
        <v>256</v>
      </c>
    </row>
    <row r="961" spans="1:17" hidden="1" x14ac:dyDescent="0.25">
      <c r="A961" t="s">
        <v>881</v>
      </c>
      <c r="B961" t="s">
        <v>22</v>
      </c>
      <c r="C961" t="s">
        <v>70</v>
      </c>
      <c r="D961" t="s">
        <v>16</v>
      </c>
      <c r="E961">
        <v>3</v>
      </c>
      <c r="F961">
        <f>MAX(-1,3-Tableau1[[#This Row],[Nb possédé (digital)]])</f>
        <v>0</v>
      </c>
      <c r="G961">
        <v>3</v>
      </c>
      <c r="H961">
        <f>MAX(-1,3-Tableau1[[#This Row],[Possédé (physique)]])</f>
        <v>0</v>
      </c>
      <c r="I961" t="str">
        <f>IF(Tableau1[[#This Row],[Manque (physique)]]&gt;Tableau1[[#This Row],[Manque (digital)]],"POD",IF(Tableau1[[#This Row],[Manque (digital)]]&gt;Tableau1[[#This Row],[Manque (physique)]],"MarketPlace",""))</f>
        <v/>
      </c>
      <c r="J961" t="s">
        <v>30</v>
      </c>
      <c r="K961" t="s">
        <v>83</v>
      </c>
      <c r="L961" t="s">
        <v>19</v>
      </c>
      <c r="M961" t="s">
        <v>19</v>
      </c>
      <c r="N961" t="s">
        <v>89</v>
      </c>
      <c r="O961" t="s">
        <v>23</v>
      </c>
      <c r="P961" t="s">
        <v>23</v>
      </c>
    </row>
    <row r="962" spans="1:17" hidden="1" x14ac:dyDescent="0.25">
      <c r="A962" t="s">
        <v>900</v>
      </c>
      <c r="B962" t="s">
        <v>22</v>
      </c>
      <c r="C962" t="s">
        <v>70</v>
      </c>
      <c r="D962" t="s">
        <v>16</v>
      </c>
      <c r="E962">
        <v>3</v>
      </c>
      <c r="F962">
        <f>MAX(-1,3-Tableau1[[#This Row],[Nb possédé (digital)]])</f>
        <v>0</v>
      </c>
      <c r="G962">
        <v>3</v>
      </c>
      <c r="H962">
        <f>MAX(-1,3-Tableau1[[#This Row],[Possédé (physique)]])</f>
        <v>0</v>
      </c>
      <c r="I962" t="str">
        <f>IF(Tableau1[[#This Row],[Manque (physique)]]&gt;Tableau1[[#This Row],[Manque (digital)]],"POD",IF(Tableau1[[#This Row],[Manque (digital)]]&gt;Tableau1[[#This Row],[Manque (physique)]],"MarketPlace",""))</f>
        <v/>
      </c>
      <c r="J962" t="s">
        <v>30</v>
      </c>
      <c r="K962" t="s">
        <v>68</v>
      </c>
      <c r="L962" t="s">
        <v>19</v>
      </c>
      <c r="M962" t="s">
        <v>19</v>
      </c>
      <c r="N962" t="s">
        <v>89</v>
      </c>
      <c r="O962" t="s">
        <v>89</v>
      </c>
      <c r="P962" t="s">
        <v>89</v>
      </c>
      <c r="Q962" t="s">
        <v>903</v>
      </c>
    </row>
    <row r="963" spans="1:17" hidden="1" x14ac:dyDescent="0.25">
      <c r="A963" t="s">
        <v>1008</v>
      </c>
      <c r="B963" t="s">
        <v>22</v>
      </c>
      <c r="C963" t="s">
        <v>70</v>
      </c>
      <c r="D963" t="s">
        <v>16</v>
      </c>
      <c r="E963">
        <v>3</v>
      </c>
      <c r="F963">
        <f>MAX(-1,3-Tableau1[[#This Row],[Nb possédé (digital)]])</f>
        <v>0</v>
      </c>
      <c r="G963">
        <v>3</v>
      </c>
      <c r="H963">
        <f>MAX(-1,3-Tableau1[[#This Row],[Possédé (physique)]])</f>
        <v>0</v>
      </c>
      <c r="I963" t="str">
        <f>IF(Tableau1[[#This Row],[Manque (physique)]]&gt;Tableau1[[#This Row],[Manque (digital)]],"POD",IF(Tableau1[[#This Row],[Manque (digital)]]&gt;Tableau1[[#This Row],[Manque (physique)]],"MarketPlace",""))</f>
        <v/>
      </c>
      <c r="J963" t="s">
        <v>30</v>
      </c>
      <c r="K963" t="s">
        <v>171</v>
      </c>
      <c r="L963" t="s">
        <v>19</v>
      </c>
      <c r="M963" t="s">
        <v>19</v>
      </c>
      <c r="N963" t="s">
        <v>23</v>
      </c>
      <c r="O963" t="s">
        <v>89</v>
      </c>
      <c r="P963" t="s">
        <v>19</v>
      </c>
      <c r="Q963" t="s">
        <v>1009</v>
      </c>
    </row>
    <row r="964" spans="1:17" hidden="1" x14ac:dyDescent="0.25">
      <c r="A964" t="s">
        <v>418</v>
      </c>
      <c r="B964" t="s">
        <v>22</v>
      </c>
      <c r="C964" t="s">
        <v>70</v>
      </c>
      <c r="D964" t="s">
        <v>16</v>
      </c>
      <c r="E964">
        <v>3</v>
      </c>
      <c r="F964">
        <f>MAX(-1,3-Tableau1[[#This Row],[Nb possédé (digital)]])</f>
        <v>0</v>
      </c>
      <c r="G964">
        <v>3</v>
      </c>
      <c r="H964">
        <f>MAX(-1,3-Tableau1[[#This Row],[Possédé (physique)]])</f>
        <v>0</v>
      </c>
      <c r="I964" t="str">
        <f>IF(Tableau1[[#This Row],[Manque (physique)]]&gt;Tableau1[[#This Row],[Manque (digital)]],"POD",IF(Tableau1[[#This Row],[Manque (digital)]]&gt;Tableau1[[#This Row],[Manque (physique)]],"MarketPlace",""))</f>
        <v/>
      </c>
      <c r="J964" t="s">
        <v>30</v>
      </c>
      <c r="K964" t="s">
        <v>171</v>
      </c>
      <c r="L964" t="s">
        <v>19</v>
      </c>
      <c r="M964" t="s">
        <v>23</v>
      </c>
      <c r="N964" t="s">
        <v>89</v>
      </c>
      <c r="O964" t="s">
        <v>19</v>
      </c>
      <c r="P964" t="s">
        <v>19</v>
      </c>
      <c r="Q964" t="s">
        <v>420</v>
      </c>
    </row>
    <row r="965" spans="1:17" hidden="1" x14ac:dyDescent="0.25">
      <c r="A965" t="s">
        <v>480</v>
      </c>
      <c r="B965" t="s">
        <v>22</v>
      </c>
      <c r="C965" t="s">
        <v>70</v>
      </c>
      <c r="D965" t="s">
        <v>16</v>
      </c>
      <c r="E965">
        <v>3</v>
      </c>
      <c r="F965">
        <f>MAX(-1,3-Tableau1[[#This Row],[Nb possédé (digital)]])</f>
        <v>0</v>
      </c>
      <c r="G965">
        <v>3</v>
      </c>
      <c r="H965">
        <f>MAX(-1,3-Tableau1[[#This Row],[Possédé (physique)]])</f>
        <v>0</v>
      </c>
      <c r="I965" t="str">
        <f>IF(Tableau1[[#This Row],[Manque (physique)]]&gt;Tableau1[[#This Row],[Manque (digital)]],"POD",IF(Tableau1[[#This Row],[Manque (digital)]]&gt;Tableau1[[#This Row],[Manque (physique)]],"MarketPlace",""))</f>
        <v/>
      </c>
      <c r="J965" t="s">
        <v>30</v>
      </c>
      <c r="K965" t="s">
        <v>481</v>
      </c>
      <c r="L965" t="s">
        <v>19</v>
      </c>
      <c r="M965" t="s">
        <v>23</v>
      </c>
      <c r="N965" t="s">
        <v>20</v>
      </c>
      <c r="O965" t="s">
        <v>23</v>
      </c>
      <c r="P965" t="s">
        <v>23</v>
      </c>
      <c r="Q965" t="s">
        <v>482</v>
      </c>
    </row>
    <row r="966" spans="1:17" hidden="1" x14ac:dyDescent="0.25">
      <c r="A966" t="s">
        <v>1132</v>
      </c>
      <c r="B966" t="s">
        <v>22</v>
      </c>
      <c r="C966" t="s">
        <v>70</v>
      </c>
      <c r="D966" t="s">
        <v>16</v>
      </c>
      <c r="E966">
        <v>3</v>
      </c>
      <c r="F966">
        <f>MAX(-1,3-Tableau1[[#This Row],[Nb possédé (digital)]])</f>
        <v>0</v>
      </c>
      <c r="G966">
        <v>3</v>
      </c>
      <c r="H966">
        <f>MAX(-1,3-Tableau1[[#This Row],[Possédé (physique)]])</f>
        <v>0</v>
      </c>
      <c r="I966" t="str">
        <f>IF(Tableau1[[#This Row],[Manque (physique)]]&gt;Tableau1[[#This Row],[Manque (digital)]],"POD",IF(Tableau1[[#This Row],[Manque (digital)]]&gt;Tableau1[[#This Row],[Manque (physique)]],"MarketPlace",""))</f>
        <v/>
      </c>
      <c r="J966" t="s">
        <v>17</v>
      </c>
      <c r="K966" t="s">
        <v>153</v>
      </c>
      <c r="L966" t="s">
        <v>19</v>
      </c>
      <c r="M966" t="s">
        <v>52</v>
      </c>
      <c r="Q966" t="s">
        <v>1133</v>
      </c>
    </row>
    <row r="967" spans="1:17" hidden="1" x14ac:dyDescent="0.25">
      <c r="A967" t="s">
        <v>85</v>
      </c>
      <c r="B967" t="s">
        <v>22</v>
      </c>
      <c r="C967" t="s">
        <v>70</v>
      </c>
      <c r="D967" t="s">
        <v>16</v>
      </c>
      <c r="E967">
        <v>3</v>
      </c>
      <c r="F967">
        <f>MAX(-1,3-Tableau1[[#This Row],[Nb possédé (digital)]])</f>
        <v>0</v>
      </c>
      <c r="G967">
        <v>3</v>
      </c>
      <c r="H967">
        <f>MAX(-1,3-Tableau1[[#This Row],[Possédé (physique)]])</f>
        <v>0</v>
      </c>
      <c r="I967" t="str">
        <f>IF(Tableau1[[#This Row],[Manque (physique)]]&gt;Tableau1[[#This Row],[Manque (digital)]],"POD",IF(Tableau1[[#This Row],[Manque (digital)]]&gt;Tableau1[[#This Row],[Manque (physique)]],"MarketPlace",""))</f>
        <v/>
      </c>
      <c r="J967" t="s">
        <v>30</v>
      </c>
      <c r="K967" t="s">
        <v>86</v>
      </c>
      <c r="L967" t="s">
        <v>23</v>
      </c>
      <c r="M967" t="s">
        <v>19</v>
      </c>
      <c r="N967" t="s">
        <v>89</v>
      </c>
      <c r="O967" t="s">
        <v>89</v>
      </c>
      <c r="P967" t="s">
        <v>89</v>
      </c>
      <c r="Q967" t="s">
        <v>90</v>
      </c>
    </row>
    <row r="968" spans="1:17" hidden="1" x14ac:dyDescent="0.25">
      <c r="A968" t="s">
        <v>314</v>
      </c>
      <c r="B968" t="s">
        <v>22</v>
      </c>
      <c r="C968" t="s">
        <v>70</v>
      </c>
      <c r="D968" t="s">
        <v>16</v>
      </c>
      <c r="E968">
        <v>3</v>
      </c>
      <c r="F968">
        <f>MAX(-1,3-Tableau1[[#This Row],[Nb possédé (digital)]])</f>
        <v>0</v>
      </c>
      <c r="G968">
        <v>3</v>
      </c>
      <c r="H968">
        <f>MAX(-1,3-Tableau1[[#This Row],[Possédé (physique)]])</f>
        <v>0</v>
      </c>
      <c r="I968" t="str">
        <f>IF(Tableau1[[#This Row],[Manque (physique)]]&gt;Tableau1[[#This Row],[Manque (digital)]],"POD",IF(Tableau1[[#This Row],[Manque (digital)]]&gt;Tableau1[[#This Row],[Manque (physique)]],"MarketPlace",""))</f>
        <v/>
      </c>
      <c r="J968" t="s">
        <v>30</v>
      </c>
      <c r="K968" t="s">
        <v>171</v>
      </c>
      <c r="L968" t="s">
        <v>23</v>
      </c>
      <c r="M968" t="s">
        <v>19</v>
      </c>
      <c r="N968" t="s">
        <v>89</v>
      </c>
      <c r="O968" t="s">
        <v>19</v>
      </c>
      <c r="P968" t="s">
        <v>19</v>
      </c>
      <c r="Q968" t="s">
        <v>316</v>
      </c>
    </row>
    <row r="969" spans="1:17" hidden="1" x14ac:dyDescent="0.25">
      <c r="A969" t="s">
        <v>698</v>
      </c>
      <c r="B969" t="s">
        <v>22</v>
      </c>
      <c r="C969" t="s">
        <v>70</v>
      </c>
      <c r="D969" t="s">
        <v>16</v>
      </c>
      <c r="E969">
        <v>1</v>
      </c>
      <c r="F969">
        <f>MAX(-1,3-Tableau1[[#This Row],[Nb possédé (digital)]])</f>
        <v>2</v>
      </c>
      <c r="G969">
        <v>3</v>
      </c>
      <c r="H969">
        <f>MAX(-1,3-Tableau1[[#This Row],[Possédé (physique)]])</f>
        <v>0</v>
      </c>
      <c r="I969" t="str">
        <f>IF(Tableau1[[#This Row],[Manque (physique)]]&gt;Tableau1[[#This Row],[Manque (digital)]],"POD",IF(Tableau1[[#This Row],[Manque (digital)]]&gt;Tableau1[[#This Row],[Manque (physique)]],"MarketPlace",""))</f>
        <v>MarketPlace</v>
      </c>
      <c r="J969" t="s">
        <v>30</v>
      </c>
      <c r="K969" t="s">
        <v>171</v>
      </c>
      <c r="L969" t="s">
        <v>23</v>
      </c>
      <c r="M969" t="s">
        <v>19</v>
      </c>
      <c r="N969" t="s">
        <v>89</v>
      </c>
      <c r="O969" t="s">
        <v>23</v>
      </c>
      <c r="P969" t="s">
        <v>23</v>
      </c>
      <c r="Q969" t="s">
        <v>700</v>
      </c>
    </row>
    <row r="970" spans="1:17" hidden="1" x14ac:dyDescent="0.25">
      <c r="A970" t="s">
        <v>67</v>
      </c>
      <c r="B970" t="s">
        <v>22</v>
      </c>
      <c r="C970" t="s">
        <v>70</v>
      </c>
      <c r="D970" t="s">
        <v>16</v>
      </c>
      <c r="E970">
        <v>0</v>
      </c>
      <c r="F970">
        <f>MAX(-1,3-Tableau1[[#This Row],[Nb possédé (digital)]])</f>
        <v>3</v>
      </c>
      <c r="G970">
        <v>3</v>
      </c>
      <c r="H970">
        <f>MAX(-1,3-Tableau1[[#This Row],[Possédé (physique)]])</f>
        <v>0</v>
      </c>
      <c r="I970" t="str">
        <f>IF(Tableau1[[#This Row],[Manque (physique)]]&gt;Tableau1[[#This Row],[Manque (digital)]],"POD",IF(Tableau1[[#This Row],[Manque (digital)]]&gt;Tableau1[[#This Row],[Manque (physique)]],"MarketPlace",""))</f>
        <v>MarketPlace</v>
      </c>
      <c r="J970" t="s">
        <v>30</v>
      </c>
      <c r="K970" t="s">
        <v>68</v>
      </c>
      <c r="L970" t="s">
        <v>23</v>
      </c>
      <c r="M970" t="s">
        <v>23</v>
      </c>
      <c r="N970" t="s">
        <v>23</v>
      </c>
      <c r="O970" t="s">
        <v>23</v>
      </c>
      <c r="P970" t="s">
        <v>52</v>
      </c>
      <c r="Q970" t="s">
        <v>69</v>
      </c>
    </row>
    <row r="971" spans="1:17" hidden="1" x14ac:dyDescent="0.25">
      <c r="A971" t="s">
        <v>71</v>
      </c>
      <c r="B971" t="s">
        <v>22</v>
      </c>
      <c r="C971" t="s">
        <v>70</v>
      </c>
      <c r="D971" t="s">
        <v>16</v>
      </c>
      <c r="E971">
        <v>3</v>
      </c>
      <c r="F971">
        <f>MAX(-1,3-Tableau1[[#This Row],[Nb possédé (digital)]])</f>
        <v>0</v>
      </c>
      <c r="G971">
        <v>3</v>
      </c>
      <c r="H971">
        <f>MAX(-1,3-Tableau1[[#This Row],[Possédé (physique)]])</f>
        <v>0</v>
      </c>
      <c r="I971" t="str">
        <f>IF(Tableau1[[#This Row],[Manque (physique)]]&gt;Tableau1[[#This Row],[Manque (digital)]],"POD",IF(Tableau1[[#This Row],[Manque (digital)]]&gt;Tableau1[[#This Row],[Manque (physique)]],"MarketPlace",""))</f>
        <v/>
      </c>
      <c r="J971" t="s">
        <v>30</v>
      </c>
      <c r="K971" t="s">
        <v>72</v>
      </c>
      <c r="L971" t="s">
        <v>23</v>
      </c>
      <c r="M971" t="s">
        <v>23</v>
      </c>
      <c r="N971" t="s">
        <v>19</v>
      </c>
      <c r="O971" t="s">
        <v>19</v>
      </c>
      <c r="P971" t="s">
        <v>52</v>
      </c>
      <c r="Q971" t="s">
        <v>74</v>
      </c>
    </row>
    <row r="972" spans="1:17" hidden="1" x14ac:dyDescent="0.25">
      <c r="A972" t="s">
        <v>235</v>
      </c>
      <c r="B972" t="s">
        <v>22</v>
      </c>
      <c r="C972" t="s">
        <v>70</v>
      </c>
      <c r="D972" t="s">
        <v>16</v>
      </c>
      <c r="E972">
        <v>3</v>
      </c>
      <c r="F972">
        <f>MAX(-1,3-Tableau1[[#This Row],[Nb possédé (digital)]])</f>
        <v>0</v>
      </c>
      <c r="G972">
        <v>3</v>
      </c>
      <c r="H972">
        <f>MAX(-1,3-Tableau1[[#This Row],[Possédé (physique)]])</f>
        <v>0</v>
      </c>
      <c r="I972" t="str">
        <f>IF(Tableau1[[#This Row],[Manque (physique)]]&gt;Tableau1[[#This Row],[Manque (digital)]],"POD",IF(Tableau1[[#This Row],[Manque (digital)]]&gt;Tableau1[[#This Row],[Manque (physique)]],"MarketPlace",""))</f>
        <v/>
      </c>
      <c r="J972" t="s">
        <v>30</v>
      </c>
      <c r="K972" t="s">
        <v>236</v>
      </c>
      <c r="L972" t="s">
        <v>23</v>
      </c>
      <c r="M972" t="s">
        <v>23</v>
      </c>
      <c r="N972" t="s">
        <v>52</v>
      </c>
      <c r="O972" t="s">
        <v>52</v>
      </c>
      <c r="P972" t="s">
        <v>52</v>
      </c>
    </row>
    <row r="973" spans="1:17" hidden="1" x14ac:dyDescent="0.25">
      <c r="A973" t="s">
        <v>255</v>
      </c>
      <c r="B973" t="s">
        <v>22</v>
      </c>
      <c r="C973" t="s">
        <v>70</v>
      </c>
      <c r="D973" t="s">
        <v>16</v>
      </c>
      <c r="E973">
        <v>3</v>
      </c>
      <c r="F973">
        <f>MAX(-1,3-Tableau1[[#This Row],[Nb possédé (digital)]])</f>
        <v>0</v>
      </c>
      <c r="G973">
        <v>4</v>
      </c>
      <c r="H973">
        <f>MAX(-1,3-Tableau1[[#This Row],[Possédé (physique)]])</f>
        <v>-1</v>
      </c>
      <c r="I973" t="str">
        <f>IF(Tableau1[[#This Row],[Manque (physique)]]&gt;Tableau1[[#This Row],[Manque (digital)]],"POD",IF(Tableau1[[#This Row],[Manque (digital)]]&gt;Tableau1[[#This Row],[Manque (physique)]],"MarketPlace",""))</f>
        <v>MarketPlace</v>
      </c>
      <c r="J973" t="s">
        <v>30</v>
      </c>
      <c r="K973" t="s">
        <v>171</v>
      </c>
      <c r="L973" t="s">
        <v>23</v>
      </c>
      <c r="M973" t="s">
        <v>23</v>
      </c>
      <c r="N973" t="s">
        <v>52</v>
      </c>
      <c r="O973" t="s">
        <v>89</v>
      </c>
      <c r="P973" t="s">
        <v>52</v>
      </c>
      <c r="Q973" t="s">
        <v>256</v>
      </c>
    </row>
    <row r="974" spans="1:17" hidden="1" x14ac:dyDescent="0.25">
      <c r="A974" t="s">
        <v>630</v>
      </c>
      <c r="B974" t="s">
        <v>22</v>
      </c>
      <c r="C974" t="s">
        <v>70</v>
      </c>
      <c r="D974" t="s">
        <v>16</v>
      </c>
      <c r="E974">
        <v>3</v>
      </c>
      <c r="F974">
        <f>MAX(-1,3-Tableau1[[#This Row],[Nb possédé (digital)]])</f>
        <v>0</v>
      </c>
      <c r="G974">
        <v>3</v>
      </c>
      <c r="H974">
        <f>MAX(-1,3-Tableau1[[#This Row],[Possédé (physique)]])</f>
        <v>0</v>
      </c>
      <c r="I974" t="str">
        <f>IF(Tableau1[[#This Row],[Manque (physique)]]&gt;Tableau1[[#This Row],[Manque (digital)]],"POD",IF(Tableau1[[#This Row],[Manque (digital)]]&gt;Tableau1[[#This Row],[Manque (physique)]],"MarketPlace",""))</f>
        <v/>
      </c>
      <c r="J974" t="s">
        <v>217</v>
      </c>
      <c r="K974" t="s">
        <v>218</v>
      </c>
      <c r="L974" t="s">
        <v>23</v>
      </c>
      <c r="M974" t="s">
        <v>23</v>
      </c>
      <c r="Q974" t="s">
        <v>631</v>
      </c>
    </row>
    <row r="975" spans="1:17" hidden="1" x14ac:dyDescent="0.25">
      <c r="A975" t="s">
        <v>1033</v>
      </c>
      <c r="B975" t="s">
        <v>22</v>
      </c>
      <c r="C975" t="s">
        <v>70</v>
      </c>
      <c r="D975" t="s">
        <v>16</v>
      </c>
      <c r="E975">
        <v>3</v>
      </c>
      <c r="F975">
        <f>MAX(-1,3-Tableau1[[#This Row],[Nb possédé (digital)]])</f>
        <v>0</v>
      </c>
      <c r="G975">
        <v>3</v>
      </c>
      <c r="H975">
        <f>MAX(-1,3-Tableau1[[#This Row],[Possédé (physique)]])</f>
        <v>0</v>
      </c>
      <c r="I975" t="str">
        <f>IF(Tableau1[[#This Row],[Manque (physique)]]&gt;Tableau1[[#This Row],[Manque (digital)]],"POD",IF(Tableau1[[#This Row],[Manque (digital)]]&gt;Tableau1[[#This Row],[Manque (physique)]],"MarketPlace",""))</f>
        <v/>
      </c>
      <c r="J975" t="s">
        <v>30</v>
      </c>
      <c r="K975" t="s">
        <v>103</v>
      </c>
      <c r="L975" t="s">
        <v>23</v>
      </c>
      <c r="M975" t="s">
        <v>23</v>
      </c>
      <c r="N975" t="s">
        <v>23</v>
      </c>
      <c r="O975" t="s">
        <v>23</v>
      </c>
      <c r="P975" t="s">
        <v>89</v>
      </c>
      <c r="Q975" t="s">
        <v>1034</v>
      </c>
    </row>
    <row r="976" spans="1:17" hidden="1" x14ac:dyDescent="0.25">
      <c r="A976" t="s">
        <v>1035</v>
      </c>
      <c r="B976" t="s">
        <v>22</v>
      </c>
      <c r="C976" t="s">
        <v>70</v>
      </c>
      <c r="D976" t="s">
        <v>16</v>
      </c>
      <c r="E976">
        <v>3</v>
      </c>
      <c r="F976">
        <f>MAX(-1,3-Tableau1[[#This Row],[Nb possédé (digital)]])</f>
        <v>0</v>
      </c>
      <c r="G976">
        <v>3</v>
      </c>
      <c r="H976">
        <f>MAX(-1,3-Tableau1[[#This Row],[Possédé (physique)]])</f>
        <v>0</v>
      </c>
      <c r="I976" t="str">
        <f>IF(Tableau1[[#This Row],[Manque (physique)]]&gt;Tableau1[[#This Row],[Manque (digital)]],"POD",IF(Tableau1[[#This Row],[Manque (digital)]]&gt;Tableau1[[#This Row],[Manque (physique)]],"MarketPlace",""))</f>
        <v/>
      </c>
      <c r="J976" t="s">
        <v>17</v>
      </c>
      <c r="K976" t="s">
        <v>18</v>
      </c>
      <c r="L976" t="s">
        <v>23</v>
      </c>
      <c r="M976" t="s">
        <v>23</v>
      </c>
      <c r="Q976" t="s">
        <v>1038</v>
      </c>
    </row>
    <row r="977" spans="1:17" hidden="1" x14ac:dyDescent="0.25">
      <c r="A977" t="s">
        <v>1075</v>
      </c>
      <c r="B977" t="s">
        <v>22</v>
      </c>
      <c r="C977" t="s">
        <v>70</v>
      </c>
      <c r="D977" t="s">
        <v>16</v>
      </c>
      <c r="E977">
        <v>3</v>
      </c>
      <c r="F977">
        <f>MAX(-1,3-Tableau1[[#This Row],[Nb possédé (digital)]])</f>
        <v>0</v>
      </c>
      <c r="G977">
        <v>3</v>
      </c>
      <c r="H977">
        <f>MAX(-1,3-Tableau1[[#This Row],[Possédé (physique)]])</f>
        <v>0</v>
      </c>
      <c r="I977" t="str">
        <f>IF(Tableau1[[#This Row],[Manque (physique)]]&gt;Tableau1[[#This Row],[Manque (digital)]],"POD",IF(Tableau1[[#This Row],[Manque (digital)]]&gt;Tableau1[[#This Row],[Manque (physique)]],"MarketPlace",""))</f>
        <v/>
      </c>
      <c r="J977" t="s">
        <v>30</v>
      </c>
      <c r="K977" t="s">
        <v>36</v>
      </c>
      <c r="L977" t="s">
        <v>23</v>
      </c>
      <c r="M977" t="s">
        <v>23</v>
      </c>
      <c r="N977" t="s">
        <v>19</v>
      </c>
      <c r="O977" t="s">
        <v>37</v>
      </c>
      <c r="P977" t="s">
        <v>37</v>
      </c>
      <c r="Q977" t="s">
        <v>1077</v>
      </c>
    </row>
    <row r="978" spans="1:17" x14ac:dyDescent="0.25">
      <c r="A978" t="s">
        <v>1126</v>
      </c>
      <c r="B978" t="s">
        <v>22</v>
      </c>
      <c r="C978" t="s">
        <v>70</v>
      </c>
      <c r="D978" t="s">
        <v>16</v>
      </c>
      <c r="E978">
        <v>4</v>
      </c>
      <c r="F978">
        <f>MAX(-1,3-Tableau1[[#This Row],[Nb possédé (digital)]])</f>
        <v>-1</v>
      </c>
      <c r="G978">
        <v>4</v>
      </c>
      <c r="H978">
        <f>MAX(-1,3-Tableau1[[#This Row],[Possédé (physique)]])</f>
        <v>-1</v>
      </c>
      <c r="I978" t="str">
        <f>IF(Tableau1[[#This Row],[Manque (physique)]]&gt;Tableau1[[#This Row],[Manque (digital)]],"POD",IF(Tableau1[[#This Row],[Manque (digital)]]&gt;Tableau1[[#This Row],[Manque (physique)]],"MarketPlace",""))</f>
        <v/>
      </c>
      <c r="J978" t="s">
        <v>30</v>
      </c>
      <c r="K978" t="s">
        <v>358</v>
      </c>
      <c r="L978" t="s">
        <v>23</v>
      </c>
      <c r="M978" t="s">
        <v>23</v>
      </c>
      <c r="N978" t="s">
        <v>23</v>
      </c>
      <c r="O978" t="s">
        <v>23</v>
      </c>
      <c r="P978" t="s">
        <v>23</v>
      </c>
      <c r="Q978" t="s">
        <v>1128</v>
      </c>
    </row>
    <row r="979" spans="1:17" hidden="1" x14ac:dyDescent="0.25">
      <c r="A979" t="s">
        <v>344</v>
      </c>
      <c r="B979" t="s">
        <v>22</v>
      </c>
      <c r="C979" t="s">
        <v>70</v>
      </c>
      <c r="D979" t="s">
        <v>16</v>
      </c>
      <c r="E979">
        <v>3</v>
      </c>
      <c r="F979">
        <f>MAX(-1,3-Tableau1[[#This Row],[Nb possédé (digital)]])</f>
        <v>0</v>
      </c>
      <c r="G979">
        <v>3</v>
      </c>
      <c r="H979">
        <f>MAX(-1,3-Tableau1[[#This Row],[Possédé (physique)]])</f>
        <v>0</v>
      </c>
      <c r="I979" t="str">
        <f>IF(Tableau1[[#This Row],[Manque (physique)]]&gt;Tableau1[[#This Row],[Manque (digital)]],"POD",IF(Tableau1[[#This Row],[Manque (digital)]]&gt;Tableau1[[#This Row],[Manque (physique)]],"MarketPlace",""))</f>
        <v/>
      </c>
      <c r="J979" t="s">
        <v>30</v>
      </c>
      <c r="K979" t="s">
        <v>42</v>
      </c>
      <c r="L979" t="s">
        <v>52</v>
      </c>
      <c r="M979" t="s">
        <v>19</v>
      </c>
      <c r="N979" t="s">
        <v>23</v>
      </c>
      <c r="O979" t="s">
        <v>23</v>
      </c>
      <c r="P979" t="s">
        <v>23</v>
      </c>
      <c r="Q979" t="s">
        <v>345</v>
      </c>
    </row>
    <row r="980" spans="1:17" hidden="1" x14ac:dyDescent="0.25">
      <c r="A980" t="s">
        <v>465</v>
      </c>
      <c r="B980" t="s">
        <v>22</v>
      </c>
      <c r="C980" t="s">
        <v>70</v>
      </c>
      <c r="D980" t="s">
        <v>16</v>
      </c>
      <c r="E980">
        <v>3</v>
      </c>
      <c r="F980">
        <f>MAX(-1,3-Tableau1[[#This Row],[Nb possédé (digital)]])</f>
        <v>0</v>
      </c>
      <c r="G980">
        <v>3</v>
      </c>
      <c r="H980">
        <f>MAX(-1,3-Tableau1[[#This Row],[Possédé (physique)]])</f>
        <v>0</v>
      </c>
      <c r="I980" t="str">
        <f>IF(Tableau1[[#This Row],[Manque (physique)]]&gt;Tableau1[[#This Row],[Manque (digital)]],"POD",IF(Tableau1[[#This Row],[Manque (digital)]]&gt;Tableau1[[#This Row],[Manque (physique)]],"MarketPlace",""))</f>
        <v/>
      </c>
      <c r="J980" t="s">
        <v>30</v>
      </c>
      <c r="K980" t="s">
        <v>63</v>
      </c>
      <c r="L980" t="s">
        <v>52</v>
      </c>
      <c r="M980" t="s">
        <v>23</v>
      </c>
      <c r="N980" t="s">
        <v>52</v>
      </c>
      <c r="O980" t="s">
        <v>23</v>
      </c>
      <c r="P980" t="s">
        <v>23</v>
      </c>
      <c r="Q980" t="s">
        <v>466</v>
      </c>
    </row>
    <row r="981" spans="1:17" hidden="1" x14ac:dyDescent="0.25">
      <c r="A981" t="s">
        <v>1152</v>
      </c>
      <c r="B981" t="s">
        <v>22</v>
      </c>
      <c r="C981" t="s">
        <v>70</v>
      </c>
      <c r="D981" t="s">
        <v>16</v>
      </c>
      <c r="E981">
        <v>2</v>
      </c>
      <c r="F981">
        <f>MAX(-1,3-Tableau1[[#This Row],[Nb possédé (digital)]])</f>
        <v>1</v>
      </c>
      <c r="G981">
        <v>3</v>
      </c>
      <c r="H981">
        <f>MAX(-1,3-Tableau1[[#This Row],[Possédé (physique)]])</f>
        <v>0</v>
      </c>
      <c r="I981" t="str">
        <f>IF(Tableau1[[#This Row],[Manque (physique)]]&gt;Tableau1[[#This Row],[Manque (digital)]],"POD",IF(Tableau1[[#This Row],[Manque (digital)]]&gt;Tableau1[[#This Row],[Manque (physique)]],"MarketPlace",""))</f>
        <v>MarketPlace</v>
      </c>
      <c r="J981" t="s">
        <v>30</v>
      </c>
      <c r="K981" t="s">
        <v>328</v>
      </c>
      <c r="L981" t="s">
        <v>52</v>
      </c>
      <c r="M981" t="s">
        <v>23</v>
      </c>
      <c r="N981" t="s">
        <v>52</v>
      </c>
      <c r="O981" t="s">
        <v>52</v>
      </c>
      <c r="P981" t="s">
        <v>89</v>
      </c>
      <c r="Q981" t="s">
        <v>916</v>
      </c>
    </row>
    <row r="982" spans="1:17" hidden="1" x14ac:dyDescent="0.25">
      <c r="A982" t="s">
        <v>304</v>
      </c>
      <c r="B982" t="s">
        <v>22</v>
      </c>
      <c r="C982" t="s">
        <v>70</v>
      </c>
      <c r="D982" t="s">
        <v>16</v>
      </c>
      <c r="E982">
        <v>3</v>
      </c>
      <c r="F982">
        <f>MAX(-1,3-Tableau1[[#This Row],[Nb possédé (digital)]])</f>
        <v>0</v>
      </c>
      <c r="G982">
        <v>3</v>
      </c>
      <c r="H982">
        <f>MAX(-1,3-Tableau1[[#This Row],[Possédé (physique)]])</f>
        <v>0</v>
      </c>
      <c r="I982" t="str">
        <f>IF(Tableau1[[#This Row],[Manque (physique)]]&gt;Tableau1[[#This Row],[Manque (digital)]],"POD",IF(Tableau1[[#This Row],[Manque (digital)]]&gt;Tableau1[[#This Row],[Manque (physique)]],"MarketPlace",""))</f>
        <v/>
      </c>
      <c r="J982" t="s">
        <v>30</v>
      </c>
      <c r="K982" t="s">
        <v>68</v>
      </c>
      <c r="L982" t="s">
        <v>52</v>
      </c>
      <c r="M982" t="s">
        <v>52</v>
      </c>
      <c r="N982" t="s">
        <v>89</v>
      </c>
      <c r="O982" t="s">
        <v>37</v>
      </c>
      <c r="P982" t="s">
        <v>37</v>
      </c>
      <c r="Q982" t="s">
        <v>306</v>
      </c>
    </row>
    <row r="983" spans="1:17" hidden="1" x14ac:dyDescent="0.25">
      <c r="A983" t="s">
        <v>451</v>
      </c>
      <c r="B983" t="s">
        <v>22</v>
      </c>
      <c r="C983" t="s">
        <v>70</v>
      </c>
      <c r="D983" t="s">
        <v>16</v>
      </c>
      <c r="E983">
        <v>3</v>
      </c>
      <c r="F983">
        <f>MAX(-1,3-Tableau1[[#This Row],[Nb possédé (digital)]])</f>
        <v>0</v>
      </c>
      <c r="G983">
        <v>3</v>
      </c>
      <c r="H983">
        <f>MAX(-1,3-Tableau1[[#This Row],[Possédé (physique)]])</f>
        <v>0</v>
      </c>
      <c r="I983" t="str">
        <f>IF(Tableau1[[#This Row],[Manque (physique)]]&gt;Tableau1[[#This Row],[Manque (digital)]],"POD",IF(Tableau1[[#This Row],[Manque (digital)]]&gt;Tableau1[[#This Row],[Manque (physique)]],"MarketPlace",""))</f>
        <v/>
      </c>
      <c r="J983" t="s">
        <v>217</v>
      </c>
      <c r="K983" t="s">
        <v>218</v>
      </c>
      <c r="L983" t="s">
        <v>52</v>
      </c>
      <c r="M983" t="s">
        <v>52</v>
      </c>
      <c r="Q983" t="s">
        <v>453</v>
      </c>
    </row>
    <row r="984" spans="1:17" hidden="1" x14ac:dyDescent="0.25">
      <c r="A984" t="s">
        <v>607</v>
      </c>
      <c r="B984" t="s">
        <v>22</v>
      </c>
      <c r="C984" t="s">
        <v>70</v>
      </c>
      <c r="D984" t="s">
        <v>16</v>
      </c>
      <c r="E984">
        <v>3</v>
      </c>
      <c r="F984">
        <f>MAX(-1,3-Tableau1[[#This Row],[Nb possédé (digital)]])</f>
        <v>0</v>
      </c>
      <c r="G984">
        <v>3</v>
      </c>
      <c r="H984">
        <f>MAX(-1,3-Tableau1[[#This Row],[Possédé (physique)]])</f>
        <v>0</v>
      </c>
      <c r="I984" t="str">
        <f>IF(Tableau1[[#This Row],[Manque (physique)]]&gt;Tableau1[[#This Row],[Manque (digital)]],"POD",IF(Tableau1[[#This Row],[Manque (digital)]]&gt;Tableau1[[#This Row],[Manque (physique)]],"MarketPlace",""))</f>
        <v/>
      </c>
      <c r="J984" t="s">
        <v>30</v>
      </c>
      <c r="K984" t="s">
        <v>608</v>
      </c>
      <c r="L984" t="s">
        <v>52</v>
      </c>
      <c r="M984" t="s">
        <v>52</v>
      </c>
      <c r="N984" t="s">
        <v>52</v>
      </c>
      <c r="O984" t="s">
        <v>52</v>
      </c>
      <c r="P984" t="s">
        <v>37</v>
      </c>
    </row>
    <row r="985" spans="1:17" hidden="1" x14ac:dyDescent="0.25">
      <c r="A985" t="s">
        <v>685</v>
      </c>
      <c r="B985" t="s">
        <v>22</v>
      </c>
      <c r="C985" t="s">
        <v>70</v>
      </c>
      <c r="D985" t="s">
        <v>16</v>
      </c>
      <c r="E985">
        <v>3</v>
      </c>
      <c r="F985">
        <f>MAX(-1,3-Tableau1[[#This Row],[Nb possédé (digital)]])</f>
        <v>0</v>
      </c>
      <c r="G985">
        <v>3</v>
      </c>
      <c r="H985">
        <f>MAX(-1,3-Tableau1[[#This Row],[Possédé (physique)]])</f>
        <v>0</v>
      </c>
      <c r="I985" t="str">
        <f>IF(Tableau1[[#This Row],[Manque (physique)]]&gt;Tableau1[[#This Row],[Manque (digital)]],"POD",IF(Tableau1[[#This Row],[Manque (digital)]]&gt;Tableau1[[#This Row],[Manque (physique)]],"MarketPlace",""))</f>
        <v/>
      </c>
      <c r="J985" t="s">
        <v>30</v>
      </c>
      <c r="K985" t="s">
        <v>68</v>
      </c>
      <c r="L985" t="s">
        <v>52</v>
      </c>
      <c r="M985" t="s">
        <v>52</v>
      </c>
      <c r="N985" t="s">
        <v>37</v>
      </c>
      <c r="O985" t="s">
        <v>89</v>
      </c>
      <c r="P985" t="s">
        <v>37</v>
      </c>
      <c r="Q985" t="s">
        <v>359</v>
      </c>
    </row>
    <row r="986" spans="1:17" hidden="1" x14ac:dyDescent="0.25">
      <c r="A986" t="s">
        <v>799</v>
      </c>
      <c r="B986" t="s">
        <v>22</v>
      </c>
      <c r="C986" t="s">
        <v>70</v>
      </c>
      <c r="D986" t="s">
        <v>16</v>
      </c>
      <c r="E986">
        <v>3</v>
      </c>
      <c r="F986">
        <f>MAX(-1,3-Tableau1[[#This Row],[Nb possédé (digital)]])</f>
        <v>0</v>
      </c>
      <c r="G986">
        <v>3</v>
      </c>
      <c r="H986">
        <f>MAX(-1,3-Tableau1[[#This Row],[Possédé (physique)]])</f>
        <v>0</v>
      </c>
      <c r="I986" t="str">
        <f>IF(Tableau1[[#This Row],[Manque (physique)]]&gt;Tableau1[[#This Row],[Manque (digital)]],"POD",IF(Tableau1[[#This Row],[Manque (digital)]]&gt;Tableau1[[#This Row],[Manque (physique)]],"MarketPlace",""))</f>
        <v/>
      </c>
      <c r="J986" t="s">
        <v>17</v>
      </c>
      <c r="K986" t="s">
        <v>189</v>
      </c>
      <c r="L986" t="s">
        <v>52</v>
      </c>
      <c r="M986" t="s">
        <v>52</v>
      </c>
      <c r="Q986" t="s">
        <v>801</v>
      </c>
    </row>
    <row r="987" spans="1:17" hidden="1" x14ac:dyDescent="0.25">
      <c r="A987" t="s">
        <v>880</v>
      </c>
      <c r="B987" t="s">
        <v>22</v>
      </c>
      <c r="C987" t="s">
        <v>70</v>
      </c>
      <c r="D987" t="s">
        <v>16</v>
      </c>
      <c r="E987">
        <v>3</v>
      </c>
      <c r="F987">
        <f>MAX(-1,3-Tableau1[[#This Row],[Nb possédé (digital)]])</f>
        <v>0</v>
      </c>
      <c r="G987">
        <v>3</v>
      </c>
      <c r="H987">
        <f>MAX(-1,3-Tableau1[[#This Row],[Possédé (physique)]])</f>
        <v>0</v>
      </c>
      <c r="I987" t="str">
        <f>IF(Tableau1[[#This Row],[Manque (physique)]]&gt;Tableau1[[#This Row],[Manque (digital)]],"POD",IF(Tableau1[[#This Row],[Manque (digital)]]&gt;Tableau1[[#This Row],[Manque (physique)]],"MarketPlace",""))</f>
        <v/>
      </c>
      <c r="J987" t="s">
        <v>30</v>
      </c>
      <c r="K987" t="s">
        <v>72</v>
      </c>
      <c r="L987" t="s">
        <v>52</v>
      </c>
      <c r="M987" t="s">
        <v>52</v>
      </c>
      <c r="N987" t="s">
        <v>23</v>
      </c>
      <c r="O987" t="s">
        <v>23</v>
      </c>
      <c r="P987" t="s">
        <v>23</v>
      </c>
      <c r="Q987" t="s">
        <v>241</v>
      </c>
    </row>
    <row r="988" spans="1:17" hidden="1" x14ac:dyDescent="0.25">
      <c r="A988" t="s">
        <v>904</v>
      </c>
      <c r="B988" t="s">
        <v>22</v>
      </c>
      <c r="C988" t="s">
        <v>70</v>
      </c>
      <c r="D988" t="s">
        <v>16</v>
      </c>
      <c r="E988">
        <v>3</v>
      </c>
      <c r="F988">
        <f>MAX(-1,3-Tableau1[[#This Row],[Nb possédé (digital)]])</f>
        <v>0</v>
      </c>
      <c r="G988">
        <v>3</v>
      </c>
      <c r="H988">
        <f>MAX(-1,3-Tableau1[[#This Row],[Possédé (physique)]])</f>
        <v>0</v>
      </c>
      <c r="I988" t="str">
        <f>IF(Tableau1[[#This Row],[Manque (physique)]]&gt;Tableau1[[#This Row],[Manque (digital)]],"POD",IF(Tableau1[[#This Row],[Manque (digital)]]&gt;Tableau1[[#This Row],[Manque (physique)]],"MarketPlace",""))</f>
        <v/>
      </c>
      <c r="J988" t="s">
        <v>17</v>
      </c>
      <c r="K988" t="s">
        <v>153</v>
      </c>
      <c r="L988" t="s">
        <v>52</v>
      </c>
      <c r="M988" t="s">
        <v>52</v>
      </c>
      <c r="Q988" t="s">
        <v>905</v>
      </c>
    </row>
    <row r="989" spans="1:17" hidden="1" x14ac:dyDescent="0.25">
      <c r="A989" t="s">
        <v>957</v>
      </c>
      <c r="B989" t="s">
        <v>22</v>
      </c>
      <c r="C989" t="s">
        <v>70</v>
      </c>
      <c r="D989" t="s">
        <v>16</v>
      </c>
      <c r="E989">
        <v>0</v>
      </c>
      <c r="F989">
        <f>MAX(-1,3-Tableau1[[#This Row],[Nb possédé (digital)]])</f>
        <v>3</v>
      </c>
      <c r="G989">
        <v>3</v>
      </c>
      <c r="H989">
        <f>MAX(-1,3-Tableau1[[#This Row],[Possédé (physique)]])</f>
        <v>0</v>
      </c>
      <c r="I989" t="str">
        <f>IF(Tableau1[[#This Row],[Manque (physique)]]&gt;Tableau1[[#This Row],[Manque (digital)]],"POD",IF(Tableau1[[#This Row],[Manque (digital)]]&gt;Tableau1[[#This Row],[Manque (physique)]],"MarketPlace",""))</f>
        <v>MarketPlace</v>
      </c>
      <c r="J989" t="s">
        <v>30</v>
      </c>
      <c r="K989" t="s">
        <v>107</v>
      </c>
      <c r="L989" t="s">
        <v>52</v>
      </c>
      <c r="M989" t="s">
        <v>52</v>
      </c>
      <c r="N989" t="s">
        <v>23</v>
      </c>
      <c r="O989" t="s">
        <v>89</v>
      </c>
      <c r="P989" t="s">
        <v>23</v>
      </c>
      <c r="Q989" t="s">
        <v>959</v>
      </c>
    </row>
    <row r="990" spans="1:17" hidden="1" x14ac:dyDescent="0.25">
      <c r="A990" t="s">
        <v>75</v>
      </c>
      <c r="B990" t="s">
        <v>22</v>
      </c>
      <c r="C990" t="s">
        <v>70</v>
      </c>
      <c r="D990" t="s">
        <v>16</v>
      </c>
      <c r="E990">
        <v>3</v>
      </c>
      <c r="F990">
        <f>MAX(-1,3-Tableau1[[#This Row],[Nb possédé (digital)]])</f>
        <v>0</v>
      </c>
      <c r="G990">
        <v>3</v>
      </c>
      <c r="H990">
        <f>MAX(-1,3-Tableau1[[#This Row],[Possédé (physique)]])</f>
        <v>0</v>
      </c>
      <c r="I990" t="str">
        <f>IF(Tableau1[[#This Row],[Manque (physique)]]&gt;Tableau1[[#This Row],[Manque (digital)]],"POD",IF(Tableau1[[#This Row],[Manque (digital)]]&gt;Tableau1[[#This Row],[Manque (physique)]],"MarketPlace",""))</f>
        <v/>
      </c>
      <c r="J990" t="s">
        <v>30</v>
      </c>
      <c r="K990" t="s">
        <v>63</v>
      </c>
      <c r="L990" t="s">
        <v>37</v>
      </c>
      <c r="M990" t="s">
        <v>37</v>
      </c>
      <c r="N990" t="s">
        <v>37</v>
      </c>
      <c r="O990" t="s">
        <v>37</v>
      </c>
      <c r="P990" t="s">
        <v>37</v>
      </c>
      <c r="Q990" t="s">
        <v>77</v>
      </c>
    </row>
    <row r="991" spans="1:17" hidden="1" x14ac:dyDescent="0.25">
      <c r="A991" t="s">
        <v>128</v>
      </c>
      <c r="B991" t="s">
        <v>22</v>
      </c>
      <c r="C991" t="s">
        <v>70</v>
      </c>
      <c r="D991" t="s">
        <v>16</v>
      </c>
      <c r="E991">
        <v>3</v>
      </c>
      <c r="F991">
        <f>MAX(-1,3-Tableau1[[#This Row],[Nb possédé (digital)]])</f>
        <v>0</v>
      </c>
      <c r="G991">
        <v>3</v>
      </c>
      <c r="H991">
        <f>MAX(-1,3-Tableau1[[#This Row],[Possédé (physique)]])</f>
        <v>0</v>
      </c>
      <c r="I991" t="str">
        <f>IF(Tableau1[[#This Row],[Manque (physique)]]&gt;Tableau1[[#This Row],[Manque (digital)]],"POD",IF(Tableau1[[#This Row],[Manque (digital)]]&gt;Tableau1[[#This Row],[Manque (physique)]],"MarketPlace",""))</f>
        <v/>
      </c>
      <c r="J991" t="s">
        <v>30</v>
      </c>
      <c r="K991" t="s">
        <v>51</v>
      </c>
      <c r="L991" t="s">
        <v>37</v>
      </c>
      <c r="M991" t="s">
        <v>37</v>
      </c>
      <c r="N991" t="s">
        <v>52</v>
      </c>
      <c r="O991" t="s">
        <v>52</v>
      </c>
      <c r="P991" t="s">
        <v>52</v>
      </c>
      <c r="Q991" t="s">
        <v>129</v>
      </c>
    </row>
    <row r="992" spans="1:17" hidden="1" x14ac:dyDescent="0.25">
      <c r="A992" t="s">
        <v>471</v>
      </c>
      <c r="B992" t="s">
        <v>22</v>
      </c>
      <c r="C992" t="s">
        <v>70</v>
      </c>
      <c r="D992" t="s">
        <v>16</v>
      </c>
      <c r="E992">
        <v>3</v>
      </c>
      <c r="F992">
        <f>MAX(-1,3-Tableau1[[#This Row],[Nb possédé (digital)]])</f>
        <v>0</v>
      </c>
      <c r="G992">
        <v>3</v>
      </c>
      <c r="H992">
        <f>MAX(-1,3-Tableau1[[#This Row],[Possédé (physique)]])</f>
        <v>0</v>
      </c>
      <c r="I992" t="str">
        <f>IF(Tableau1[[#This Row],[Manque (physique)]]&gt;Tableau1[[#This Row],[Manque (digital)]],"POD",IF(Tableau1[[#This Row],[Manque (digital)]]&gt;Tableau1[[#This Row],[Manque (physique)]],"MarketPlace",""))</f>
        <v/>
      </c>
      <c r="J992" t="s">
        <v>217</v>
      </c>
      <c r="K992" t="s">
        <v>218</v>
      </c>
      <c r="L992" t="s">
        <v>37</v>
      </c>
      <c r="M992" t="s">
        <v>37</v>
      </c>
      <c r="Q992" t="s">
        <v>473</v>
      </c>
    </row>
    <row r="993" spans="1:17" hidden="1" x14ac:dyDescent="0.25">
      <c r="A993" t="s">
        <v>873</v>
      </c>
      <c r="B993" t="s">
        <v>22</v>
      </c>
      <c r="C993" t="s">
        <v>70</v>
      </c>
      <c r="D993" t="s">
        <v>16</v>
      </c>
      <c r="E993">
        <v>1</v>
      </c>
      <c r="F993">
        <f>MAX(-1,3-Tableau1[[#This Row],[Nb possédé (digital)]])</f>
        <v>2</v>
      </c>
      <c r="G993">
        <v>3</v>
      </c>
      <c r="H993">
        <f>MAX(-1,3-Tableau1[[#This Row],[Possédé (physique)]])</f>
        <v>0</v>
      </c>
      <c r="I993" t="str">
        <f>IF(Tableau1[[#This Row],[Manque (physique)]]&gt;Tableau1[[#This Row],[Manque (digital)]],"POD",IF(Tableau1[[#This Row],[Manque (digital)]]&gt;Tableau1[[#This Row],[Manque (physique)]],"MarketPlace",""))</f>
        <v>MarketPlace</v>
      </c>
      <c r="J993" t="s">
        <v>17</v>
      </c>
      <c r="K993" t="s">
        <v>201</v>
      </c>
      <c r="L993" t="s">
        <v>39</v>
      </c>
      <c r="M993" t="s">
        <v>39</v>
      </c>
      <c r="Q993" t="s">
        <v>874</v>
      </c>
    </row>
    <row r="994" spans="1:17" hidden="1" x14ac:dyDescent="0.25">
      <c r="A994" t="s">
        <v>996</v>
      </c>
      <c r="B994" t="s">
        <v>22</v>
      </c>
      <c r="C994" t="s">
        <v>70</v>
      </c>
      <c r="D994" t="s">
        <v>16</v>
      </c>
      <c r="E994">
        <v>3</v>
      </c>
      <c r="F994">
        <f>MAX(-1,3-Tableau1[[#This Row],[Nb possédé (digital)]])</f>
        <v>0</v>
      </c>
      <c r="G994">
        <v>3</v>
      </c>
      <c r="H994">
        <f>MAX(-1,3-Tableau1[[#This Row],[Possédé (physique)]])</f>
        <v>0</v>
      </c>
      <c r="I994" t="str">
        <f>IF(Tableau1[[#This Row],[Manque (physique)]]&gt;Tableau1[[#This Row],[Manque (digital)]],"POD",IF(Tableau1[[#This Row],[Manque (digital)]]&gt;Tableau1[[#This Row],[Manque (physique)]],"MarketPlace",""))</f>
        <v/>
      </c>
      <c r="J994" t="s">
        <v>30</v>
      </c>
      <c r="K994" t="s">
        <v>997</v>
      </c>
      <c r="L994" t="s">
        <v>39</v>
      </c>
      <c r="M994" t="s">
        <v>39</v>
      </c>
      <c r="N994" t="s">
        <v>101</v>
      </c>
      <c r="O994" t="s">
        <v>101</v>
      </c>
      <c r="P994" t="s">
        <v>101</v>
      </c>
    </row>
    <row r="995" spans="1:17" hidden="1" x14ac:dyDescent="0.25">
      <c r="A995" t="s">
        <v>758</v>
      </c>
      <c r="B995" t="s">
        <v>22</v>
      </c>
      <c r="C995" t="s">
        <v>70</v>
      </c>
      <c r="D995" t="s">
        <v>16</v>
      </c>
      <c r="E995">
        <v>1</v>
      </c>
      <c r="F995">
        <f>MAX(-1,3-Tableau1[[#This Row],[Nb possédé (digital)]])</f>
        <v>2</v>
      </c>
      <c r="G995">
        <v>3</v>
      </c>
      <c r="H995">
        <f>MAX(-1,3-Tableau1[[#This Row],[Possédé (physique)]])</f>
        <v>0</v>
      </c>
      <c r="I995" t="str">
        <f>IF(Tableau1[[#This Row],[Manque (physique)]]&gt;Tableau1[[#This Row],[Manque (digital)]],"POD",IF(Tableau1[[#This Row],[Manque (digital)]]&gt;Tableau1[[#This Row],[Manque (physique)]],"MarketPlace",""))</f>
        <v>MarketPlace</v>
      </c>
      <c r="J995" t="s">
        <v>30</v>
      </c>
      <c r="K995" t="s">
        <v>51</v>
      </c>
      <c r="L995" t="s">
        <v>380</v>
      </c>
      <c r="M995" t="s">
        <v>37</v>
      </c>
      <c r="N995" t="s">
        <v>37</v>
      </c>
      <c r="O995" t="s">
        <v>37</v>
      </c>
      <c r="P995" t="s">
        <v>37</v>
      </c>
      <c r="Q995" t="s">
        <v>760</v>
      </c>
    </row>
    <row r="996" spans="1:17" hidden="1" x14ac:dyDescent="0.25">
      <c r="A996" t="s">
        <v>548</v>
      </c>
      <c r="B996" t="s">
        <v>22</v>
      </c>
      <c r="C996" t="s">
        <v>70</v>
      </c>
      <c r="D996" t="s">
        <v>16</v>
      </c>
      <c r="E996">
        <v>1</v>
      </c>
      <c r="F996">
        <f>MAX(-1,3-Tableau1[[#This Row],[Nb possédé (digital)]])</f>
        <v>2</v>
      </c>
      <c r="G996">
        <v>3</v>
      </c>
      <c r="H996">
        <f>MAX(-1,3-Tableau1[[#This Row],[Possédé (physique)]])</f>
        <v>0</v>
      </c>
      <c r="I996" t="str">
        <f>IF(Tableau1[[#This Row],[Manque (physique)]]&gt;Tableau1[[#This Row],[Manque (digital)]],"POD",IF(Tableau1[[#This Row],[Manque (digital)]]&gt;Tableau1[[#This Row],[Manque (physique)]],"MarketPlace",""))</f>
        <v>MarketPlace</v>
      </c>
      <c r="J996" t="s">
        <v>30</v>
      </c>
      <c r="K996" t="s">
        <v>347</v>
      </c>
      <c r="L996" t="s">
        <v>380</v>
      </c>
      <c r="M996" t="s">
        <v>380</v>
      </c>
      <c r="N996" t="s">
        <v>89</v>
      </c>
      <c r="O996" t="s">
        <v>89</v>
      </c>
      <c r="P996" t="s">
        <v>89</v>
      </c>
      <c r="Q996" t="s">
        <v>549</v>
      </c>
    </row>
    <row r="997" spans="1:17" hidden="1" x14ac:dyDescent="0.25">
      <c r="A997" t="s">
        <v>96</v>
      </c>
      <c r="B997" t="s">
        <v>22</v>
      </c>
      <c r="C997" t="s">
        <v>70</v>
      </c>
      <c r="D997" t="s">
        <v>16</v>
      </c>
      <c r="E997">
        <v>3</v>
      </c>
      <c r="F997">
        <f>MAX(-1,3-Tableau1[[#This Row],[Nb possédé (digital)]])</f>
        <v>0</v>
      </c>
      <c r="G997">
        <v>3</v>
      </c>
      <c r="H997">
        <f>MAX(-1,3-Tableau1[[#This Row],[Possédé (physique)]])</f>
        <v>0</v>
      </c>
      <c r="I997" t="str">
        <f>IF(Tableau1[[#This Row],[Manque (physique)]]&gt;Tableau1[[#This Row],[Manque (digital)]],"POD",IF(Tableau1[[#This Row],[Manque (digital)]]&gt;Tableau1[[#This Row],[Manque (physique)]],"MarketPlace",""))</f>
        <v/>
      </c>
      <c r="J997" t="s">
        <v>17</v>
      </c>
      <c r="K997" t="s">
        <v>97</v>
      </c>
      <c r="L997" t="s">
        <v>101</v>
      </c>
      <c r="M997" t="s">
        <v>101</v>
      </c>
      <c r="Q997" t="s">
        <v>100</v>
      </c>
    </row>
    <row r="998" spans="1:17" hidden="1" x14ac:dyDescent="0.25">
      <c r="A998" t="s">
        <v>600</v>
      </c>
      <c r="B998" t="s">
        <v>22</v>
      </c>
      <c r="C998" t="s">
        <v>70</v>
      </c>
      <c r="D998" t="s">
        <v>16</v>
      </c>
      <c r="E998">
        <v>3</v>
      </c>
      <c r="F998">
        <f>MAX(-1,3-Tableau1[[#This Row],[Nb possédé (digital)]])</f>
        <v>0</v>
      </c>
      <c r="G998">
        <v>3</v>
      </c>
      <c r="H998">
        <f>MAX(-1,3-Tableau1[[#This Row],[Possédé (physique)]])</f>
        <v>0</v>
      </c>
      <c r="I998" t="str">
        <f>IF(Tableau1[[#This Row],[Manque (physique)]]&gt;Tableau1[[#This Row],[Manque (digital)]],"POD",IF(Tableau1[[#This Row],[Manque (digital)]]&gt;Tableau1[[#This Row],[Manque (physique)]],"MarketPlace",""))</f>
        <v/>
      </c>
      <c r="J998" t="s">
        <v>30</v>
      </c>
      <c r="K998" t="s">
        <v>601</v>
      </c>
      <c r="L998" t="s">
        <v>101</v>
      </c>
      <c r="M998" t="s">
        <v>101</v>
      </c>
      <c r="N998" t="s">
        <v>39</v>
      </c>
      <c r="O998" t="s">
        <v>39</v>
      </c>
      <c r="P998" t="s">
        <v>39</v>
      </c>
      <c r="Q998" t="s">
        <v>602</v>
      </c>
    </row>
    <row r="999" spans="1:17" hidden="1" x14ac:dyDescent="0.25">
      <c r="A999" t="s">
        <v>692</v>
      </c>
      <c r="B999" t="s">
        <v>22</v>
      </c>
      <c r="C999" t="s">
        <v>70</v>
      </c>
      <c r="D999" t="s">
        <v>16</v>
      </c>
      <c r="E999">
        <v>3</v>
      </c>
      <c r="F999">
        <f>MAX(-1,3-Tableau1[[#This Row],[Nb possédé (digital)]])</f>
        <v>0</v>
      </c>
      <c r="G999">
        <v>3</v>
      </c>
      <c r="H999">
        <f>MAX(-1,3-Tableau1[[#This Row],[Possédé (physique)]])</f>
        <v>0</v>
      </c>
      <c r="I999" t="str">
        <f>IF(Tableau1[[#This Row],[Manque (physique)]]&gt;Tableau1[[#This Row],[Manque (digital)]],"POD",IF(Tableau1[[#This Row],[Manque (digital)]]&gt;Tableau1[[#This Row],[Manque (physique)]],"MarketPlace",""))</f>
        <v/>
      </c>
      <c r="J999" t="s">
        <v>217</v>
      </c>
      <c r="K999" t="s">
        <v>218</v>
      </c>
      <c r="L999" t="s">
        <v>101</v>
      </c>
      <c r="M999" t="s">
        <v>101</v>
      </c>
      <c r="Q999" t="s">
        <v>693</v>
      </c>
    </row>
    <row r="1000" spans="1:17" hidden="1" x14ac:dyDescent="0.25">
      <c r="A1000" t="s">
        <v>1063</v>
      </c>
      <c r="B1000" t="s">
        <v>22</v>
      </c>
      <c r="C1000" t="s">
        <v>70</v>
      </c>
      <c r="D1000" t="s">
        <v>58</v>
      </c>
      <c r="E1000">
        <v>2</v>
      </c>
      <c r="F1000">
        <f>MAX(-1,3-Tableau1[[#This Row],[Nb possédé (digital)]])</f>
        <v>1</v>
      </c>
      <c r="G1000">
        <v>3</v>
      </c>
      <c r="H1000">
        <f>MAX(-1,3-Tableau1[[#This Row],[Possédé (physique)]])</f>
        <v>0</v>
      </c>
      <c r="I1000" t="str">
        <f>IF(Tableau1[[#This Row],[Manque (physique)]]&gt;Tableau1[[#This Row],[Manque (digital)]],"POD",IF(Tableau1[[#This Row],[Manque (digital)]]&gt;Tableau1[[#This Row],[Manque (physique)]],"MarketPlace",""))</f>
        <v>MarketPlace</v>
      </c>
      <c r="J1000" t="s">
        <v>116</v>
      </c>
      <c r="K1000" t="s">
        <v>117</v>
      </c>
      <c r="L1000" t="s">
        <v>20</v>
      </c>
      <c r="M1000" t="s">
        <v>20</v>
      </c>
      <c r="Q1000" t="s">
        <v>1065</v>
      </c>
    </row>
    <row r="1001" spans="1:17" hidden="1" x14ac:dyDescent="0.25">
      <c r="A1001" t="s">
        <v>1080</v>
      </c>
      <c r="B1001" t="s">
        <v>22</v>
      </c>
      <c r="C1001" t="s">
        <v>70</v>
      </c>
      <c r="D1001" t="s">
        <v>58</v>
      </c>
      <c r="E1001">
        <v>3</v>
      </c>
      <c r="F1001">
        <f>MAX(-1,3-Tableau1[[#This Row],[Nb possédé (digital)]])</f>
        <v>0</v>
      </c>
      <c r="G1001">
        <v>3</v>
      </c>
      <c r="H1001">
        <f>MAX(-1,3-Tableau1[[#This Row],[Possédé (physique)]])</f>
        <v>0</v>
      </c>
      <c r="I1001" t="str">
        <f>IF(Tableau1[[#This Row],[Manque (physique)]]&gt;Tableau1[[#This Row],[Manque (digital)]],"POD",IF(Tableau1[[#This Row],[Manque (digital)]]&gt;Tableau1[[#This Row],[Manque (physique)]],"MarketPlace",""))</f>
        <v/>
      </c>
      <c r="J1001" t="s">
        <v>17</v>
      </c>
      <c r="K1001" t="s">
        <v>97</v>
      </c>
      <c r="L1001" t="s">
        <v>20</v>
      </c>
      <c r="M1001" t="s">
        <v>20</v>
      </c>
      <c r="Q1001" t="s">
        <v>1082</v>
      </c>
    </row>
    <row r="1002" spans="1:17" hidden="1" x14ac:dyDescent="0.25">
      <c r="A1002" t="s">
        <v>1117</v>
      </c>
      <c r="B1002" t="s">
        <v>22</v>
      </c>
      <c r="C1002" t="s">
        <v>70</v>
      </c>
      <c r="D1002" t="s">
        <v>58</v>
      </c>
      <c r="E1002">
        <v>3</v>
      </c>
      <c r="F1002">
        <f>MAX(-1,3-Tableau1[[#This Row],[Nb possédé (digital)]])</f>
        <v>0</v>
      </c>
      <c r="G1002">
        <v>3</v>
      </c>
      <c r="H1002">
        <f>MAX(-1,3-Tableau1[[#This Row],[Possédé (physique)]])</f>
        <v>0</v>
      </c>
      <c r="I1002" t="str">
        <f>IF(Tableau1[[#This Row],[Manque (physique)]]&gt;Tableau1[[#This Row],[Manque (digital)]],"POD",IF(Tableau1[[#This Row],[Manque (digital)]]&gt;Tableau1[[#This Row],[Manque (physique)]],"MarketPlace",""))</f>
        <v/>
      </c>
      <c r="J1002" t="s">
        <v>17</v>
      </c>
      <c r="K1002" t="s">
        <v>201</v>
      </c>
      <c r="L1002" t="s">
        <v>20</v>
      </c>
      <c r="M1002" t="s">
        <v>20</v>
      </c>
      <c r="Q1002" t="s">
        <v>1119</v>
      </c>
    </row>
    <row r="1003" spans="1:17" hidden="1" x14ac:dyDescent="0.25">
      <c r="A1003" t="s">
        <v>554</v>
      </c>
      <c r="B1003" t="s">
        <v>22</v>
      </c>
      <c r="C1003" t="s">
        <v>70</v>
      </c>
      <c r="D1003" t="s">
        <v>58</v>
      </c>
      <c r="E1003">
        <v>3</v>
      </c>
      <c r="F1003">
        <f>MAX(-1,3-Tableau1[[#This Row],[Nb possédé (digital)]])</f>
        <v>0</v>
      </c>
      <c r="G1003">
        <v>3</v>
      </c>
      <c r="H1003">
        <f>MAX(-1,3-Tableau1[[#This Row],[Possédé (physique)]])</f>
        <v>0</v>
      </c>
      <c r="I1003" t="str">
        <f>IF(Tableau1[[#This Row],[Manque (physique)]]&gt;Tableau1[[#This Row],[Manque (digital)]],"POD",IF(Tableau1[[#This Row],[Manque (digital)]]&gt;Tableau1[[#This Row],[Manque (physique)]],"MarketPlace",""))</f>
        <v/>
      </c>
      <c r="J1003" t="s">
        <v>17</v>
      </c>
      <c r="K1003" t="s">
        <v>153</v>
      </c>
      <c r="L1003" t="s">
        <v>20</v>
      </c>
      <c r="M1003" t="s">
        <v>19</v>
      </c>
      <c r="Q1003" t="s">
        <v>555</v>
      </c>
    </row>
    <row r="1004" spans="1:17" hidden="1" x14ac:dyDescent="0.25">
      <c r="A1004" t="s">
        <v>165</v>
      </c>
      <c r="B1004" t="s">
        <v>22</v>
      </c>
      <c r="C1004" t="s">
        <v>70</v>
      </c>
      <c r="D1004" t="s">
        <v>58</v>
      </c>
      <c r="E1004">
        <v>3</v>
      </c>
      <c r="F1004">
        <f>MAX(-1,3-Tableau1[[#This Row],[Nb possédé (digital)]])</f>
        <v>0</v>
      </c>
      <c r="G1004">
        <v>3</v>
      </c>
      <c r="H1004">
        <f>MAX(-1,3-Tableau1[[#This Row],[Possédé (physique)]])</f>
        <v>0</v>
      </c>
      <c r="I1004" t="str">
        <f>IF(Tableau1[[#This Row],[Manque (physique)]]&gt;Tableau1[[#This Row],[Manque (digital)]],"POD",IF(Tableau1[[#This Row],[Manque (digital)]]&gt;Tableau1[[#This Row],[Manque (physique)]],"MarketPlace",""))</f>
        <v/>
      </c>
      <c r="J1004" t="s">
        <v>116</v>
      </c>
      <c r="K1004" t="s">
        <v>117</v>
      </c>
      <c r="L1004" t="s">
        <v>19</v>
      </c>
      <c r="M1004" t="s">
        <v>19</v>
      </c>
      <c r="Q1004" t="s">
        <v>167</v>
      </c>
    </row>
    <row r="1005" spans="1:17" hidden="1" x14ac:dyDescent="0.25">
      <c r="A1005" t="s">
        <v>271</v>
      </c>
      <c r="B1005" t="s">
        <v>22</v>
      </c>
      <c r="C1005" t="s">
        <v>70</v>
      </c>
      <c r="D1005" t="s">
        <v>58</v>
      </c>
      <c r="E1005">
        <v>3</v>
      </c>
      <c r="F1005">
        <f>MAX(-1,3-Tableau1[[#This Row],[Nb possédé (digital)]])</f>
        <v>0</v>
      </c>
      <c r="G1005">
        <v>3</v>
      </c>
      <c r="H1005">
        <f>MAX(-1,3-Tableau1[[#This Row],[Possédé (physique)]])</f>
        <v>0</v>
      </c>
      <c r="I1005" t="str">
        <f>IF(Tableau1[[#This Row],[Manque (physique)]]&gt;Tableau1[[#This Row],[Manque (digital)]],"POD",IF(Tableau1[[#This Row],[Manque (digital)]]&gt;Tableau1[[#This Row],[Manque (physique)]],"MarketPlace",""))</f>
        <v/>
      </c>
      <c r="J1005" t="s">
        <v>30</v>
      </c>
      <c r="K1005" t="s">
        <v>68</v>
      </c>
      <c r="L1005" t="s">
        <v>19</v>
      </c>
      <c r="M1005" t="s">
        <v>19</v>
      </c>
      <c r="N1005" t="s">
        <v>19</v>
      </c>
      <c r="O1005" t="s">
        <v>23</v>
      </c>
      <c r="P1005" t="s">
        <v>19</v>
      </c>
      <c r="Q1005" t="s">
        <v>273</v>
      </c>
    </row>
    <row r="1006" spans="1:17" hidden="1" x14ac:dyDescent="0.25">
      <c r="A1006" t="s">
        <v>298</v>
      </c>
      <c r="B1006" t="s">
        <v>22</v>
      </c>
      <c r="C1006" t="s">
        <v>70</v>
      </c>
      <c r="D1006" t="s">
        <v>58</v>
      </c>
      <c r="E1006">
        <v>3</v>
      </c>
      <c r="F1006">
        <f>MAX(-1,3-Tableau1[[#This Row],[Nb possédé (digital)]])</f>
        <v>0</v>
      </c>
      <c r="G1006">
        <v>3</v>
      </c>
      <c r="H1006">
        <f>MAX(-1,3-Tableau1[[#This Row],[Possédé (physique)]])</f>
        <v>0</v>
      </c>
      <c r="I1006" t="str">
        <f>IF(Tableau1[[#This Row],[Manque (physique)]]&gt;Tableau1[[#This Row],[Manque (digital)]],"POD",IF(Tableau1[[#This Row],[Manque (digital)]]&gt;Tableau1[[#This Row],[Manque (physique)]],"MarketPlace",""))</f>
        <v/>
      </c>
      <c r="J1006" t="s">
        <v>17</v>
      </c>
      <c r="K1006" t="s">
        <v>189</v>
      </c>
      <c r="L1006" t="s">
        <v>19</v>
      </c>
      <c r="M1006" t="s">
        <v>19</v>
      </c>
      <c r="Q1006" t="s">
        <v>300</v>
      </c>
    </row>
    <row r="1007" spans="1:17" hidden="1" x14ac:dyDescent="0.25">
      <c r="A1007" t="s">
        <v>341</v>
      </c>
      <c r="B1007" t="s">
        <v>22</v>
      </c>
      <c r="C1007" t="s">
        <v>70</v>
      </c>
      <c r="D1007" t="s">
        <v>58</v>
      </c>
      <c r="E1007">
        <v>3</v>
      </c>
      <c r="F1007">
        <f>MAX(-1,3-Tableau1[[#This Row],[Nb possédé (digital)]])</f>
        <v>0</v>
      </c>
      <c r="G1007">
        <v>3</v>
      </c>
      <c r="H1007">
        <f>MAX(-1,3-Tableau1[[#This Row],[Possédé (physique)]])</f>
        <v>0</v>
      </c>
      <c r="I1007" t="str">
        <f>IF(Tableau1[[#This Row],[Manque (physique)]]&gt;Tableau1[[#This Row],[Manque (digital)]],"POD",IF(Tableau1[[#This Row],[Manque (digital)]]&gt;Tableau1[[#This Row],[Manque (physique)]],"MarketPlace",""))</f>
        <v/>
      </c>
      <c r="J1007" t="s">
        <v>17</v>
      </c>
      <c r="K1007" t="s">
        <v>189</v>
      </c>
      <c r="L1007" t="s">
        <v>19</v>
      </c>
      <c r="M1007" t="s">
        <v>19</v>
      </c>
      <c r="Q1007" t="s">
        <v>343</v>
      </c>
    </row>
    <row r="1008" spans="1:17" hidden="1" x14ac:dyDescent="0.25">
      <c r="A1008" t="s">
        <v>395</v>
      </c>
      <c r="B1008" t="s">
        <v>22</v>
      </c>
      <c r="C1008" t="s">
        <v>70</v>
      </c>
      <c r="D1008" t="s">
        <v>58</v>
      </c>
      <c r="E1008">
        <v>3</v>
      </c>
      <c r="F1008">
        <f>MAX(-1,3-Tableau1[[#This Row],[Nb possédé (digital)]])</f>
        <v>0</v>
      </c>
      <c r="G1008">
        <v>3</v>
      </c>
      <c r="H1008">
        <f>MAX(-1,3-Tableau1[[#This Row],[Possédé (physique)]])</f>
        <v>0</v>
      </c>
      <c r="I1008" t="str">
        <f>IF(Tableau1[[#This Row],[Manque (physique)]]&gt;Tableau1[[#This Row],[Manque (digital)]],"POD",IF(Tableau1[[#This Row],[Manque (digital)]]&gt;Tableau1[[#This Row],[Manque (physique)]],"MarketPlace",""))</f>
        <v/>
      </c>
      <c r="J1008" t="s">
        <v>30</v>
      </c>
      <c r="K1008" t="s">
        <v>79</v>
      </c>
      <c r="L1008" t="s">
        <v>19</v>
      </c>
      <c r="M1008" t="s">
        <v>19</v>
      </c>
      <c r="N1008" t="s">
        <v>19</v>
      </c>
      <c r="O1008" t="s">
        <v>19</v>
      </c>
      <c r="P1008" t="s">
        <v>19</v>
      </c>
      <c r="Q1008" t="s">
        <v>397</v>
      </c>
    </row>
    <row r="1009" spans="1:17" hidden="1" x14ac:dyDescent="0.25">
      <c r="A1009" t="s">
        <v>529</v>
      </c>
      <c r="B1009" t="s">
        <v>22</v>
      </c>
      <c r="C1009" t="s">
        <v>70</v>
      </c>
      <c r="D1009" t="s">
        <v>58</v>
      </c>
      <c r="E1009">
        <v>3</v>
      </c>
      <c r="F1009">
        <f>MAX(-1,3-Tableau1[[#This Row],[Nb possédé (digital)]])</f>
        <v>0</v>
      </c>
      <c r="G1009">
        <v>3</v>
      </c>
      <c r="H1009">
        <f>MAX(-1,3-Tableau1[[#This Row],[Possédé (physique)]])</f>
        <v>0</v>
      </c>
      <c r="I1009" t="str">
        <f>IF(Tableau1[[#This Row],[Manque (physique)]]&gt;Tableau1[[#This Row],[Manque (digital)]],"POD",IF(Tableau1[[#This Row],[Manque (digital)]]&gt;Tableau1[[#This Row],[Manque (physique)]],"MarketPlace",""))</f>
        <v/>
      </c>
      <c r="J1009" t="s">
        <v>116</v>
      </c>
      <c r="K1009" t="s">
        <v>117</v>
      </c>
      <c r="L1009" t="s">
        <v>19</v>
      </c>
      <c r="M1009" t="s">
        <v>19</v>
      </c>
      <c r="Q1009" t="s">
        <v>531</v>
      </c>
    </row>
    <row r="1010" spans="1:17" hidden="1" x14ac:dyDescent="0.25">
      <c r="A1010" t="s">
        <v>682</v>
      </c>
      <c r="B1010" t="s">
        <v>22</v>
      </c>
      <c r="C1010" t="s">
        <v>70</v>
      </c>
      <c r="D1010" t="s">
        <v>58</v>
      </c>
      <c r="E1010">
        <v>3</v>
      </c>
      <c r="F1010">
        <f>MAX(-1,3-Tableau1[[#This Row],[Nb possédé (digital)]])</f>
        <v>0</v>
      </c>
      <c r="G1010">
        <v>3</v>
      </c>
      <c r="H1010">
        <f>MAX(-1,3-Tableau1[[#This Row],[Possédé (physique)]])</f>
        <v>0</v>
      </c>
      <c r="I1010" t="str">
        <f>IF(Tableau1[[#This Row],[Manque (physique)]]&gt;Tableau1[[#This Row],[Manque (digital)]],"POD",IF(Tableau1[[#This Row],[Manque (digital)]]&gt;Tableau1[[#This Row],[Manque (physique)]],"MarketPlace",""))</f>
        <v/>
      </c>
      <c r="J1010" t="s">
        <v>30</v>
      </c>
      <c r="K1010" t="s">
        <v>328</v>
      </c>
      <c r="L1010" t="s">
        <v>19</v>
      </c>
      <c r="M1010" t="s">
        <v>19</v>
      </c>
      <c r="N1010" t="s">
        <v>19</v>
      </c>
      <c r="O1010" t="s">
        <v>23</v>
      </c>
      <c r="P1010" t="s">
        <v>23</v>
      </c>
      <c r="Q1010" t="s">
        <v>684</v>
      </c>
    </row>
    <row r="1011" spans="1:17" hidden="1" x14ac:dyDescent="0.25">
      <c r="A1011" t="s">
        <v>849</v>
      </c>
      <c r="B1011" t="s">
        <v>22</v>
      </c>
      <c r="C1011" t="s">
        <v>70</v>
      </c>
      <c r="D1011" t="s">
        <v>58</v>
      </c>
      <c r="E1011">
        <v>3</v>
      </c>
      <c r="F1011">
        <f>MAX(-1,3-Tableau1[[#This Row],[Nb possédé (digital)]])</f>
        <v>0</v>
      </c>
      <c r="G1011">
        <v>3</v>
      </c>
      <c r="H1011">
        <f>MAX(-1,3-Tableau1[[#This Row],[Possédé (physique)]])</f>
        <v>0</v>
      </c>
      <c r="I1011" t="str">
        <f>IF(Tableau1[[#This Row],[Manque (physique)]]&gt;Tableau1[[#This Row],[Manque (digital)]],"POD",IF(Tableau1[[#This Row],[Manque (digital)]]&gt;Tableau1[[#This Row],[Manque (physique)]],"MarketPlace",""))</f>
        <v/>
      </c>
      <c r="J1011" t="s">
        <v>30</v>
      </c>
      <c r="K1011" t="s">
        <v>59</v>
      </c>
      <c r="L1011" t="s">
        <v>19</v>
      </c>
      <c r="M1011" t="s">
        <v>19</v>
      </c>
      <c r="N1011" t="s">
        <v>89</v>
      </c>
      <c r="O1011" t="s">
        <v>23</v>
      </c>
      <c r="P1011" t="s">
        <v>19</v>
      </c>
      <c r="Q1011" t="s">
        <v>850</v>
      </c>
    </row>
    <row r="1012" spans="1:17" hidden="1" x14ac:dyDescent="0.25">
      <c r="A1012" t="s">
        <v>990</v>
      </c>
      <c r="B1012" t="s">
        <v>22</v>
      </c>
      <c r="C1012" t="s">
        <v>70</v>
      </c>
      <c r="D1012" t="s">
        <v>58</v>
      </c>
      <c r="E1012">
        <v>3</v>
      </c>
      <c r="F1012">
        <f>MAX(-1,3-Tableau1[[#This Row],[Nb possédé (digital)]])</f>
        <v>0</v>
      </c>
      <c r="G1012">
        <v>3</v>
      </c>
      <c r="H1012">
        <f>MAX(-1,3-Tableau1[[#This Row],[Possédé (physique)]])</f>
        <v>0</v>
      </c>
      <c r="I1012" t="str">
        <f>IF(Tableau1[[#This Row],[Manque (physique)]]&gt;Tableau1[[#This Row],[Manque (digital)]],"POD",IF(Tableau1[[#This Row],[Manque (digital)]]&gt;Tableau1[[#This Row],[Manque (physique)]],"MarketPlace",""))</f>
        <v/>
      </c>
      <c r="J1012" t="s">
        <v>30</v>
      </c>
      <c r="K1012" t="s">
        <v>83</v>
      </c>
      <c r="L1012" t="s">
        <v>19</v>
      </c>
      <c r="M1012" t="s">
        <v>19</v>
      </c>
      <c r="N1012" t="s">
        <v>23</v>
      </c>
      <c r="O1012" t="s">
        <v>89</v>
      </c>
      <c r="P1012" t="s">
        <v>89</v>
      </c>
      <c r="Q1012" t="s">
        <v>992</v>
      </c>
    </row>
    <row r="1013" spans="1:17" hidden="1" x14ac:dyDescent="0.25">
      <c r="A1013" t="s">
        <v>1078</v>
      </c>
      <c r="B1013" t="s">
        <v>22</v>
      </c>
      <c r="C1013" t="s">
        <v>70</v>
      </c>
      <c r="D1013" t="s">
        <v>58</v>
      </c>
      <c r="E1013">
        <v>3</v>
      </c>
      <c r="F1013">
        <f>MAX(-1,3-Tableau1[[#This Row],[Nb possédé (digital)]])</f>
        <v>0</v>
      </c>
      <c r="G1013">
        <v>3</v>
      </c>
      <c r="H1013">
        <f>MAX(-1,3-Tableau1[[#This Row],[Possédé (physique)]])</f>
        <v>0</v>
      </c>
      <c r="I1013" t="str">
        <f>IF(Tableau1[[#This Row],[Manque (physique)]]&gt;Tableau1[[#This Row],[Manque (digital)]],"POD",IF(Tableau1[[#This Row],[Manque (digital)]]&gt;Tableau1[[#This Row],[Manque (physique)]],"MarketPlace",""))</f>
        <v/>
      </c>
      <c r="J1013" t="s">
        <v>268</v>
      </c>
      <c r="K1013" t="s">
        <v>269</v>
      </c>
      <c r="L1013" t="s">
        <v>19</v>
      </c>
      <c r="M1013" t="s">
        <v>19</v>
      </c>
      <c r="Q1013" t="s">
        <v>1079</v>
      </c>
    </row>
    <row r="1014" spans="1:17" hidden="1" x14ac:dyDescent="0.25">
      <c r="A1014" t="s">
        <v>1150</v>
      </c>
      <c r="B1014" t="s">
        <v>22</v>
      </c>
      <c r="C1014" t="s">
        <v>70</v>
      </c>
      <c r="D1014" t="s">
        <v>58</v>
      </c>
      <c r="E1014">
        <v>3</v>
      </c>
      <c r="F1014">
        <f>MAX(-1,3-Tableau1[[#This Row],[Nb possédé (digital)]])</f>
        <v>0</v>
      </c>
      <c r="G1014">
        <v>3</v>
      </c>
      <c r="H1014">
        <f>MAX(-1,3-Tableau1[[#This Row],[Possédé (physique)]])</f>
        <v>0</v>
      </c>
      <c r="I1014" t="str">
        <f>IF(Tableau1[[#This Row],[Manque (physique)]]&gt;Tableau1[[#This Row],[Manque (digital)]],"POD",IF(Tableau1[[#This Row],[Manque (digital)]]&gt;Tableau1[[#This Row],[Manque (physique)]],"MarketPlace",""))</f>
        <v/>
      </c>
      <c r="J1014" t="s">
        <v>30</v>
      </c>
      <c r="K1014" t="s">
        <v>83</v>
      </c>
      <c r="L1014" t="s">
        <v>19</v>
      </c>
      <c r="M1014" t="s">
        <v>23</v>
      </c>
      <c r="N1014" t="s">
        <v>19</v>
      </c>
      <c r="O1014" t="s">
        <v>19</v>
      </c>
      <c r="P1014" t="s">
        <v>19</v>
      </c>
      <c r="Q1014" t="s">
        <v>368</v>
      </c>
    </row>
    <row r="1015" spans="1:17" hidden="1" x14ac:dyDescent="0.25">
      <c r="A1015" t="s">
        <v>817</v>
      </c>
      <c r="B1015" t="s">
        <v>22</v>
      </c>
      <c r="C1015" t="s">
        <v>70</v>
      </c>
      <c r="D1015" t="s">
        <v>58</v>
      </c>
      <c r="E1015">
        <v>3</v>
      </c>
      <c r="F1015">
        <f>MAX(-1,3-Tableau1[[#This Row],[Nb possédé (digital)]])</f>
        <v>0</v>
      </c>
      <c r="G1015">
        <v>3</v>
      </c>
      <c r="H1015">
        <f>MAX(-1,3-Tableau1[[#This Row],[Possédé (physique)]])</f>
        <v>0</v>
      </c>
      <c r="I1015" t="str">
        <f>IF(Tableau1[[#This Row],[Manque (physique)]]&gt;Tableau1[[#This Row],[Manque (digital)]],"POD",IF(Tableau1[[#This Row],[Manque (digital)]]&gt;Tableau1[[#This Row],[Manque (physique)]],"MarketPlace",""))</f>
        <v/>
      </c>
      <c r="J1015" t="s">
        <v>30</v>
      </c>
      <c r="K1015" t="s">
        <v>68</v>
      </c>
      <c r="L1015" t="s">
        <v>23</v>
      </c>
      <c r="M1015" t="s">
        <v>19</v>
      </c>
      <c r="N1015" t="s">
        <v>23</v>
      </c>
      <c r="O1015" t="s">
        <v>89</v>
      </c>
      <c r="P1015" t="s">
        <v>23</v>
      </c>
      <c r="Q1015" t="s">
        <v>818</v>
      </c>
    </row>
    <row r="1016" spans="1:17" hidden="1" x14ac:dyDescent="0.25">
      <c r="A1016" t="s">
        <v>864</v>
      </c>
      <c r="B1016" t="s">
        <v>22</v>
      </c>
      <c r="C1016" t="s">
        <v>70</v>
      </c>
      <c r="D1016" t="s">
        <v>58</v>
      </c>
      <c r="E1016">
        <v>3</v>
      </c>
      <c r="F1016">
        <f>MAX(-1,3-Tableau1[[#This Row],[Nb possédé (digital)]])</f>
        <v>0</v>
      </c>
      <c r="G1016">
        <v>3</v>
      </c>
      <c r="H1016">
        <f>MAX(-1,3-Tableau1[[#This Row],[Possédé (physique)]])</f>
        <v>0</v>
      </c>
      <c r="I1016" t="str">
        <f>IF(Tableau1[[#This Row],[Manque (physique)]]&gt;Tableau1[[#This Row],[Manque (digital)]],"POD",IF(Tableau1[[#This Row],[Manque (digital)]]&gt;Tableau1[[#This Row],[Manque (physique)]],"MarketPlace",""))</f>
        <v/>
      </c>
      <c r="J1016" t="s">
        <v>30</v>
      </c>
      <c r="K1016" t="s">
        <v>51</v>
      </c>
      <c r="L1016" t="s">
        <v>23</v>
      </c>
      <c r="M1016" t="s">
        <v>19</v>
      </c>
      <c r="N1016" t="s">
        <v>23</v>
      </c>
      <c r="O1016" t="s">
        <v>89</v>
      </c>
      <c r="P1016" t="s">
        <v>89</v>
      </c>
      <c r="Q1016" t="s">
        <v>866</v>
      </c>
    </row>
    <row r="1017" spans="1:17" hidden="1" x14ac:dyDescent="0.25">
      <c r="A1017" t="s">
        <v>1051</v>
      </c>
      <c r="B1017" t="s">
        <v>22</v>
      </c>
      <c r="C1017" t="s">
        <v>70</v>
      </c>
      <c r="D1017" t="s">
        <v>58</v>
      </c>
      <c r="E1017">
        <v>1</v>
      </c>
      <c r="F1017">
        <f>MAX(-1,3-Tableau1[[#This Row],[Nb possédé (digital)]])</f>
        <v>2</v>
      </c>
      <c r="G1017">
        <v>3</v>
      </c>
      <c r="H1017">
        <f>MAX(-1,3-Tableau1[[#This Row],[Possédé (physique)]])</f>
        <v>0</v>
      </c>
      <c r="I1017" t="str">
        <f>IF(Tableau1[[#This Row],[Manque (physique)]]&gt;Tableau1[[#This Row],[Manque (digital)]],"POD",IF(Tableau1[[#This Row],[Manque (digital)]]&gt;Tableau1[[#This Row],[Manque (physique)]],"MarketPlace",""))</f>
        <v>MarketPlace</v>
      </c>
      <c r="J1017" t="s">
        <v>268</v>
      </c>
      <c r="K1017" t="s">
        <v>269</v>
      </c>
      <c r="L1017" t="s">
        <v>23</v>
      </c>
      <c r="M1017" t="s">
        <v>19</v>
      </c>
      <c r="Q1017" t="s">
        <v>1052</v>
      </c>
    </row>
    <row r="1018" spans="1:17" hidden="1" x14ac:dyDescent="0.25">
      <c r="A1018" t="s">
        <v>152</v>
      </c>
      <c r="B1018" t="s">
        <v>22</v>
      </c>
      <c r="C1018" t="s">
        <v>70</v>
      </c>
      <c r="D1018" t="s">
        <v>58</v>
      </c>
      <c r="E1018">
        <v>3</v>
      </c>
      <c r="F1018">
        <f>MAX(-1,3-Tableau1[[#This Row],[Nb possédé (digital)]])</f>
        <v>0</v>
      </c>
      <c r="G1018">
        <v>3</v>
      </c>
      <c r="H1018">
        <f>MAX(-1,3-Tableau1[[#This Row],[Possédé (physique)]])</f>
        <v>0</v>
      </c>
      <c r="I1018" t="str">
        <f>IF(Tableau1[[#This Row],[Manque (physique)]]&gt;Tableau1[[#This Row],[Manque (digital)]],"POD",IF(Tableau1[[#This Row],[Manque (digital)]]&gt;Tableau1[[#This Row],[Manque (physique)]],"MarketPlace",""))</f>
        <v/>
      </c>
      <c r="J1018" t="s">
        <v>17</v>
      </c>
      <c r="K1018" t="s">
        <v>153</v>
      </c>
      <c r="L1018" t="s">
        <v>23</v>
      </c>
      <c r="M1018" t="s">
        <v>23</v>
      </c>
      <c r="Q1018" t="s">
        <v>156</v>
      </c>
    </row>
    <row r="1019" spans="1:17" hidden="1" x14ac:dyDescent="0.25">
      <c r="A1019" t="s">
        <v>454</v>
      </c>
      <c r="B1019" t="s">
        <v>22</v>
      </c>
      <c r="C1019" t="s">
        <v>70</v>
      </c>
      <c r="D1019" t="s">
        <v>58</v>
      </c>
      <c r="E1019">
        <v>2</v>
      </c>
      <c r="F1019">
        <f>MAX(-1,3-Tableau1[[#This Row],[Nb possédé (digital)]])</f>
        <v>1</v>
      </c>
      <c r="G1019">
        <v>3</v>
      </c>
      <c r="H1019">
        <f>MAX(-1,3-Tableau1[[#This Row],[Possédé (physique)]])</f>
        <v>0</v>
      </c>
      <c r="I1019" t="str">
        <f>IF(Tableau1[[#This Row],[Manque (physique)]]&gt;Tableau1[[#This Row],[Manque (digital)]],"POD",IF(Tableau1[[#This Row],[Manque (digital)]]&gt;Tableau1[[#This Row],[Manque (physique)]],"MarketPlace",""))</f>
        <v>MarketPlace</v>
      </c>
      <c r="J1019" t="s">
        <v>30</v>
      </c>
      <c r="K1019" t="s">
        <v>103</v>
      </c>
      <c r="L1019" t="s">
        <v>23</v>
      </c>
      <c r="M1019" t="s">
        <v>23</v>
      </c>
      <c r="N1019" t="s">
        <v>89</v>
      </c>
      <c r="O1019" t="s">
        <v>89</v>
      </c>
      <c r="P1019" t="s">
        <v>52</v>
      </c>
      <c r="Q1019" t="s">
        <v>455</v>
      </c>
    </row>
    <row r="1020" spans="1:17" hidden="1" x14ac:dyDescent="0.25">
      <c r="A1020" t="s">
        <v>730</v>
      </c>
      <c r="B1020" t="s">
        <v>22</v>
      </c>
      <c r="C1020" t="s">
        <v>70</v>
      </c>
      <c r="D1020" t="s">
        <v>58</v>
      </c>
      <c r="E1020">
        <v>3</v>
      </c>
      <c r="F1020">
        <f>MAX(-1,3-Tableau1[[#This Row],[Nb possédé (digital)]])</f>
        <v>0</v>
      </c>
      <c r="G1020">
        <v>3</v>
      </c>
      <c r="H1020">
        <f>MAX(-1,3-Tableau1[[#This Row],[Possédé (physique)]])</f>
        <v>0</v>
      </c>
      <c r="I1020" t="str">
        <f>IF(Tableau1[[#This Row],[Manque (physique)]]&gt;Tableau1[[#This Row],[Manque (digital)]],"POD",IF(Tableau1[[#This Row],[Manque (digital)]]&gt;Tableau1[[#This Row],[Manque (physique)]],"MarketPlace",""))</f>
        <v/>
      </c>
      <c r="J1020" t="s">
        <v>116</v>
      </c>
      <c r="K1020" t="s">
        <v>117</v>
      </c>
      <c r="L1020" t="s">
        <v>23</v>
      </c>
      <c r="M1020" t="s">
        <v>23</v>
      </c>
      <c r="Q1020" t="s">
        <v>732</v>
      </c>
    </row>
    <row r="1021" spans="1:17" hidden="1" x14ac:dyDescent="0.25">
      <c r="A1021" t="s">
        <v>830</v>
      </c>
      <c r="B1021" t="s">
        <v>22</v>
      </c>
      <c r="C1021" t="s">
        <v>70</v>
      </c>
      <c r="D1021" t="s">
        <v>58</v>
      </c>
      <c r="E1021">
        <v>3</v>
      </c>
      <c r="F1021">
        <f>MAX(-1,3-Tableau1[[#This Row],[Nb possédé (digital)]])</f>
        <v>0</v>
      </c>
      <c r="G1021">
        <v>3</v>
      </c>
      <c r="H1021">
        <f>MAX(-1,3-Tableau1[[#This Row],[Possédé (physique)]])</f>
        <v>0</v>
      </c>
      <c r="I1021" t="str">
        <f>IF(Tableau1[[#This Row],[Manque (physique)]]&gt;Tableau1[[#This Row],[Manque (digital)]],"POD",IF(Tableau1[[#This Row],[Manque (digital)]]&gt;Tableau1[[#This Row],[Manque (physique)]],"MarketPlace",""))</f>
        <v/>
      </c>
      <c r="J1021" t="s">
        <v>30</v>
      </c>
      <c r="K1021" t="s">
        <v>124</v>
      </c>
      <c r="L1021" t="s">
        <v>23</v>
      </c>
      <c r="M1021" t="s">
        <v>23</v>
      </c>
      <c r="N1021" t="s">
        <v>23</v>
      </c>
      <c r="O1021" t="s">
        <v>23</v>
      </c>
      <c r="P1021" t="s">
        <v>89</v>
      </c>
      <c r="Q1021" t="s">
        <v>832</v>
      </c>
    </row>
    <row r="1022" spans="1:17" hidden="1" x14ac:dyDescent="0.25">
      <c r="A1022" t="s">
        <v>861</v>
      </c>
      <c r="B1022" t="s">
        <v>22</v>
      </c>
      <c r="C1022" t="s">
        <v>70</v>
      </c>
      <c r="D1022" t="s">
        <v>58</v>
      </c>
      <c r="E1022">
        <v>3</v>
      </c>
      <c r="F1022">
        <f>MAX(-1,3-Tableau1[[#This Row],[Nb possédé (digital)]])</f>
        <v>0</v>
      </c>
      <c r="G1022">
        <v>3</v>
      </c>
      <c r="H1022">
        <f>MAX(-1,3-Tableau1[[#This Row],[Possédé (physique)]])</f>
        <v>0</v>
      </c>
      <c r="I1022" t="str">
        <f>IF(Tableau1[[#This Row],[Manque (physique)]]&gt;Tableau1[[#This Row],[Manque (digital)]],"POD",IF(Tableau1[[#This Row],[Manque (digital)]]&gt;Tableau1[[#This Row],[Manque (physique)]],"MarketPlace",""))</f>
        <v/>
      </c>
      <c r="J1022" t="s">
        <v>17</v>
      </c>
      <c r="K1022" t="s">
        <v>153</v>
      </c>
      <c r="L1022" t="s">
        <v>23</v>
      </c>
      <c r="M1022" t="s">
        <v>23</v>
      </c>
      <c r="Q1022" t="s">
        <v>863</v>
      </c>
    </row>
    <row r="1023" spans="1:17" hidden="1" x14ac:dyDescent="0.25">
      <c r="A1023" t="s">
        <v>1106</v>
      </c>
      <c r="B1023" t="s">
        <v>22</v>
      </c>
      <c r="C1023" t="s">
        <v>70</v>
      </c>
      <c r="D1023" t="s">
        <v>58</v>
      </c>
      <c r="E1023">
        <v>3</v>
      </c>
      <c r="F1023">
        <f>MAX(-1,3-Tableau1[[#This Row],[Nb possédé (digital)]])</f>
        <v>0</v>
      </c>
      <c r="G1023">
        <v>3</v>
      </c>
      <c r="H1023">
        <f>MAX(-1,3-Tableau1[[#This Row],[Possédé (physique)]])</f>
        <v>0</v>
      </c>
      <c r="I1023" t="str">
        <f>IF(Tableau1[[#This Row],[Manque (physique)]]&gt;Tableau1[[#This Row],[Manque (digital)]],"POD",IF(Tableau1[[#This Row],[Manque (digital)]]&gt;Tableau1[[#This Row],[Manque (physique)]],"MarketPlace",""))</f>
        <v/>
      </c>
      <c r="J1023" t="s">
        <v>30</v>
      </c>
      <c r="K1023" t="s">
        <v>107</v>
      </c>
      <c r="L1023" t="s">
        <v>23</v>
      </c>
      <c r="M1023" t="s">
        <v>23</v>
      </c>
      <c r="N1023" t="s">
        <v>19</v>
      </c>
      <c r="O1023" t="s">
        <v>19</v>
      </c>
      <c r="P1023" t="s">
        <v>19</v>
      </c>
      <c r="Q1023" t="s">
        <v>1108</v>
      </c>
    </row>
    <row r="1024" spans="1:17" hidden="1" x14ac:dyDescent="0.25">
      <c r="A1024" t="s">
        <v>1151</v>
      </c>
      <c r="B1024" t="s">
        <v>22</v>
      </c>
      <c r="C1024" t="s">
        <v>70</v>
      </c>
      <c r="D1024" t="s">
        <v>58</v>
      </c>
      <c r="E1024">
        <v>3</v>
      </c>
      <c r="F1024">
        <f>MAX(-1,3-Tableau1[[#This Row],[Nb possédé (digital)]])</f>
        <v>0</v>
      </c>
      <c r="G1024">
        <v>3</v>
      </c>
      <c r="H1024">
        <f>MAX(-1,3-Tableau1[[#This Row],[Possédé (physique)]])</f>
        <v>0</v>
      </c>
      <c r="I1024" t="str">
        <f>IF(Tableau1[[#This Row],[Manque (physique)]]&gt;Tableau1[[#This Row],[Manque (digital)]],"POD",IF(Tableau1[[#This Row],[Manque (digital)]]&gt;Tableau1[[#This Row],[Manque (physique)]],"MarketPlace",""))</f>
        <v/>
      </c>
      <c r="J1024" t="s">
        <v>30</v>
      </c>
      <c r="K1024" t="s">
        <v>83</v>
      </c>
      <c r="L1024" t="s">
        <v>23</v>
      </c>
      <c r="M1024" t="s">
        <v>52</v>
      </c>
      <c r="N1024" t="s">
        <v>23</v>
      </c>
      <c r="O1024" t="s">
        <v>23</v>
      </c>
      <c r="P1024" t="s">
        <v>23</v>
      </c>
      <c r="Q1024" t="s">
        <v>497</v>
      </c>
    </row>
    <row r="1025" spans="1:17" hidden="1" x14ac:dyDescent="0.25">
      <c r="A1025" t="s">
        <v>210</v>
      </c>
      <c r="B1025" t="s">
        <v>22</v>
      </c>
      <c r="C1025" t="s">
        <v>70</v>
      </c>
      <c r="D1025" t="s">
        <v>58</v>
      </c>
      <c r="E1025">
        <v>3</v>
      </c>
      <c r="F1025">
        <f>MAX(-1,3-Tableau1[[#This Row],[Nb possédé (digital)]])</f>
        <v>0</v>
      </c>
      <c r="G1025">
        <v>3</v>
      </c>
      <c r="H1025">
        <f>MAX(-1,3-Tableau1[[#This Row],[Possédé (physique)]])</f>
        <v>0</v>
      </c>
      <c r="I1025" t="str">
        <f>IF(Tableau1[[#This Row],[Manque (physique)]]&gt;Tableau1[[#This Row],[Manque (digital)]],"POD",IF(Tableau1[[#This Row],[Manque (digital)]]&gt;Tableau1[[#This Row],[Manque (physique)]],"MarketPlace",""))</f>
        <v/>
      </c>
      <c r="J1025" t="s">
        <v>17</v>
      </c>
      <c r="K1025" t="s">
        <v>153</v>
      </c>
      <c r="L1025" t="s">
        <v>52</v>
      </c>
      <c r="M1025" t="s">
        <v>52</v>
      </c>
      <c r="Q1025" t="s">
        <v>212</v>
      </c>
    </row>
    <row r="1026" spans="1:17" hidden="1" x14ac:dyDescent="0.25">
      <c r="A1026" t="s">
        <v>538</v>
      </c>
      <c r="B1026" t="s">
        <v>22</v>
      </c>
      <c r="C1026" t="s">
        <v>70</v>
      </c>
      <c r="D1026" t="s">
        <v>58</v>
      </c>
      <c r="E1026">
        <v>3</v>
      </c>
      <c r="F1026">
        <f>MAX(-1,3-Tableau1[[#This Row],[Nb possédé (digital)]])</f>
        <v>0</v>
      </c>
      <c r="G1026">
        <v>3</v>
      </c>
      <c r="H1026">
        <f>MAX(-1,3-Tableau1[[#This Row],[Possédé (physique)]])</f>
        <v>0</v>
      </c>
      <c r="I1026" t="str">
        <f>IF(Tableau1[[#This Row],[Manque (physique)]]&gt;Tableau1[[#This Row],[Manque (digital)]],"POD",IF(Tableau1[[#This Row],[Manque (digital)]]&gt;Tableau1[[#This Row],[Manque (physique)]],"MarketPlace",""))</f>
        <v/>
      </c>
      <c r="J1026" t="s">
        <v>30</v>
      </c>
      <c r="K1026" t="s">
        <v>539</v>
      </c>
      <c r="L1026" t="s">
        <v>52</v>
      </c>
      <c r="M1026" t="s">
        <v>52</v>
      </c>
      <c r="N1026" t="s">
        <v>37</v>
      </c>
      <c r="O1026" t="s">
        <v>89</v>
      </c>
      <c r="P1026" t="s">
        <v>37</v>
      </c>
      <c r="Q1026" t="s">
        <v>541</v>
      </c>
    </row>
    <row r="1027" spans="1:17" hidden="1" x14ac:dyDescent="0.25">
      <c r="A1027" t="s">
        <v>716</v>
      </c>
      <c r="B1027" t="s">
        <v>22</v>
      </c>
      <c r="C1027" t="s">
        <v>70</v>
      </c>
      <c r="D1027" t="s">
        <v>58</v>
      </c>
      <c r="E1027">
        <v>3</v>
      </c>
      <c r="F1027">
        <f>MAX(-1,3-Tableau1[[#This Row],[Nb possédé (digital)]])</f>
        <v>0</v>
      </c>
      <c r="G1027">
        <v>3</v>
      </c>
      <c r="H1027">
        <f>MAX(-1,3-Tableau1[[#This Row],[Possédé (physique)]])</f>
        <v>0</v>
      </c>
      <c r="I1027" t="str">
        <f>IF(Tableau1[[#This Row],[Manque (physique)]]&gt;Tableau1[[#This Row],[Manque (digital)]],"POD",IF(Tableau1[[#This Row],[Manque (digital)]]&gt;Tableau1[[#This Row],[Manque (physique)]],"MarketPlace",""))</f>
        <v/>
      </c>
      <c r="J1027" t="s">
        <v>30</v>
      </c>
      <c r="K1027" t="s">
        <v>557</v>
      </c>
      <c r="L1027" t="s">
        <v>52</v>
      </c>
      <c r="M1027" t="s">
        <v>52</v>
      </c>
      <c r="N1027" t="s">
        <v>89</v>
      </c>
      <c r="O1027" t="s">
        <v>52</v>
      </c>
      <c r="P1027" t="s">
        <v>52</v>
      </c>
      <c r="Q1027" t="s">
        <v>717</v>
      </c>
    </row>
    <row r="1028" spans="1:17" hidden="1" x14ac:dyDescent="0.25">
      <c r="A1028" t="s">
        <v>823</v>
      </c>
      <c r="B1028" t="s">
        <v>22</v>
      </c>
      <c r="C1028" t="s">
        <v>70</v>
      </c>
      <c r="D1028" t="s">
        <v>58</v>
      </c>
      <c r="E1028">
        <v>3</v>
      </c>
      <c r="F1028">
        <f>MAX(-1,3-Tableau1[[#This Row],[Nb possédé (digital)]])</f>
        <v>0</v>
      </c>
      <c r="G1028">
        <v>3</v>
      </c>
      <c r="H1028">
        <f>MAX(-1,3-Tableau1[[#This Row],[Possédé (physique)]])</f>
        <v>0</v>
      </c>
      <c r="I1028" t="str">
        <f>IF(Tableau1[[#This Row],[Manque (physique)]]&gt;Tableau1[[#This Row],[Manque (digital)]],"POD",IF(Tableau1[[#This Row],[Manque (digital)]]&gt;Tableau1[[#This Row],[Manque (physique)]],"MarketPlace",""))</f>
        <v/>
      </c>
      <c r="J1028" t="s">
        <v>17</v>
      </c>
      <c r="K1028" t="s">
        <v>824</v>
      </c>
      <c r="L1028" t="s">
        <v>101</v>
      </c>
      <c r="M1028" t="s">
        <v>101</v>
      </c>
      <c r="Q1028" t="s">
        <v>826</v>
      </c>
    </row>
    <row r="1029" spans="1:17" hidden="1" x14ac:dyDescent="0.25">
      <c r="A1029" t="s">
        <v>1504</v>
      </c>
      <c r="B1029" t="s">
        <v>22</v>
      </c>
      <c r="C1029" t="s">
        <v>70</v>
      </c>
      <c r="D1029" t="s">
        <v>1496</v>
      </c>
      <c r="E1029">
        <v>2</v>
      </c>
      <c r="F1029">
        <f>MAX(-1,3-Tableau1[[#This Row],[Nb possédé (digital)]])</f>
        <v>1</v>
      </c>
      <c r="G1029">
        <v>3</v>
      </c>
      <c r="H1029">
        <f>MAX(-1,3-Tableau1[[#This Row],[Possédé (physique)]])</f>
        <v>0</v>
      </c>
      <c r="I1029" t="str">
        <f>IF(Tableau1[[#This Row],[Manque (physique)]]&gt;Tableau1[[#This Row],[Manque (digital)]],"POD",IF(Tableau1[[#This Row],[Manque (digital)]]&gt;Tableau1[[#This Row],[Manque (physique)]],"MarketPlace",""))</f>
        <v>MarketPlace</v>
      </c>
      <c r="J1029" t="s">
        <v>116</v>
      </c>
      <c r="K1029" t="s">
        <v>117</v>
      </c>
      <c r="L1029" t="s">
        <v>20</v>
      </c>
      <c r="M1029" t="s">
        <v>20</v>
      </c>
      <c r="Q1029" t="s">
        <v>1616</v>
      </c>
    </row>
    <row r="1030" spans="1:17" hidden="1" x14ac:dyDescent="0.25">
      <c r="A1030" t="s">
        <v>1594</v>
      </c>
      <c r="B1030" t="s">
        <v>22</v>
      </c>
      <c r="C1030" t="s">
        <v>70</v>
      </c>
      <c r="D1030" t="s">
        <v>1496</v>
      </c>
      <c r="E1030">
        <v>3</v>
      </c>
      <c r="F1030">
        <f>MAX(-1,3-Tableau1[[#This Row],[Nb possédé (digital)]])</f>
        <v>0</v>
      </c>
      <c r="G1030">
        <v>3</v>
      </c>
      <c r="H1030">
        <f>MAX(-1,3-Tableau1[[#This Row],[Possédé (physique)]])</f>
        <v>0</v>
      </c>
      <c r="I1030" t="str">
        <f>IF(Tableau1[[#This Row],[Manque (physique)]]&gt;Tableau1[[#This Row],[Manque (digital)]],"POD",IF(Tableau1[[#This Row],[Manque (digital)]]&gt;Tableau1[[#This Row],[Manque (physique)]],"MarketPlace",""))</f>
        <v/>
      </c>
      <c r="J1030" t="s">
        <v>30</v>
      </c>
      <c r="K1030" t="s">
        <v>1814</v>
      </c>
      <c r="L1030" t="s">
        <v>20</v>
      </c>
      <c r="M1030" t="s">
        <v>19</v>
      </c>
      <c r="N1030" t="s">
        <v>20</v>
      </c>
      <c r="O1030" t="s">
        <v>20</v>
      </c>
      <c r="P1030" t="s">
        <v>89</v>
      </c>
      <c r="Q1030" t="s">
        <v>1815</v>
      </c>
    </row>
    <row r="1031" spans="1:17" hidden="1" x14ac:dyDescent="0.25">
      <c r="A1031" t="s">
        <v>1501</v>
      </c>
      <c r="B1031" t="s">
        <v>22</v>
      </c>
      <c r="C1031" t="s">
        <v>70</v>
      </c>
      <c r="D1031" t="s">
        <v>1496</v>
      </c>
      <c r="E1031">
        <v>2</v>
      </c>
      <c r="F1031">
        <f>MAX(-1,3-Tableau1[[#This Row],[Nb possédé (digital)]])</f>
        <v>1</v>
      </c>
      <c r="G1031">
        <v>3</v>
      </c>
      <c r="H1031">
        <f>MAX(-1,3-Tableau1[[#This Row],[Possédé (physique)]])</f>
        <v>0</v>
      </c>
      <c r="I1031" t="str">
        <f>IF(Tableau1[[#This Row],[Manque (physique)]]&gt;Tableau1[[#This Row],[Manque (digital)]],"POD",IF(Tableau1[[#This Row],[Manque (digital)]]&gt;Tableau1[[#This Row],[Manque (physique)]],"MarketPlace",""))</f>
        <v>MarketPlace</v>
      </c>
      <c r="J1031" t="s">
        <v>30</v>
      </c>
      <c r="K1031" t="s">
        <v>171</v>
      </c>
      <c r="L1031" t="s">
        <v>19</v>
      </c>
      <c r="M1031" t="s">
        <v>19</v>
      </c>
      <c r="N1031" t="s">
        <v>19</v>
      </c>
      <c r="O1031" t="s">
        <v>19</v>
      </c>
      <c r="P1031" t="s">
        <v>19</v>
      </c>
      <c r="Q1031" t="s">
        <v>1610</v>
      </c>
    </row>
    <row r="1032" spans="1:17" hidden="1" x14ac:dyDescent="0.25">
      <c r="A1032" t="s">
        <v>1510</v>
      </c>
      <c r="B1032" t="s">
        <v>22</v>
      </c>
      <c r="C1032" t="s">
        <v>70</v>
      </c>
      <c r="D1032" t="s">
        <v>1496</v>
      </c>
      <c r="E1032">
        <v>3</v>
      </c>
      <c r="F1032">
        <f>MAX(-1,3-Tableau1[[#This Row],[Nb possédé (digital)]])</f>
        <v>0</v>
      </c>
      <c r="G1032">
        <v>3</v>
      </c>
      <c r="H1032">
        <f>MAX(-1,3-Tableau1[[#This Row],[Possédé (physique)]])</f>
        <v>0</v>
      </c>
      <c r="I1032" t="str">
        <f>IF(Tableau1[[#This Row],[Manque (physique)]]&gt;Tableau1[[#This Row],[Manque (digital)]],"POD",IF(Tableau1[[#This Row],[Manque (digital)]]&gt;Tableau1[[#This Row],[Manque (physique)]],"MarketPlace",""))</f>
        <v/>
      </c>
      <c r="J1032" t="s">
        <v>30</v>
      </c>
      <c r="K1032" t="s">
        <v>68</v>
      </c>
      <c r="L1032" t="s">
        <v>19</v>
      </c>
      <c r="M1032" t="s">
        <v>19</v>
      </c>
      <c r="N1032" t="s">
        <v>23</v>
      </c>
      <c r="O1032" t="s">
        <v>19</v>
      </c>
      <c r="P1032" t="s">
        <v>19</v>
      </c>
      <c r="Q1032" t="s">
        <v>1631</v>
      </c>
    </row>
    <row r="1033" spans="1:17" hidden="1" x14ac:dyDescent="0.25">
      <c r="A1033" t="s">
        <v>1517</v>
      </c>
      <c r="B1033" t="s">
        <v>22</v>
      </c>
      <c r="C1033" t="s">
        <v>70</v>
      </c>
      <c r="D1033" t="s">
        <v>1496</v>
      </c>
      <c r="E1033">
        <v>1</v>
      </c>
      <c r="F1033">
        <f>MAX(-1,3-Tableau1[[#This Row],[Nb possédé (digital)]])</f>
        <v>2</v>
      </c>
      <c r="G1033">
        <v>3</v>
      </c>
      <c r="H1033">
        <f>MAX(-1,3-Tableau1[[#This Row],[Possédé (physique)]])</f>
        <v>0</v>
      </c>
      <c r="I1033" t="str">
        <f>IF(Tableau1[[#This Row],[Manque (physique)]]&gt;Tableau1[[#This Row],[Manque (digital)]],"POD",IF(Tableau1[[#This Row],[Manque (digital)]]&gt;Tableau1[[#This Row],[Manque (physique)]],"MarketPlace",""))</f>
        <v>MarketPlace</v>
      </c>
      <c r="J1033" t="s">
        <v>17</v>
      </c>
      <c r="K1033" t="s">
        <v>153</v>
      </c>
      <c r="L1033" t="s">
        <v>19</v>
      </c>
      <c r="M1033" t="s">
        <v>19</v>
      </c>
      <c r="Q1033" t="s">
        <v>1642</v>
      </c>
    </row>
    <row r="1034" spans="1:17" hidden="1" x14ac:dyDescent="0.25">
      <c r="A1034" t="s">
        <v>1526</v>
      </c>
      <c r="B1034" t="s">
        <v>22</v>
      </c>
      <c r="C1034" t="s">
        <v>70</v>
      </c>
      <c r="D1034" t="s">
        <v>1496</v>
      </c>
      <c r="E1034">
        <v>1</v>
      </c>
      <c r="F1034">
        <f>MAX(-1,3-Tableau1[[#This Row],[Nb possédé (digital)]])</f>
        <v>2</v>
      </c>
      <c r="G1034">
        <v>3</v>
      </c>
      <c r="H1034">
        <f>MAX(-1,3-Tableau1[[#This Row],[Possédé (physique)]])</f>
        <v>0</v>
      </c>
      <c r="I1034" t="str">
        <f>IF(Tableau1[[#This Row],[Manque (physique)]]&gt;Tableau1[[#This Row],[Manque (digital)]],"POD",IF(Tableau1[[#This Row],[Manque (digital)]]&gt;Tableau1[[#This Row],[Manque (physique)]],"MarketPlace",""))</f>
        <v>MarketPlace</v>
      </c>
      <c r="J1034" t="s">
        <v>30</v>
      </c>
      <c r="K1034" t="s">
        <v>328</v>
      </c>
      <c r="L1034" t="s">
        <v>19</v>
      </c>
      <c r="M1034" t="s">
        <v>19</v>
      </c>
      <c r="N1034" t="s">
        <v>19</v>
      </c>
      <c r="O1034" t="s">
        <v>19</v>
      </c>
      <c r="P1034" t="s">
        <v>19</v>
      </c>
      <c r="Q1034" t="s">
        <v>1663</v>
      </c>
    </row>
    <row r="1035" spans="1:17" hidden="1" x14ac:dyDescent="0.25">
      <c r="A1035" t="s">
        <v>1528</v>
      </c>
      <c r="B1035" t="s">
        <v>22</v>
      </c>
      <c r="C1035" t="s">
        <v>70</v>
      </c>
      <c r="D1035" t="s">
        <v>1496</v>
      </c>
      <c r="E1035">
        <v>0</v>
      </c>
      <c r="F1035">
        <f>MAX(-1,3-Tableau1[[#This Row],[Nb possédé (digital)]])</f>
        <v>3</v>
      </c>
      <c r="G1035">
        <v>2</v>
      </c>
      <c r="H1035">
        <f>MAX(-1,3-Tableau1[[#This Row],[Possédé (physique)]])</f>
        <v>1</v>
      </c>
      <c r="I1035" t="str">
        <f>IF(Tableau1[[#This Row],[Manque (physique)]]&gt;Tableau1[[#This Row],[Manque (digital)]],"POD",IF(Tableau1[[#This Row],[Manque (digital)]]&gt;Tableau1[[#This Row],[Manque (physique)]],"MarketPlace",""))</f>
        <v>MarketPlace</v>
      </c>
      <c r="J1035" t="s">
        <v>30</v>
      </c>
      <c r="K1035" t="s">
        <v>83</v>
      </c>
      <c r="L1035" t="s">
        <v>19</v>
      </c>
      <c r="M1035" t="s">
        <v>19</v>
      </c>
      <c r="N1035" t="s">
        <v>19</v>
      </c>
      <c r="O1035" t="s">
        <v>19</v>
      </c>
      <c r="P1035" t="s">
        <v>89</v>
      </c>
      <c r="Q1035" t="s">
        <v>1668</v>
      </c>
    </row>
    <row r="1036" spans="1:17" hidden="1" x14ac:dyDescent="0.25">
      <c r="A1036" t="s">
        <v>1529</v>
      </c>
      <c r="B1036" t="s">
        <v>22</v>
      </c>
      <c r="C1036" t="s">
        <v>70</v>
      </c>
      <c r="D1036" t="s">
        <v>1496</v>
      </c>
      <c r="E1036">
        <v>0</v>
      </c>
      <c r="F1036">
        <f>MAX(-1,3-Tableau1[[#This Row],[Nb possédé (digital)]])</f>
        <v>3</v>
      </c>
      <c r="G1036">
        <v>3</v>
      </c>
      <c r="H1036">
        <f>MAX(-1,3-Tableau1[[#This Row],[Possédé (physique)]])</f>
        <v>0</v>
      </c>
      <c r="I1036" t="str">
        <f>IF(Tableau1[[#This Row],[Manque (physique)]]&gt;Tableau1[[#This Row],[Manque (digital)]],"POD",IF(Tableau1[[#This Row],[Manque (digital)]]&gt;Tableau1[[#This Row],[Manque (physique)]],"MarketPlace",""))</f>
        <v>MarketPlace</v>
      </c>
      <c r="J1036" t="s">
        <v>30</v>
      </c>
      <c r="K1036" t="s">
        <v>68</v>
      </c>
      <c r="L1036" t="s">
        <v>19</v>
      </c>
      <c r="M1036" t="s">
        <v>19</v>
      </c>
      <c r="N1036" t="s">
        <v>19</v>
      </c>
      <c r="O1036" t="s">
        <v>19</v>
      </c>
      <c r="P1036" t="s">
        <v>23</v>
      </c>
      <c r="Q1036" t="s">
        <v>1670</v>
      </c>
    </row>
    <row r="1037" spans="1:17" hidden="1" x14ac:dyDescent="0.25">
      <c r="A1037" t="s">
        <v>1534</v>
      </c>
      <c r="B1037" t="s">
        <v>22</v>
      </c>
      <c r="C1037" t="s">
        <v>70</v>
      </c>
      <c r="D1037" t="s">
        <v>1496</v>
      </c>
      <c r="E1037">
        <v>2</v>
      </c>
      <c r="F1037">
        <f>MAX(-1,3-Tableau1[[#This Row],[Nb possédé (digital)]])</f>
        <v>1</v>
      </c>
      <c r="G1037">
        <v>3</v>
      </c>
      <c r="H1037">
        <f>MAX(-1,3-Tableau1[[#This Row],[Possédé (physique)]])</f>
        <v>0</v>
      </c>
      <c r="I1037" t="str">
        <f>IF(Tableau1[[#This Row],[Manque (physique)]]&gt;Tableau1[[#This Row],[Manque (digital)]],"POD",IF(Tableau1[[#This Row],[Manque (digital)]]&gt;Tableau1[[#This Row],[Manque (physique)]],"MarketPlace",""))</f>
        <v>MarketPlace</v>
      </c>
      <c r="J1037" t="s">
        <v>30</v>
      </c>
      <c r="K1037" t="s">
        <v>83</v>
      </c>
      <c r="L1037" t="s">
        <v>19</v>
      </c>
      <c r="M1037" t="s">
        <v>19</v>
      </c>
      <c r="N1037" t="s">
        <v>19</v>
      </c>
      <c r="O1037" t="s">
        <v>89</v>
      </c>
      <c r="P1037" t="s">
        <v>23</v>
      </c>
      <c r="Q1037" t="s">
        <v>1680</v>
      </c>
    </row>
    <row r="1038" spans="1:17" hidden="1" x14ac:dyDescent="0.25">
      <c r="A1038" t="s">
        <v>1560</v>
      </c>
      <c r="B1038" t="s">
        <v>22</v>
      </c>
      <c r="C1038" t="s">
        <v>70</v>
      </c>
      <c r="D1038" t="s">
        <v>1496</v>
      </c>
      <c r="E1038">
        <v>0</v>
      </c>
      <c r="F1038">
        <f>MAX(-1,3-Tableau1[[#This Row],[Nb possédé (digital)]])</f>
        <v>3</v>
      </c>
      <c r="G1038">
        <v>3</v>
      </c>
      <c r="H1038">
        <f>MAX(-1,3-Tableau1[[#This Row],[Possédé (physique)]])</f>
        <v>0</v>
      </c>
      <c r="I1038" t="str">
        <f>IF(Tableau1[[#This Row],[Manque (physique)]]&gt;Tableau1[[#This Row],[Manque (digital)]],"POD",IF(Tableau1[[#This Row],[Manque (digital)]]&gt;Tableau1[[#This Row],[Manque (physique)]],"MarketPlace",""))</f>
        <v>MarketPlace</v>
      </c>
      <c r="J1038" t="s">
        <v>30</v>
      </c>
      <c r="K1038" t="s">
        <v>124</v>
      </c>
      <c r="L1038" t="s">
        <v>19</v>
      </c>
      <c r="M1038" t="s">
        <v>19</v>
      </c>
      <c r="N1038" t="s">
        <v>89</v>
      </c>
      <c r="O1038" t="s">
        <v>23</v>
      </c>
      <c r="P1038" t="s">
        <v>23</v>
      </c>
      <c r="Q1038" t="s">
        <v>1738</v>
      </c>
    </row>
    <row r="1039" spans="1:17" hidden="1" x14ac:dyDescent="0.25">
      <c r="A1039" t="s">
        <v>1563</v>
      </c>
      <c r="B1039" t="s">
        <v>22</v>
      </c>
      <c r="C1039" t="s">
        <v>70</v>
      </c>
      <c r="D1039" t="s">
        <v>1496</v>
      </c>
      <c r="E1039">
        <v>2</v>
      </c>
      <c r="F1039">
        <f>MAX(-1,3-Tableau1[[#This Row],[Nb possédé (digital)]])</f>
        <v>1</v>
      </c>
      <c r="G1039">
        <v>3</v>
      </c>
      <c r="H1039">
        <f>MAX(-1,3-Tableau1[[#This Row],[Possédé (physique)]])</f>
        <v>0</v>
      </c>
      <c r="I1039" t="str">
        <f>IF(Tableau1[[#This Row],[Manque (physique)]]&gt;Tableau1[[#This Row],[Manque (digital)]],"POD",IF(Tableau1[[#This Row],[Manque (digital)]]&gt;Tableau1[[#This Row],[Manque (physique)]],"MarketPlace",""))</f>
        <v>MarketPlace</v>
      </c>
      <c r="J1039" t="s">
        <v>30</v>
      </c>
      <c r="K1039" t="s">
        <v>292</v>
      </c>
      <c r="L1039" t="s">
        <v>19</v>
      </c>
      <c r="M1039" t="s">
        <v>19</v>
      </c>
      <c r="N1039" t="s">
        <v>89</v>
      </c>
      <c r="O1039" t="s">
        <v>89</v>
      </c>
      <c r="P1039" t="s">
        <v>23</v>
      </c>
      <c r="Q1039" t="s">
        <v>1743</v>
      </c>
    </row>
    <row r="1040" spans="1:17" hidden="1" x14ac:dyDescent="0.25">
      <c r="A1040" t="s">
        <v>1577</v>
      </c>
      <c r="B1040" t="s">
        <v>22</v>
      </c>
      <c r="C1040" t="s">
        <v>70</v>
      </c>
      <c r="D1040" t="s">
        <v>1496</v>
      </c>
      <c r="E1040">
        <v>1</v>
      </c>
      <c r="F1040">
        <f>MAX(-1,3-Tableau1[[#This Row],[Nb possédé (digital)]])</f>
        <v>2</v>
      </c>
      <c r="G1040">
        <v>3</v>
      </c>
      <c r="H1040">
        <f>MAX(-1,3-Tableau1[[#This Row],[Possédé (physique)]])</f>
        <v>0</v>
      </c>
      <c r="I1040" t="str">
        <f>IF(Tableau1[[#This Row],[Manque (physique)]]&gt;Tableau1[[#This Row],[Manque (digital)]],"POD",IF(Tableau1[[#This Row],[Manque (digital)]]&gt;Tableau1[[#This Row],[Manque (physique)]],"MarketPlace",""))</f>
        <v>MarketPlace</v>
      </c>
      <c r="J1040" t="s">
        <v>30</v>
      </c>
      <c r="K1040" t="s">
        <v>1618</v>
      </c>
      <c r="L1040" t="s">
        <v>19</v>
      </c>
      <c r="M1040" t="s">
        <v>19</v>
      </c>
      <c r="N1040" t="s">
        <v>20</v>
      </c>
      <c r="O1040" t="s">
        <v>20</v>
      </c>
      <c r="P1040" t="s">
        <v>20</v>
      </c>
      <c r="Q1040" t="s">
        <v>1774</v>
      </c>
    </row>
    <row r="1041" spans="1:17" hidden="1" x14ac:dyDescent="0.25">
      <c r="A1041" t="s">
        <v>1580</v>
      </c>
      <c r="B1041" t="s">
        <v>22</v>
      </c>
      <c r="C1041" t="s">
        <v>70</v>
      </c>
      <c r="D1041" t="s">
        <v>1496</v>
      </c>
      <c r="E1041">
        <v>1</v>
      </c>
      <c r="F1041">
        <f>MAX(-1,3-Tableau1[[#This Row],[Nb possédé (digital)]])</f>
        <v>2</v>
      </c>
      <c r="G1041">
        <v>3</v>
      </c>
      <c r="H1041">
        <f>MAX(-1,3-Tableau1[[#This Row],[Possédé (physique)]])</f>
        <v>0</v>
      </c>
      <c r="I1041" t="str">
        <f>IF(Tableau1[[#This Row],[Manque (physique)]]&gt;Tableau1[[#This Row],[Manque (digital)]],"POD",IF(Tableau1[[#This Row],[Manque (digital)]]&gt;Tableau1[[#This Row],[Manque (physique)]],"MarketPlace",""))</f>
        <v>MarketPlace</v>
      </c>
      <c r="J1041" t="s">
        <v>268</v>
      </c>
      <c r="K1041" t="s">
        <v>269</v>
      </c>
      <c r="L1041" t="s">
        <v>19</v>
      </c>
      <c r="M1041" t="s">
        <v>19</v>
      </c>
      <c r="Q1041" t="s">
        <v>1783</v>
      </c>
    </row>
    <row r="1042" spans="1:17" hidden="1" x14ac:dyDescent="0.25">
      <c r="A1042" t="s">
        <v>1516</v>
      </c>
      <c r="B1042" t="s">
        <v>22</v>
      </c>
      <c r="C1042" t="s">
        <v>70</v>
      </c>
      <c r="D1042" t="s">
        <v>1496</v>
      </c>
      <c r="E1042">
        <v>0</v>
      </c>
      <c r="F1042">
        <f>MAX(-1,3-Tableau1[[#This Row],[Nb possédé (digital)]])</f>
        <v>3</v>
      </c>
      <c r="G1042">
        <v>3</v>
      </c>
      <c r="H1042">
        <f>MAX(-1,3-Tableau1[[#This Row],[Possédé (physique)]])</f>
        <v>0</v>
      </c>
      <c r="I1042" t="str">
        <f>IF(Tableau1[[#This Row],[Manque (physique)]]&gt;Tableau1[[#This Row],[Manque (digital)]],"POD",IF(Tableau1[[#This Row],[Manque (digital)]]&gt;Tableau1[[#This Row],[Manque (physique)]],"MarketPlace",""))</f>
        <v>MarketPlace</v>
      </c>
      <c r="J1042" t="s">
        <v>30</v>
      </c>
      <c r="K1042" t="s">
        <v>83</v>
      </c>
      <c r="L1042" t="s">
        <v>19</v>
      </c>
      <c r="M1042" t="s">
        <v>23</v>
      </c>
      <c r="N1042" t="s">
        <v>89</v>
      </c>
      <c r="O1042" t="s">
        <v>52</v>
      </c>
      <c r="P1042" t="s">
        <v>52</v>
      </c>
      <c r="Q1042" t="s">
        <v>1641</v>
      </c>
    </row>
    <row r="1043" spans="1:17" hidden="1" x14ac:dyDescent="0.25">
      <c r="A1043" t="s">
        <v>1578</v>
      </c>
      <c r="B1043" t="s">
        <v>22</v>
      </c>
      <c r="C1043" t="s">
        <v>70</v>
      </c>
      <c r="D1043" t="s">
        <v>1496</v>
      </c>
      <c r="E1043">
        <v>3</v>
      </c>
      <c r="F1043">
        <f>MAX(-1,3-Tableau1[[#This Row],[Nb possédé (digital)]])</f>
        <v>0</v>
      </c>
      <c r="G1043">
        <v>3</v>
      </c>
      <c r="H1043">
        <f>MAX(-1,3-Tableau1[[#This Row],[Possédé (physique)]])</f>
        <v>0</v>
      </c>
      <c r="I1043" t="str">
        <f>IF(Tableau1[[#This Row],[Manque (physique)]]&gt;Tableau1[[#This Row],[Manque (digital)]],"POD",IF(Tableau1[[#This Row],[Manque (digital)]]&gt;Tableau1[[#This Row],[Manque (physique)]],"MarketPlace",""))</f>
        <v/>
      </c>
      <c r="J1043" t="s">
        <v>30</v>
      </c>
      <c r="K1043" t="s">
        <v>68</v>
      </c>
      <c r="L1043" t="s">
        <v>19</v>
      </c>
      <c r="M1043" t="s">
        <v>23</v>
      </c>
      <c r="N1043" t="s">
        <v>89</v>
      </c>
      <c r="O1043" t="s">
        <v>89</v>
      </c>
      <c r="P1043" t="s">
        <v>23</v>
      </c>
      <c r="Q1043" t="s">
        <v>1777</v>
      </c>
    </row>
    <row r="1044" spans="1:17" hidden="1" x14ac:dyDescent="0.25">
      <c r="A1044" t="s">
        <v>1506</v>
      </c>
      <c r="B1044" t="s">
        <v>22</v>
      </c>
      <c r="C1044" t="s">
        <v>70</v>
      </c>
      <c r="D1044" t="s">
        <v>1496</v>
      </c>
      <c r="E1044">
        <v>1</v>
      </c>
      <c r="F1044">
        <f>MAX(-1,3-Tableau1[[#This Row],[Nb possédé (digital)]])</f>
        <v>2</v>
      </c>
      <c r="G1044">
        <v>3</v>
      </c>
      <c r="H1044">
        <f>MAX(-1,3-Tableau1[[#This Row],[Possédé (physique)]])</f>
        <v>0</v>
      </c>
      <c r="I1044" t="str">
        <f>IF(Tableau1[[#This Row],[Manque (physique)]]&gt;Tableau1[[#This Row],[Manque (digital)]],"POD",IF(Tableau1[[#This Row],[Manque (digital)]]&gt;Tableau1[[#This Row],[Manque (physique)]],"MarketPlace",""))</f>
        <v>MarketPlace</v>
      </c>
      <c r="J1044" t="s">
        <v>30</v>
      </c>
      <c r="K1044" t="s">
        <v>79</v>
      </c>
      <c r="L1044" t="s">
        <v>23</v>
      </c>
      <c r="M1044" t="s">
        <v>19</v>
      </c>
      <c r="N1044" t="s">
        <v>23</v>
      </c>
      <c r="O1044" t="s">
        <v>19</v>
      </c>
      <c r="P1044" t="s">
        <v>23</v>
      </c>
      <c r="Q1044" t="s">
        <v>1622</v>
      </c>
    </row>
    <row r="1045" spans="1:17" hidden="1" x14ac:dyDescent="0.25">
      <c r="A1045" t="s">
        <v>1570</v>
      </c>
      <c r="B1045" t="s">
        <v>22</v>
      </c>
      <c r="C1045" t="s">
        <v>70</v>
      </c>
      <c r="D1045" t="s">
        <v>1496</v>
      </c>
      <c r="E1045">
        <v>2</v>
      </c>
      <c r="F1045">
        <f>MAX(-1,3-Tableau1[[#This Row],[Nb possédé (digital)]])</f>
        <v>1</v>
      </c>
      <c r="G1045">
        <v>3</v>
      </c>
      <c r="H1045">
        <f>MAX(-1,3-Tableau1[[#This Row],[Possédé (physique)]])</f>
        <v>0</v>
      </c>
      <c r="I1045" t="str">
        <f>IF(Tableau1[[#This Row],[Manque (physique)]]&gt;Tableau1[[#This Row],[Manque (digital)]],"POD",IF(Tableau1[[#This Row],[Manque (digital)]]&gt;Tableau1[[#This Row],[Manque (physique)]],"MarketPlace",""))</f>
        <v>MarketPlace</v>
      </c>
      <c r="J1045" t="s">
        <v>17</v>
      </c>
      <c r="K1045" t="s">
        <v>1756</v>
      </c>
      <c r="L1045" t="s">
        <v>23</v>
      </c>
      <c r="M1045" t="s">
        <v>19</v>
      </c>
      <c r="Q1045" t="s">
        <v>1758</v>
      </c>
    </row>
    <row r="1046" spans="1:17" hidden="1" x14ac:dyDescent="0.25">
      <c r="A1046" t="s">
        <v>1579</v>
      </c>
      <c r="B1046" t="s">
        <v>22</v>
      </c>
      <c r="C1046" t="s">
        <v>70</v>
      </c>
      <c r="D1046" t="s">
        <v>1496</v>
      </c>
      <c r="E1046">
        <v>0</v>
      </c>
      <c r="F1046">
        <f>MAX(-1,3-Tableau1[[#This Row],[Nb possédé (digital)]])</f>
        <v>3</v>
      </c>
      <c r="G1046">
        <v>3</v>
      </c>
      <c r="H1046">
        <f>MAX(-1,3-Tableau1[[#This Row],[Possédé (physique)]])</f>
        <v>0</v>
      </c>
      <c r="I1046" t="str">
        <f>IF(Tableau1[[#This Row],[Manque (physique)]]&gt;Tableau1[[#This Row],[Manque (digital)]],"POD",IF(Tableau1[[#This Row],[Manque (digital)]]&gt;Tableau1[[#This Row],[Manque (physique)]],"MarketPlace",""))</f>
        <v>MarketPlace</v>
      </c>
      <c r="J1046" t="s">
        <v>30</v>
      </c>
      <c r="K1046" t="s">
        <v>83</v>
      </c>
      <c r="L1046" t="s">
        <v>23</v>
      </c>
      <c r="M1046" t="s">
        <v>19</v>
      </c>
      <c r="N1046" t="s">
        <v>89</v>
      </c>
      <c r="O1046" t="s">
        <v>23</v>
      </c>
      <c r="P1046" t="s">
        <v>89</v>
      </c>
      <c r="Q1046" t="s">
        <v>1780</v>
      </c>
    </row>
    <row r="1047" spans="1:17" hidden="1" x14ac:dyDescent="0.25">
      <c r="A1047" t="s">
        <v>1512</v>
      </c>
      <c r="B1047" t="s">
        <v>22</v>
      </c>
      <c r="C1047" t="s">
        <v>70</v>
      </c>
      <c r="D1047" t="s">
        <v>1496</v>
      </c>
      <c r="E1047">
        <v>0</v>
      </c>
      <c r="F1047">
        <f>MAX(-1,3-Tableau1[[#This Row],[Nb possédé (digital)]])</f>
        <v>3</v>
      </c>
      <c r="G1047">
        <v>3</v>
      </c>
      <c r="H1047">
        <f>MAX(-1,3-Tableau1[[#This Row],[Possédé (physique)]])</f>
        <v>0</v>
      </c>
      <c r="I1047" t="str">
        <f>IF(Tableau1[[#This Row],[Manque (physique)]]&gt;Tableau1[[#This Row],[Manque (digital)]],"POD",IF(Tableau1[[#This Row],[Manque (digital)]]&gt;Tableau1[[#This Row],[Manque (physique)]],"MarketPlace",""))</f>
        <v>MarketPlace</v>
      </c>
      <c r="J1047" t="s">
        <v>30</v>
      </c>
      <c r="K1047" t="s">
        <v>79</v>
      </c>
      <c r="L1047" t="s">
        <v>23</v>
      </c>
      <c r="M1047" t="s">
        <v>23</v>
      </c>
      <c r="N1047" t="s">
        <v>52</v>
      </c>
      <c r="O1047" t="s">
        <v>23</v>
      </c>
      <c r="P1047" t="s">
        <v>52</v>
      </c>
      <c r="Q1047" t="s">
        <v>1635</v>
      </c>
    </row>
    <row r="1048" spans="1:17" hidden="1" x14ac:dyDescent="0.25">
      <c r="A1048" t="s">
        <v>1514</v>
      </c>
      <c r="B1048" t="s">
        <v>22</v>
      </c>
      <c r="C1048" t="s">
        <v>70</v>
      </c>
      <c r="D1048" t="s">
        <v>1496</v>
      </c>
      <c r="E1048">
        <v>3</v>
      </c>
      <c r="F1048">
        <f>MAX(-1,3-Tableau1[[#This Row],[Nb possédé (digital)]])</f>
        <v>0</v>
      </c>
      <c r="G1048">
        <v>3</v>
      </c>
      <c r="H1048">
        <f>MAX(-1,3-Tableau1[[#This Row],[Possédé (physique)]])</f>
        <v>0</v>
      </c>
      <c r="I1048" t="str">
        <f>IF(Tableau1[[#This Row],[Manque (physique)]]&gt;Tableau1[[#This Row],[Manque (digital)]],"POD",IF(Tableau1[[#This Row],[Manque (digital)]]&gt;Tableau1[[#This Row],[Manque (physique)]],"MarketPlace",""))</f>
        <v/>
      </c>
      <c r="J1048" t="s">
        <v>30</v>
      </c>
      <c r="K1048" t="s">
        <v>83</v>
      </c>
      <c r="L1048" t="s">
        <v>23</v>
      </c>
      <c r="M1048" t="s">
        <v>23</v>
      </c>
      <c r="N1048" t="s">
        <v>52</v>
      </c>
      <c r="O1048" t="s">
        <v>52</v>
      </c>
      <c r="P1048" t="s">
        <v>89</v>
      </c>
      <c r="Q1048" t="s">
        <v>1638</v>
      </c>
    </row>
    <row r="1049" spans="1:17" hidden="1" x14ac:dyDescent="0.25">
      <c r="A1049" t="s">
        <v>1522</v>
      </c>
      <c r="B1049" t="s">
        <v>22</v>
      </c>
      <c r="C1049" t="s">
        <v>70</v>
      </c>
      <c r="D1049" t="s">
        <v>1496</v>
      </c>
      <c r="E1049">
        <v>2</v>
      </c>
      <c r="F1049">
        <f>MAX(-1,3-Tableau1[[#This Row],[Nb possédé (digital)]])</f>
        <v>1</v>
      </c>
      <c r="G1049">
        <v>3</v>
      </c>
      <c r="H1049">
        <f>MAX(-1,3-Tableau1[[#This Row],[Possédé (physique)]])</f>
        <v>0</v>
      </c>
      <c r="I1049" t="str">
        <f>IF(Tableau1[[#This Row],[Manque (physique)]]&gt;Tableau1[[#This Row],[Manque (digital)]],"POD",IF(Tableau1[[#This Row],[Manque (digital)]]&gt;Tableau1[[#This Row],[Manque (physique)]],"MarketPlace",""))</f>
        <v>MarketPlace</v>
      </c>
      <c r="J1049" t="s">
        <v>30</v>
      </c>
      <c r="K1049" t="s">
        <v>358</v>
      </c>
      <c r="L1049" t="s">
        <v>23</v>
      </c>
      <c r="M1049" t="s">
        <v>23</v>
      </c>
      <c r="N1049" t="s">
        <v>23</v>
      </c>
      <c r="O1049" t="s">
        <v>23</v>
      </c>
      <c r="P1049" t="s">
        <v>89</v>
      </c>
      <c r="Q1049" t="s">
        <v>1655</v>
      </c>
    </row>
    <row r="1050" spans="1:17" hidden="1" x14ac:dyDescent="0.25">
      <c r="A1050" t="s">
        <v>1555</v>
      </c>
      <c r="B1050" t="s">
        <v>22</v>
      </c>
      <c r="C1050" t="s">
        <v>70</v>
      </c>
      <c r="D1050" t="s">
        <v>1496</v>
      </c>
      <c r="E1050">
        <v>0</v>
      </c>
      <c r="F1050">
        <f>MAX(-1,3-Tableau1[[#This Row],[Nb possédé (digital)]])</f>
        <v>3</v>
      </c>
      <c r="G1050">
        <v>3</v>
      </c>
      <c r="H1050">
        <f>MAX(-1,3-Tableau1[[#This Row],[Possédé (physique)]])</f>
        <v>0</v>
      </c>
      <c r="I1050" t="str">
        <f>IF(Tableau1[[#This Row],[Manque (physique)]]&gt;Tableau1[[#This Row],[Manque (digital)]],"POD",IF(Tableau1[[#This Row],[Manque (digital)]]&gt;Tableau1[[#This Row],[Manque (physique)]],"MarketPlace",""))</f>
        <v>MarketPlace</v>
      </c>
      <c r="J1050" t="s">
        <v>30</v>
      </c>
      <c r="K1050" t="s">
        <v>1724</v>
      </c>
      <c r="L1050" t="s">
        <v>23</v>
      </c>
      <c r="M1050" t="s">
        <v>23</v>
      </c>
      <c r="N1050" t="s">
        <v>23</v>
      </c>
      <c r="O1050" t="s">
        <v>23</v>
      </c>
      <c r="P1050" t="s">
        <v>23</v>
      </c>
      <c r="Q1050" t="s">
        <v>1726</v>
      </c>
    </row>
    <row r="1051" spans="1:17" hidden="1" x14ac:dyDescent="0.25">
      <c r="A1051" t="s">
        <v>1568</v>
      </c>
      <c r="B1051" t="s">
        <v>22</v>
      </c>
      <c r="C1051" t="s">
        <v>70</v>
      </c>
      <c r="D1051" t="s">
        <v>1496</v>
      </c>
      <c r="E1051">
        <v>1</v>
      </c>
      <c r="F1051">
        <f>MAX(-1,3-Tableau1[[#This Row],[Nb possédé (digital)]])</f>
        <v>2</v>
      </c>
      <c r="G1051">
        <v>3</v>
      </c>
      <c r="H1051">
        <f>MAX(-1,3-Tableau1[[#This Row],[Possédé (physique)]])</f>
        <v>0</v>
      </c>
      <c r="I1051" t="str">
        <f>IF(Tableau1[[#This Row],[Manque (physique)]]&gt;Tableau1[[#This Row],[Manque (digital)]],"POD",IF(Tableau1[[#This Row],[Manque (digital)]]&gt;Tableau1[[#This Row],[Manque (physique)]],"MarketPlace",""))</f>
        <v>MarketPlace</v>
      </c>
      <c r="J1051" t="s">
        <v>17</v>
      </c>
      <c r="K1051" t="s">
        <v>824</v>
      </c>
      <c r="L1051" t="s">
        <v>23</v>
      </c>
      <c r="M1051" t="s">
        <v>23</v>
      </c>
      <c r="Q1051" t="s">
        <v>1753</v>
      </c>
    </row>
    <row r="1052" spans="1:17" hidden="1" x14ac:dyDescent="0.25">
      <c r="A1052" t="s">
        <v>1592</v>
      </c>
      <c r="B1052" t="s">
        <v>22</v>
      </c>
      <c r="C1052" t="s">
        <v>70</v>
      </c>
      <c r="D1052" t="s">
        <v>1496</v>
      </c>
      <c r="E1052">
        <v>2</v>
      </c>
      <c r="F1052">
        <f>MAX(-1,3-Tableau1[[#This Row],[Nb possédé (digital)]])</f>
        <v>1</v>
      </c>
      <c r="G1052">
        <v>3</v>
      </c>
      <c r="H1052">
        <f>MAX(-1,3-Tableau1[[#This Row],[Possédé (physique)]])</f>
        <v>0</v>
      </c>
      <c r="I1052" t="str">
        <f>IF(Tableau1[[#This Row],[Manque (physique)]]&gt;Tableau1[[#This Row],[Manque (digital)]],"POD",IF(Tableau1[[#This Row],[Manque (digital)]]&gt;Tableau1[[#This Row],[Manque (physique)]],"MarketPlace",""))</f>
        <v>MarketPlace</v>
      </c>
      <c r="J1052" t="s">
        <v>30</v>
      </c>
      <c r="K1052" t="s">
        <v>68</v>
      </c>
      <c r="L1052" t="s">
        <v>23</v>
      </c>
      <c r="M1052" t="s">
        <v>23</v>
      </c>
      <c r="N1052" t="s">
        <v>52</v>
      </c>
      <c r="O1052" t="s">
        <v>89</v>
      </c>
      <c r="P1052" t="s">
        <v>52</v>
      </c>
      <c r="Q1052" t="s">
        <v>1811</v>
      </c>
    </row>
    <row r="1053" spans="1:17" hidden="1" x14ac:dyDescent="0.25">
      <c r="A1053" t="s">
        <v>1527</v>
      </c>
      <c r="B1053" t="s">
        <v>22</v>
      </c>
      <c r="C1053" t="s">
        <v>70</v>
      </c>
      <c r="D1053" t="s">
        <v>1496</v>
      </c>
      <c r="E1053">
        <v>1</v>
      </c>
      <c r="F1053">
        <f>MAX(-1,3-Tableau1[[#This Row],[Nb possédé (digital)]])</f>
        <v>2</v>
      </c>
      <c r="G1053">
        <v>3</v>
      </c>
      <c r="H1053">
        <f>MAX(-1,3-Tableau1[[#This Row],[Possédé (physique)]])</f>
        <v>0</v>
      </c>
      <c r="I1053" t="str">
        <f>IF(Tableau1[[#This Row],[Manque (physique)]]&gt;Tableau1[[#This Row],[Manque (digital)]],"POD",IF(Tableau1[[#This Row],[Manque (digital)]]&gt;Tableau1[[#This Row],[Manque (physique)]],"MarketPlace",""))</f>
        <v>MarketPlace</v>
      </c>
      <c r="J1053" t="s">
        <v>30</v>
      </c>
      <c r="K1053" t="s">
        <v>1623</v>
      </c>
      <c r="L1053" t="s">
        <v>52</v>
      </c>
      <c r="M1053" t="s">
        <v>23</v>
      </c>
      <c r="N1053" t="s">
        <v>52</v>
      </c>
      <c r="O1053" t="s">
        <v>19</v>
      </c>
      <c r="P1053" t="s">
        <v>52</v>
      </c>
      <c r="Q1053" t="s">
        <v>1666</v>
      </c>
    </row>
    <row r="1054" spans="1:17" hidden="1" x14ac:dyDescent="0.25">
      <c r="A1054" t="s">
        <v>1537</v>
      </c>
      <c r="B1054" t="s">
        <v>22</v>
      </c>
      <c r="C1054" t="s">
        <v>70</v>
      </c>
      <c r="D1054" t="s">
        <v>1496</v>
      </c>
      <c r="E1054">
        <v>2</v>
      </c>
      <c r="F1054">
        <f>MAX(-1,3-Tableau1[[#This Row],[Nb possédé (digital)]])</f>
        <v>1</v>
      </c>
      <c r="G1054">
        <v>3</v>
      </c>
      <c r="H1054">
        <f>MAX(-1,3-Tableau1[[#This Row],[Possédé (physique)]])</f>
        <v>0</v>
      </c>
      <c r="I1054" t="str">
        <f>IF(Tableau1[[#This Row],[Manque (physique)]]&gt;Tableau1[[#This Row],[Manque (digital)]],"POD",IF(Tableau1[[#This Row],[Manque (digital)]]&gt;Tableau1[[#This Row],[Manque (physique)]],"MarketPlace",""))</f>
        <v>MarketPlace</v>
      </c>
      <c r="J1054" t="s">
        <v>268</v>
      </c>
      <c r="K1054" t="s">
        <v>269</v>
      </c>
      <c r="L1054" t="s">
        <v>52</v>
      </c>
      <c r="M1054" t="s">
        <v>52</v>
      </c>
      <c r="Q1054" t="s">
        <v>1686</v>
      </c>
    </row>
    <row r="1055" spans="1:17" hidden="1" x14ac:dyDescent="0.25">
      <c r="A1055" t="s">
        <v>1574</v>
      </c>
      <c r="B1055" t="s">
        <v>22</v>
      </c>
      <c r="C1055" t="s">
        <v>70</v>
      </c>
      <c r="D1055" t="s">
        <v>1496</v>
      </c>
      <c r="E1055">
        <v>2</v>
      </c>
      <c r="F1055">
        <f>MAX(-1,3-Tableau1[[#This Row],[Nb possédé (digital)]])</f>
        <v>1</v>
      </c>
      <c r="G1055">
        <v>3</v>
      </c>
      <c r="H1055">
        <f>MAX(-1,3-Tableau1[[#This Row],[Possédé (physique)]])</f>
        <v>0</v>
      </c>
      <c r="I1055" t="str">
        <f>IF(Tableau1[[#This Row],[Manque (physique)]]&gt;Tableau1[[#This Row],[Manque (digital)]],"POD",IF(Tableau1[[#This Row],[Manque (digital)]]&gt;Tableau1[[#This Row],[Manque (physique)]],"MarketPlace",""))</f>
        <v>MarketPlace</v>
      </c>
      <c r="J1055" t="s">
        <v>17</v>
      </c>
      <c r="K1055" t="s">
        <v>153</v>
      </c>
      <c r="L1055" t="s">
        <v>52</v>
      </c>
      <c r="M1055" t="s">
        <v>52</v>
      </c>
      <c r="Q1055" t="s">
        <v>1767</v>
      </c>
    </row>
    <row r="1056" spans="1:17" hidden="1" x14ac:dyDescent="0.25">
      <c r="A1056" t="s">
        <v>1576</v>
      </c>
      <c r="B1056" t="s">
        <v>22</v>
      </c>
      <c r="C1056" t="s">
        <v>70</v>
      </c>
      <c r="D1056" t="s">
        <v>1496</v>
      </c>
      <c r="E1056">
        <v>0</v>
      </c>
      <c r="F1056">
        <f>MAX(-1,3-Tableau1[[#This Row],[Nb possédé (digital)]])</f>
        <v>3</v>
      </c>
      <c r="G1056">
        <v>3</v>
      </c>
      <c r="H1056">
        <f>MAX(-1,3-Tableau1[[#This Row],[Possédé (physique)]])</f>
        <v>0</v>
      </c>
      <c r="I1056" t="str">
        <f>IF(Tableau1[[#This Row],[Manque (physique)]]&gt;Tableau1[[#This Row],[Manque (digital)]],"POD",IF(Tableau1[[#This Row],[Manque (digital)]]&gt;Tableau1[[#This Row],[Manque (physique)]],"MarketPlace",""))</f>
        <v>MarketPlace</v>
      </c>
      <c r="J1056" t="s">
        <v>30</v>
      </c>
      <c r="K1056" t="s">
        <v>68</v>
      </c>
      <c r="L1056" t="s">
        <v>52</v>
      </c>
      <c r="M1056" t="s">
        <v>52</v>
      </c>
      <c r="N1056" t="s">
        <v>23</v>
      </c>
      <c r="O1056" t="s">
        <v>23</v>
      </c>
      <c r="P1056" t="s">
        <v>52</v>
      </c>
      <c r="Q1056" t="s">
        <v>1772</v>
      </c>
    </row>
    <row r="1057" spans="1:17" hidden="1" x14ac:dyDescent="0.25">
      <c r="A1057" t="s">
        <v>1587</v>
      </c>
      <c r="B1057" t="s">
        <v>22</v>
      </c>
      <c r="C1057" t="s">
        <v>70</v>
      </c>
      <c r="D1057" t="s">
        <v>1496</v>
      </c>
      <c r="E1057">
        <v>0</v>
      </c>
      <c r="F1057">
        <f>MAX(-1,3-Tableau1[[#This Row],[Nb possédé (digital)]])</f>
        <v>3</v>
      </c>
      <c r="G1057">
        <v>3</v>
      </c>
      <c r="H1057">
        <f>MAX(-1,3-Tableau1[[#This Row],[Possédé (physique)]])</f>
        <v>0</v>
      </c>
      <c r="I1057" t="str">
        <f>IF(Tableau1[[#This Row],[Manque (physique)]]&gt;Tableau1[[#This Row],[Manque (digital)]],"POD",IF(Tableau1[[#This Row],[Manque (digital)]]&gt;Tableau1[[#This Row],[Manque (physique)]],"MarketPlace",""))</f>
        <v>MarketPlace</v>
      </c>
      <c r="J1057" t="s">
        <v>17</v>
      </c>
      <c r="K1057" t="s">
        <v>824</v>
      </c>
      <c r="L1057" t="s">
        <v>52</v>
      </c>
      <c r="M1057" t="s">
        <v>380</v>
      </c>
      <c r="Q1057" t="s">
        <v>1800</v>
      </c>
    </row>
    <row r="1058" spans="1:17" hidden="1" x14ac:dyDescent="0.25">
      <c r="A1058" t="s">
        <v>1511</v>
      </c>
      <c r="B1058" t="s">
        <v>22</v>
      </c>
      <c r="C1058" t="s">
        <v>70</v>
      </c>
      <c r="D1058" t="s">
        <v>1496</v>
      </c>
      <c r="E1058">
        <v>1</v>
      </c>
      <c r="F1058">
        <f>MAX(-1,3-Tableau1[[#This Row],[Nb possédé (digital)]])</f>
        <v>2</v>
      </c>
      <c r="G1058">
        <v>3</v>
      </c>
      <c r="H1058">
        <f>MAX(-1,3-Tableau1[[#This Row],[Possédé (physique)]])</f>
        <v>0</v>
      </c>
      <c r="I1058" t="str">
        <f>IF(Tableau1[[#This Row],[Manque (physique)]]&gt;Tableau1[[#This Row],[Manque (digital)]],"POD",IF(Tableau1[[#This Row],[Manque (digital)]]&gt;Tableau1[[#This Row],[Manque (physique)]],"MarketPlace",""))</f>
        <v>MarketPlace</v>
      </c>
      <c r="J1058" t="s">
        <v>30</v>
      </c>
      <c r="K1058" t="s">
        <v>171</v>
      </c>
      <c r="L1058" t="s">
        <v>39</v>
      </c>
      <c r="M1058" t="s">
        <v>39</v>
      </c>
      <c r="N1058" t="s">
        <v>39</v>
      </c>
      <c r="O1058" t="s">
        <v>39</v>
      </c>
      <c r="P1058" t="s">
        <v>39</v>
      </c>
      <c r="Q1058" t="s">
        <v>1633</v>
      </c>
    </row>
    <row r="1059" spans="1:17" hidden="1" x14ac:dyDescent="0.25">
      <c r="A1059" t="s">
        <v>1509</v>
      </c>
      <c r="B1059" t="s">
        <v>22</v>
      </c>
      <c r="C1059" t="s">
        <v>70</v>
      </c>
      <c r="D1059" t="s">
        <v>1496</v>
      </c>
      <c r="E1059">
        <v>1</v>
      </c>
      <c r="F1059">
        <f>MAX(-1,3-Tableau1[[#This Row],[Nb possédé (digital)]])</f>
        <v>2</v>
      </c>
      <c r="G1059">
        <v>3</v>
      </c>
      <c r="H1059">
        <f>MAX(-1,3-Tableau1[[#This Row],[Possédé (physique)]])</f>
        <v>0</v>
      </c>
      <c r="I1059" t="str">
        <f>IF(Tableau1[[#This Row],[Manque (physique)]]&gt;Tableau1[[#This Row],[Manque (digital)]],"POD",IF(Tableau1[[#This Row],[Manque (digital)]]&gt;Tableau1[[#This Row],[Manque (physique)]],"MarketPlace",""))</f>
        <v>MarketPlace</v>
      </c>
      <c r="J1059" t="s">
        <v>17</v>
      </c>
      <c r="K1059" t="s">
        <v>824</v>
      </c>
      <c r="L1059" t="s">
        <v>380</v>
      </c>
      <c r="M1059" t="s">
        <v>380</v>
      </c>
      <c r="Q1059" t="s">
        <v>1629</v>
      </c>
    </row>
    <row r="1060" spans="1:17" hidden="1" x14ac:dyDescent="0.25">
      <c r="A1060" t="s">
        <v>1822</v>
      </c>
      <c r="B1060" t="s">
        <v>1819</v>
      </c>
      <c r="C1060" t="s">
        <v>70</v>
      </c>
      <c r="D1060" t="s">
        <v>1496</v>
      </c>
      <c r="E1060">
        <v>2</v>
      </c>
      <c r="F1060">
        <f>MAX(-1,3-Tableau1[[#This Row],[Nb possédé (digital)]])</f>
        <v>1</v>
      </c>
      <c r="G1060">
        <v>2</v>
      </c>
      <c r="H1060">
        <f>MAX(-1,3-Tableau1[[#This Row],[Possédé (physique)]])</f>
        <v>1</v>
      </c>
      <c r="I1060" t="str">
        <f>IF(Tableau1[[#This Row],[Manque (physique)]]&gt;Tableau1[[#This Row],[Manque (digital)]],"POD",IF(Tableau1[[#This Row],[Manque (digital)]]&gt;Tableau1[[#This Row],[Manque (physique)]],"MarketPlace",""))</f>
        <v/>
      </c>
      <c r="J1060" t="s">
        <v>30</v>
      </c>
      <c r="K1060" t="s">
        <v>1823</v>
      </c>
      <c r="L1060">
        <v>7</v>
      </c>
      <c r="M1060">
        <v>4</v>
      </c>
      <c r="N1060">
        <v>6</v>
      </c>
      <c r="O1060">
        <v>3</v>
      </c>
      <c r="P1060">
        <v>6</v>
      </c>
      <c r="Q1060" t="s">
        <v>1824</v>
      </c>
    </row>
    <row r="1061" spans="1:17" hidden="1" x14ac:dyDescent="0.25">
      <c r="A1061" t="s">
        <v>1569</v>
      </c>
      <c r="B1061" t="s">
        <v>22</v>
      </c>
      <c r="C1061" t="s">
        <v>70</v>
      </c>
      <c r="D1061" t="s">
        <v>1496</v>
      </c>
      <c r="E1061">
        <v>1</v>
      </c>
      <c r="F1061">
        <f>MAX(-1,3-Tableau1[[#This Row],[Nb possédé (digital)]])</f>
        <v>2</v>
      </c>
      <c r="G1061">
        <v>3</v>
      </c>
      <c r="H1061">
        <f>MAX(-1,3-Tableau1[[#This Row],[Possédé (physique)]])</f>
        <v>0</v>
      </c>
      <c r="I1061" t="str">
        <f>IF(Tableau1[[#This Row],[Manque (physique)]]&gt;Tableau1[[#This Row],[Manque (digital)]],"POD",IF(Tableau1[[#This Row],[Manque (digital)]]&gt;Tableau1[[#This Row],[Manque (physique)]],"MarketPlace",""))</f>
        <v>MarketPlace</v>
      </c>
      <c r="J1061" t="s">
        <v>17</v>
      </c>
      <c r="K1061" t="s">
        <v>201</v>
      </c>
      <c r="L1061" t="s">
        <v>380</v>
      </c>
      <c r="M1061" t="s">
        <v>380</v>
      </c>
      <c r="Q1061" t="s">
        <v>1755</v>
      </c>
    </row>
    <row r="1062" spans="1:17" hidden="1" x14ac:dyDescent="0.25">
      <c r="A1062" t="s">
        <v>517</v>
      </c>
      <c r="B1062" t="s">
        <v>22</v>
      </c>
      <c r="C1062" t="s">
        <v>70</v>
      </c>
      <c r="D1062" t="s">
        <v>29</v>
      </c>
      <c r="E1062">
        <v>1</v>
      </c>
      <c r="F1062">
        <f>MAX(-1,3-Tableau1[[#This Row],[Nb possédé (digital)]])</f>
        <v>2</v>
      </c>
      <c r="G1062">
        <v>3</v>
      </c>
      <c r="H1062">
        <f>MAX(-1,3-Tableau1[[#This Row],[Possédé (physique)]])</f>
        <v>0</v>
      </c>
      <c r="I1062" t="str">
        <f>IF(Tableau1[[#This Row],[Manque (physique)]]&gt;Tableau1[[#This Row],[Manque (digital)]],"POD",IF(Tableau1[[#This Row],[Manque (digital)]]&gt;Tableau1[[#This Row],[Manque (physique)]],"MarketPlace",""))</f>
        <v>MarketPlace</v>
      </c>
      <c r="J1062" t="s">
        <v>30</v>
      </c>
      <c r="K1062" t="s">
        <v>79</v>
      </c>
      <c r="L1062" t="s">
        <v>20</v>
      </c>
      <c r="M1062" t="s">
        <v>19</v>
      </c>
      <c r="N1062" t="s">
        <v>20</v>
      </c>
      <c r="O1062" t="s">
        <v>20</v>
      </c>
      <c r="P1062" t="s">
        <v>89</v>
      </c>
      <c r="Q1062" t="s">
        <v>518</v>
      </c>
    </row>
    <row r="1063" spans="1:17" hidden="1" x14ac:dyDescent="0.25">
      <c r="A1063" t="s">
        <v>441</v>
      </c>
      <c r="B1063" t="s">
        <v>22</v>
      </c>
      <c r="C1063" t="s">
        <v>70</v>
      </c>
      <c r="D1063" t="s">
        <v>29</v>
      </c>
      <c r="E1063">
        <v>1</v>
      </c>
      <c r="F1063">
        <f>MAX(-1,3-Tableau1[[#This Row],[Nb possédé (digital)]])</f>
        <v>2</v>
      </c>
      <c r="G1063">
        <v>3</v>
      </c>
      <c r="H1063">
        <f>MAX(-1,3-Tableau1[[#This Row],[Possédé (physique)]])</f>
        <v>0</v>
      </c>
      <c r="I1063" t="str">
        <f>IF(Tableau1[[#This Row],[Manque (physique)]]&gt;Tableau1[[#This Row],[Manque (digital)]],"POD",IF(Tableau1[[#This Row],[Manque (digital)]]&gt;Tableau1[[#This Row],[Manque (physique)]],"MarketPlace",""))</f>
        <v>MarketPlace</v>
      </c>
      <c r="J1063" t="s">
        <v>30</v>
      </c>
      <c r="K1063" t="s">
        <v>171</v>
      </c>
      <c r="L1063" t="s">
        <v>19</v>
      </c>
      <c r="M1063" t="s">
        <v>20</v>
      </c>
      <c r="N1063" t="s">
        <v>20</v>
      </c>
      <c r="O1063" t="s">
        <v>20</v>
      </c>
      <c r="P1063" t="s">
        <v>89</v>
      </c>
      <c r="Q1063" t="s">
        <v>443</v>
      </c>
    </row>
    <row r="1064" spans="1:17" hidden="1" x14ac:dyDescent="0.25">
      <c r="A1064" t="s">
        <v>883</v>
      </c>
      <c r="B1064" t="s">
        <v>22</v>
      </c>
      <c r="C1064" t="s">
        <v>70</v>
      </c>
      <c r="D1064" t="s">
        <v>29</v>
      </c>
      <c r="E1064">
        <v>2</v>
      </c>
      <c r="F1064">
        <f>MAX(-1,3-Tableau1[[#This Row],[Nb possédé (digital)]])</f>
        <v>1</v>
      </c>
      <c r="G1064">
        <v>3</v>
      </c>
      <c r="H1064">
        <f>MAX(-1,3-Tableau1[[#This Row],[Possédé (physique)]])</f>
        <v>0</v>
      </c>
      <c r="I1064" t="str">
        <f>IF(Tableau1[[#This Row],[Manque (physique)]]&gt;Tableau1[[#This Row],[Manque (digital)]],"POD",IF(Tableau1[[#This Row],[Manque (digital)]]&gt;Tableau1[[#This Row],[Manque (physique)]],"MarketPlace",""))</f>
        <v>MarketPlace</v>
      </c>
      <c r="J1064" t="s">
        <v>17</v>
      </c>
      <c r="K1064" t="s">
        <v>97</v>
      </c>
      <c r="L1064" t="s">
        <v>19</v>
      </c>
      <c r="M1064" t="s">
        <v>20</v>
      </c>
      <c r="Q1064" t="s">
        <v>885</v>
      </c>
    </row>
    <row r="1065" spans="1:17" hidden="1" x14ac:dyDescent="0.25">
      <c r="A1065" t="s">
        <v>188</v>
      </c>
      <c r="B1065" t="s">
        <v>22</v>
      </c>
      <c r="C1065" t="s">
        <v>70</v>
      </c>
      <c r="D1065" t="s">
        <v>29</v>
      </c>
      <c r="E1065">
        <v>2</v>
      </c>
      <c r="F1065">
        <f>MAX(-1,3-Tableau1[[#This Row],[Nb possédé (digital)]])</f>
        <v>1</v>
      </c>
      <c r="G1065">
        <v>3</v>
      </c>
      <c r="H1065">
        <f>MAX(-1,3-Tableau1[[#This Row],[Possédé (physique)]])</f>
        <v>0</v>
      </c>
      <c r="I1065" t="str">
        <f>IF(Tableau1[[#This Row],[Manque (physique)]]&gt;Tableau1[[#This Row],[Manque (digital)]],"POD",IF(Tableau1[[#This Row],[Manque (digital)]]&gt;Tableau1[[#This Row],[Manque (physique)]],"MarketPlace",""))</f>
        <v>MarketPlace</v>
      </c>
      <c r="J1065" t="s">
        <v>17</v>
      </c>
      <c r="K1065" t="s">
        <v>189</v>
      </c>
      <c r="L1065" t="s">
        <v>19</v>
      </c>
      <c r="M1065" t="s">
        <v>19</v>
      </c>
      <c r="Q1065" t="s">
        <v>191</v>
      </c>
    </row>
    <row r="1066" spans="1:17" hidden="1" x14ac:dyDescent="0.25">
      <c r="A1066" t="s">
        <v>361</v>
      </c>
      <c r="B1066" t="s">
        <v>22</v>
      </c>
      <c r="C1066" t="s">
        <v>70</v>
      </c>
      <c r="D1066" t="s">
        <v>29</v>
      </c>
      <c r="E1066">
        <v>1</v>
      </c>
      <c r="F1066">
        <f>MAX(-1,3-Tableau1[[#This Row],[Nb possédé (digital)]])</f>
        <v>2</v>
      </c>
      <c r="G1066">
        <v>3</v>
      </c>
      <c r="H1066">
        <f>MAX(-1,3-Tableau1[[#This Row],[Possédé (physique)]])</f>
        <v>0</v>
      </c>
      <c r="I1066" t="str">
        <f>IF(Tableau1[[#This Row],[Manque (physique)]]&gt;Tableau1[[#This Row],[Manque (digital)]],"POD",IF(Tableau1[[#This Row],[Manque (digital)]]&gt;Tableau1[[#This Row],[Manque (physique)]],"MarketPlace",""))</f>
        <v>MarketPlace</v>
      </c>
      <c r="J1066" t="s">
        <v>17</v>
      </c>
      <c r="K1066" t="s">
        <v>153</v>
      </c>
      <c r="L1066" t="s">
        <v>19</v>
      </c>
      <c r="M1066" t="s">
        <v>19</v>
      </c>
      <c r="Q1066" t="s">
        <v>363</v>
      </c>
    </row>
    <row r="1067" spans="1:17" hidden="1" x14ac:dyDescent="0.25">
      <c r="A1067" t="s">
        <v>364</v>
      </c>
      <c r="B1067" t="s">
        <v>22</v>
      </c>
      <c r="C1067" t="s">
        <v>70</v>
      </c>
      <c r="D1067" t="s">
        <v>29</v>
      </c>
      <c r="E1067">
        <v>2</v>
      </c>
      <c r="F1067">
        <f>MAX(-1,3-Tableau1[[#This Row],[Nb possédé (digital)]])</f>
        <v>1</v>
      </c>
      <c r="G1067">
        <v>3</v>
      </c>
      <c r="H1067">
        <f>MAX(-1,3-Tableau1[[#This Row],[Possédé (physique)]])</f>
        <v>0</v>
      </c>
      <c r="I1067" t="str">
        <f>IF(Tableau1[[#This Row],[Manque (physique)]]&gt;Tableau1[[#This Row],[Manque (digital)]],"POD",IF(Tableau1[[#This Row],[Manque (digital)]]&gt;Tableau1[[#This Row],[Manque (physique)]],"MarketPlace",""))</f>
        <v>MarketPlace</v>
      </c>
      <c r="J1067" t="s">
        <v>17</v>
      </c>
      <c r="K1067" t="s">
        <v>189</v>
      </c>
      <c r="L1067" t="s">
        <v>19</v>
      </c>
      <c r="M1067" t="s">
        <v>19</v>
      </c>
      <c r="Q1067" t="s">
        <v>366</v>
      </c>
    </row>
    <row r="1068" spans="1:17" hidden="1" x14ac:dyDescent="0.25">
      <c r="A1068" t="s">
        <v>468</v>
      </c>
      <c r="B1068" t="s">
        <v>22</v>
      </c>
      <c r="C1068" t="s">
        <v>70</v>
      </c>
      <c r="D1068" t="s">
        <v>29</v>
      </c>
      <c r="E1068">
        <v>1</v>
      </c>
      <c r="F1068">
        <f>MAX(-1,3-Tableau1[[#This Row],[Nb possédé (digital)]])</f>
        <v>2</v>
      </c>
      <c r="G1068">
        <v>3</v>
      </c>
      <c r="H1068">
        <f>MAX(-1,3-Tableau1[[#This Row],[Possédé (physique)]])</f>
        <v>0</v>
      </c>
      <c r="I1068" t="str">
        <f>IF(Tableau1[[#This Row],[Manque (physique)]]&gt;Tableau1[[#This Row],[Manque (digital)]],"POD",IF(Tableau1[[#This Row],[Manque (digital)]]&gt;Tableau1[[#This Row],[Manque (physique)]],"MarketPlace",""))</f>
        <v>MarketPlace</v>
      </c>
      <c r="J1068" t="s">
        <v>30</v>
      </c>
      <c r="K1068" t="s">
        <v>358</v>
      </c>
      <c r="L1068" t="s">
        <v>19</v>
      </c>
      <c r="M1068" t="s">
        <v>19</v>
      </c>
      <c r="N1068" t="s">
        <v>23</v>
      </c>
      <c r="O1068" t="s">
        <v>23</v>
      </c>
      <c r="P1068" t="s">
        <v>89</v>
      </c>
    </row>
    <row r="1069" spans="1:17" hidden="1" x14ac:dyDescent="0.25">
      <c r="A1069" t="s">
        <v>653</v>
      </c>
      <c r="B1069" t="s">
        <v>22</v>
      </c>
      <c r="C1069" t="s">
        <v>70</v>
      </c>
      <c r="D1069" t="s">
        <v>29</v>
      </c>
      <c r="E1069">
        <v>2</v>
      </c>
      <c r="F1069">
        <f>MAX(-1,3-Tableau1[[#This Row],[Nb possédé (digital)]])</f>
        <v>1</v>
      </c>
      <c r="G1069">
        <v>3</v>
      </c>
      <c r="H1069">
        <f>MAX(-1,3-Tableau1[[#This Row],[Possédé (physique)]])</f>
        <v>0</v>
      </c>
      <c r="I1069" t="str">
        <f>IF(Tableau1[[#This Row],[Manque (physique)]]&gt;Tableau1[[#This Row],[Manque (digital)]],"POD",IF(Tableau1[[#This Row],[Manque (digital)]]&gt;Tableau1[[#This Row],[Manque (physique)]],"MarketPlace",""))</f>
        <v>MarketPlace</v>
      </c>
      <c r="J1069" t="s">
        <v>268</v>
      </c>
      <c r="K1069" t="s">
        <v>438</v>
      </c>
      <c r="L1069" t="s">
        <v>19</v>
      </c>
      <c r="M1069" t="s">
        <v>19</v>
      </c>
      <c r="Q1069" t="s">
        <v>654</v>
      </c>
    </row>
    <row r="1070" spans="1:17" hidden="1" x14ac:dyDescent="0.25">
      <c r="A1070" t="s">
        <v>660</v>
      </c>
      <c r="B1070" t="s">
        <v>22</v>
      </c>
      <c r="C1070" t="s">
        <v>70</v>
      </c>
      <c r="D1070" t="s">
        <v>29</v>
      </c>
      <c r="E1070">
        <v>2</v>
      </c>
      <c r="F1070">
        <f>MAX(-1,3-Tableau1[[#This Row],[Nb possédé (digital)]])</f>
        <v>1</v>
      </c>
      <c r="G1070">
        <v>3</v>
      </c>
      <c r="H1070">
        <f>MAX(-1,3-Tableau1[[#This Row],[Possédé (physique)]])</f>
        <v>0</v>
      </c>
      <c r="I1070" t="str">
        <f>IF(Tableau1[[#This Row],[Manque (physique)]]&gt;Tableau1[[#This Row],[Manque (digital)]],"POD",IF(Tableau1[[#This Row],[Manque (digital)]]&gt;Tableau1[[#This Row],[Manque (physique)]],"MarketPlace",""))</f>
        <v>MarketPlace</v>
      </c>
      <c r="J1070" t="s">
        <v>268</v>
      </c>
      <c r="K1070" t="s">
        <v>438</v>
      </c>
      <c r="L1070" t="s">
        <v>19</v>
      </c>
      <c r="M1070" t="s">
        <v>19</v>
      </c>
      <c r="Q1070" t="s">
        <v>662</v>
      </c>
    </row>
    <row r="1071" spans="1:17" hidden="1" x14ac:dyDescent="0.25">
      <c r="A1071" t="s">
        <v>723</v>
      </c>
      <c r="B1071" t="s">
        <v>22</v>
      </c>
      <c r="C1071" t="s">
        <v>70</v>
      </c>
      <c r="D1071" t="s">
        <v>29</v>
      </c>
      <c r="E1071">
        <v>1</v>
      </c>
      <c r="F1071">
        <f>MAX(-1,3-Tableau1[[#This Row],[Nb possédé (digital)]])</f>
        <v>2</v>
      </c>
      <c r="G1071">
        <v>3</v>
      </c>
      <c r="H1071">
        <f>MAX(-1,3-Tableau1[[#This Row],[Possédé (physique)]])</f>
        <v>0</v>
      </c>
      <c r="I1071" t="str">
        <f>IF(Tableau1[[#This Row],[Manque (physique)]]&gt;Tableau1[[#This Row],[Manque (digital)]],"POD",IF(Tableau1[[#This Row],[Manque (digital)]]&gt;Tableau1[[#This Row],[Manque (physique)]],"MarketPlace",""))</f>
        <v>MarketPlace</v>
      </c>
      <c r="J1071" t="s">
        <v>268</v>
      </c>
      <c r="K1071" t="s">
        <v>269</v>
      </c>
      <c r="L1071" t="s">
        <v>19</v>
      </c>
      <c r="M1071" t="s">
        <v>19</v>
      </c>
      <c r="Q1071" t="s">
        <v>724</v>
      </c>
    </row>
    <row r="1072" spans="1:17" hidden="1" x14ac:dyDescent="0.25">
      <c r="A1072" t="s">
        <v>811</v>
      </c>
      <c r="B1072" t="s">
        <v>22</v>
      </c>
      <c r="C1072" t="s">
        <v>70</v>
      </c>
      <c r="D1072" t="s">
        <v>29</v>
      </c>
      <c r="E1072">
        <v>2</v>
      </c>
      <c r="F1072">
        <f>MAX(-1,3-Tableau1[[#This Row],[Nb possédé (digital)]])</f>
        <v>1</v>
      </c>
      <c r="G1072">
        <v>3</v>
      </c>
      <c r="H1072">
        <f>MAX(-1,3-Tableau1[[#This Row],[Possédé (physique)]])</f>
        <v>0</v>
      </c>
      <c r="I1072" t="str">
        <f>IF(Tableau1[[#This Row],[Manque (physique)]]&gt;Tableau1[[#This Row],[Manque (digital)]],"POD",IF(Tableau1[[#This Row],[Manque (digital)]]&gt;Tableau1[[#This Row],[Manque (physique)]],"MarketPlace",""))</f>
        <v>MarketPlace</v>
      </c>
      <c r="J1072" t="s">
        <v>17</v>
      </c>
      <c r="K1072" t="s">
        <v>153</v>
      </c>
      <c r="L1072" t="s">
        <v>19</v>
      </c>
      <c r="M1072" t="s">
        <v>19</v>
      </c>
      <c r="Q1072" t="s">
        <v>813</v>
      </c>
    </row>
    <row r="1073" spans="1:17" hidden="1" x14ac:dyDescent="0.25">
      <c r="A1073" t="s">
        <v>1096</v>
      </c>
      <c r="B1073" t="s">
        <v>22</v>
      </c>
      <c r="C1073" t="s">
        <v>70</v>
      </c>
      <c r="D1073" t="s">
        <v>29</v>
      </c>
      <c r="E1073">
        <v>2</v>
      </c>
      <c r="F1073">
        <f>MAX(-1,3-Tableau1[[#This Row],[Nb possédé (digital)]])</f>
        <v>1</v>
      </c>
      <c r="G1073">
        <v>3</v>
      </c>
      <c r="H1073">
        <f>MAX(-1,3-Tableau1[[#This Row],[Possédé (physique)]])</f>
        <v>0</v>
      </c>
      <c r="I1073" t="str">
        <f>IF(Tableau1[[#This Row],[Manque (physique)]]&gt;Tableau1[[#This Row],[Manque (digital)]],"POD",IF(Tableau1[[#This Row],[Manque (digital)]]&gt;Tableau1[[#This Row],[Manque (physique)]],"MarketPlace",""))</f>
        <v>MarketPlace</v>
      </c>
      <c r="J1073" t="s">
        <v>268</v>
      </c>
      <c r="K1073" t="s">
        <v>438</v>
      </c>
      <c r="L1073" t="s">
        <v>19</v>
      </c>
      <c r="M1073" t="s">
        <v>19</v>
      </c>
      <c r="Q1073" t="s">
        <v>1098</v>
      </c>
    </row>
    <row r="1074" spans="1:17" hidden="1" x14ac:dyDescent="0.25">
      <c r="A1074" t="s">
        <v>170</v>
      </c>
      <c r="B1074" t="s">
        <v>22</v>
      </c>
      <c r="C1074" t="s">
        <v>70</v>
      </c>
      <c r="D1074" t="s">
        <v>29</v>
      </c>
      <c r="E1074">
        <v>2</v>
      </c>
      <c r="F1074">
        <f>MAX(-1,3-Tableau1[[#This Row],[Nb possédé (digital)]])</f>
        <v>1</v>
      </c>
      <c r="G1074">
        <v>3</v>
      </c>
      <c r="H1074">
        <f>MAX(-1,3-Tableau1[[#This Row],[Possédé (physique)]])</f>
        <v>0</v>
      </c>
      <c r="I1074" t="str">
        <f>IF(Tableau1[[#This Row],[Manque (physique)]]&gt;Tableau1[[#This Row],[Manque (digital)]],"POD",IF(Tableau1[[#This Row],[Manque (digital)]]&gt;Tableau1[[#This Row],[Manque (physique)]],"MarketPlace",""))</f>
        <v>MarketPlace</v>
      </c>
      <c r="J1074" t="s">
        <v>30</v>
      </c>
      <c r="K1074" t="s">
        <v>171</v>
      </c>
      <c r="L1074" t="s">
        <v>19</v>
      </c>
      <c r="M1074" t="s">
        <v>23</v>
      </c>
      <c r="N1074" t="s">
        <v>89</v>
      </c>
      <c r="O1074" t="s">
        <v>89</v>
      </c>
      <c r="P1074" t="s">
        <v>23</v>
      </c>
      <c r="Q1074" t="s">
        <v>172</v>
      </c>
    </row>
    <row r="1075" spans="1:17" hidden="1" x14ac:dyDescent="0.25">
      <c r="A1075" t="s">
        <v>260</v>
      </c>
      <c r="B1075" t="s">
        <v>22</v>
      </c>
      <c r="C1075" t="s">
        <v>70</v>
      </c>
      <c r="D1075" t="s">
        <v>29</v>
      </c>
      <c r="E1075">
        <v>1</v>
      </c>
      <c r="F1075">
        <f>MAX(-1,3-Tableau1[[#This Row],[Nb possédé (digital)]])</f>
        <v>2</v>
      </c>
      <c r="G1075">
        <v>2</v>
      </c>
      <c r="H1075">
        <f>MAX(-1,3-Tableau1[[#This Row],[Possédé (physique)]])</f>
        <v>1</v>
      </c>
      <c r="I1075" t="str">
        <f>IF(Tableau1[[#This Row],[Manque (physique)]]&gt;Tableau1[[#This Row],[Manque (digital)]],"POD",IF(Tableau1[[#This Row],[Manque (digital)]]&gt;Tableau1[[#This Row],[Manque (physique)]],"MarketPlace",""))</f>
        <v>MarketPlace</v>
      </c>
      <c r="J1075" t="s">
        <v>30</v>
      </c>
      <c r="K1075" t="s">
        <v>171</v>
      </c>
      <c r="L1075" t="s">
        <v>19</v>
      </c>
      <c r="M1075" t="s">
        <v>23</v>
      </c>
      <c r="N1075" t="s">
        <v>19</v>
      </c>
      <c r="O1075" t="s">
        <v>89</v>
      </c>
      <c r="P1075" t="s">
        <v>19</v>
      </c>
      <c r="Q1075" t="s">
        <v>263</v>
      </c>
    </row>
    <row r="1076" spans="1:17" hidden="1" x14ac:dyDescent="0.25">
      <c r="A1076" t="s">
        <v>289</v>
      </c>
      <c r="B1076" t="s">
        <v>22</v>
      </c>
      <c r="C1076" t="s">
        <v>70</v>
      </c>
      <c r="D1076" t="s">
        <v>29</v>
      </c>
      <c r="E1076">
        <v>1</v>
      </c>
      <c r="F1076">
        <f>MAX(-1,3-Tableau1[[#This Row],[Nb possédé (digital)]])</f>
        <v>2</v>
      </c>
      <c r="G1076">
        <v>3</v>
      </c>
      <c r="H1076">
        <f>MAX(-1,3-Tableau1[[#This Row],[Possédé (physique)]])</f>
        <v>0</v>
      </c>
      <c r="I1076" t="str">
        <f>IF(Tableau1[[#This Row],[Manque (physique)]]&gt;Tableau1[[#This Row],[Manque (digital)]],"POD",IF(Tableau1[[#This Row],[Manque (digital)]]&gt;Tableau1[[#This Row],[Manque (physique)]],"MarketPlace",""))</f>
        <v>MarketPlace</v>
      </c>
      <c r="J1076" t="s">
        <v>30</v>
      </c>
      <c r="K1076" t="s">
        <v>171</v>
      </c>
      <c r="L1076" t="s">
        <v>19</v>
      </c>
      <c r="M1076" t="s">
        <v>23</v>
      </c>
      <c r="N1076" t="s">
        <v>19</v>
      </c>
      <c r="O1076" t="s">
        <v>23</v>
      </c>
      <c r="P1076" t="s">
        <v>89</v>
      </c>
      <c r="Q1076" t="s">
        <v>290</v>
      </c>
    </row>
    <row r="1077" spans="1:17" hidden="1" x14ac:dyDescent="0.25">
      <c r="A1077" t="s">
        <v>353</v>
      </c>
      <c r="B1077" t="s">
        <v>22</v>
      </c>
      <c r="C1077" t="s">
        <v>70</v>
      </c>
      <c r="D1077" t="s">
        <v>29</v>
      </c>
      <c r="E1077">
        <v>0</v>
      </c>
      <c r="F1077">
        <f>MAX(-1,3-Tableau1[[#This Row],[Nb possédé (digital)]])</f>
        <v>3</v>
      </c>
      <c r="G1077">
        <v>3</v>
      </c>
      <c r="H1077">
        <f>MAX(-1,3-Tableau1[[#This Row],[Possédé (physique)]])</f>
        <v>0</v>
      </c>
      <c r="I1077" t="str">
        <f>IF(Tableau1[[#This Row],[Manque (physique)]]&gt;Tableau1[[#This Row],[Manque (digital)]],"POD",IF(Tableau1[[#This Row],[Manque (digital)]]&gt;Tableau1[[#This Row],[Manque (physique)]],"MarketPlace",""))</f>
        <v>MarketPlace</v>
      </c>
      <c r="J1077" t="s">
        <v>30</v>
      </c>
      <c r="K1077" t="s">
        <v>292</v>
      </c>
      <c r="L1077" t="s">
        <v>19</v>
      </c>
      <c r="M1077" t="s">
        <v>23</v>
      </c>
      <c r="N1077" t="s">
        <v>89</v>
      </c>
      <c r="O1077" t="s">
        <v>19</v>
      </c>
      <c r="P1077" t="s">
        <v>19</v>
      </c>
      <c r="Q1077" t="s">
        <v>356</v>
      </c>
    </row>
    <row r="1078" spans="1:17" hidden="1" x14ac:dyDescent="0.25">
      <c r="A1078" t="s">
        <v>948</v>
      </c>
      <c r="B1078" t="s">
        <v>22</v>
      </c>
      <c r="C1078" t="s">
        <v>70</v>
      </c>
      <c r="D1078" t="s">
        <v>29</v>
      </c>
      <c r="E1078">
        <v>0</v>
      </c>
      <c r="F1078">
        <f>MAX(-1,3-Tableau1[[#This Row],[Nb possédé (digital)]])</f>
        <v>3</v>
      </c>
      <c r="G1078">
        <v>3</v>
      </c>
      <c r="H1078">
        <f>MAX(-1,3-Tableau1[[#This Row],[Possédé (physique)]])</f>
        <v>0</v>
      </c>
      <c r="I1078" t="str">
        <f>IF(Tableau1[[#This Row],[Manque (physique)]]&gt;Tableau1[[#This Row],[Manque (digital)]],"POD",IF(Tableau1[[#This Row],[Manque (digital)]]&gt;Tableau1[[#This Row],[Manque (physique)]],"MarketPlace",""))</f>
        <v>MarketPlace</v>
      </c>
      <c r="J1078" t="s">
        <v>17</v>
      </c>
      <c r="K1078" t="s">
        <v>949</v>
      </c>
      <c r="L1078" t="s">
        <v>19</v>
      </c>
      <c r="M1078" t="s">
        <v>23</v>
      </c>
      <c r="Q1078" t="s">
        <v>951</v>
      </c>
    </row>
    <row r="1079" spans="1:17" hidden="1" x14ac:dyDescent="0.25">
      <c r="A1079" t="s">
        <v>1042</v>
      </c>
      <c r="B1079" t="s">
        <v>22</v>
      </c>
      <c r="C1079" t="s">
        <v>70</v>
      </c>
      <c r="D1079" t="s">
        <v>29</v>
      </c>
      <c r="E1079">
        <v>1</v>
      </c>
      <c r="F1079">
        <f>MAX(-1,3-Tableau1[[#This Row],[Nb possédé (digital)]])</f>
        <v>2</v>
      </c>
      <c r="G1079">
        <v>3</v>
      </c>
      <c r="H1079">
        <f>MAX(-1,3-Tableau1[[#This Row],[Possédé (physique)]])</f>
        <v>0</v>
      </c>
      <c r="I1079" t="str">
        <f>IF(Tableau1[[#This Row],[Manque (physique)]]&gt;Tableau1[[#This Row],[Manque (digital)]],"POD",IF(Tableau1[[#This Row],[Manque (digital)]]&gt;Tableau1[[#This Row],[Manque (physique)]],"MarketPlace",""))</f>
        <v>MarketPlace</v>
      </c>
      <c r="J1079" t="s">
        <v>30</v>
      </c>
      <c r="K1079" t="s">
        <v>1043</v>
      </c>
      <c r="L1079" t="s">
        <v>19</v>
      </c>
      <c r="M1079" t="s">
        <v>23</v>
      </c>
      <c r="N1079" t="s">
        <v>19</v>
      </c>
      <c r="O1079" t="s">
        <v>19</v>
      </c>
      <c r="P1079" t="s">
        <v>89</v>
      </c>
      <c r="Q1079" t="s">
        <v>1045</v>
      </c>
    </row>
    <row r="1080" spans="1:17" hidden="1" x14ac:dyDescent="0.25">
      <c r="A1080" t="s">
        <v>375</v>
      </c>
      <c r="B1080" t="s">
        <v>22</v>
      </c>
      <c r="C1080" t="s">
        <v>70</v>
      </c>
      <c r="D1080" t="s">
        <v>29</v>
      </c>
      <c r="E1080">
        <v>0</v>
      </c>
      <c r="F1080">
        <f>MAX(-1,3-Tableau1[[#This Row],[Nb possédé (digital)]])</f>
        <v>3</v>
      </c>
      <c r="G1080">
        <v>4</v>
      </c>
      <c r="H1080">
        <f>MAX(-1,3-Tableau1[[#This Row],[Possédé (physique)]])</f>
        <v>-1</v>
      </c>
      <c r="I1080" t="str">
        <f>IF(Tableau1[[#This Row],[Manque (physique)]]&gt;Tableau1[[#This Row],[Manque (digital)]],"POD",IF(Tableau1[[#This Row],[Manque (digital)]]&gt;Tableau1[[#This Row],[Manque (physique)]],"MarketPlace",""))</f>
        <v>MarketPlace</v>
      </c>
      <c r="J1080" t="s">
        <v>30</v>
      </c>
      <c r="K1080" t="s">
        <v>42</v>
      </c>
      <c r="L1080" t="s">
        <v>23</v>
      </c>
      <c r="M1080" t="s">
        <v>23</v>
      </c>
      <c r="N1080" t="s">
        <v>89</v>
      </c>
      <c r="O1080" t="s">
        <v>23</v>
      </c>
      <c r="P1080" t="s">
        <v>23</v>
      </c>
      <c r="Q1080" t="s">
        <v>377</v>
      </c>
    </row>
    <row r="1081" spans="1:17" hidden="1" x14ac:dyDescent="0.25">
      <c r="A1081" t="s">
        <v>650</v>
      </c>
      <c r="B1081" t="s">
        <v>22</v>
      </c>
      <c r="C1081" t="s">
        <v>70</v>
      </c>
      <c r="D1081" t="s">
        <v>29</v>
      </c>
      <c r="E1081">
        <v>0</v>
      </c>
      <c r="F1081">
        <f>MAX(-1,3-Tableau1[[#This Row],[Nb possédé (digital)]])</f>
        <v>3</v>
      </c>
      <c r="G1081">
        <v>3</v>
      </c>
      <c r="H1081">
        <f>MAX(-1,3-Tableau1[[#This Row],[Possédé (physique)]])</f>
        <v>0</v>
      </c>
      <c r="I1081" t="str">
        <f>IF(Tableau1[[#This Row],[Manque (physique)]]&gt;Tableau1[[#This Row],[Manque (digital)]],"POD",IF(Tableau1[[#This Row],[Manque (digital)]]&gt;Tableau1[[#This Row],[Manque (physique)]],"MarketPlace",""))</f>
        <v>MarketPlace</v>
      </c>
      <c r="J1081" t="s">
        <v>30</v>
      </c>
      <c r="K1081" t="s">
        <v>79</v>
      </c>
      <c r="L1081" t="s">
        <v>23</v>
      </c>
      <c r="M1081" t="s">
        <v>23</v>
      </c>
      <c r="N1081" t="s">
        <v>23</v>
      </c>
      <c r="O1081" t="s">
        <v>23</v>
      </c>
      <c r="P1081" t="s">
        <v>19</v>
      </c>
      <c r="Q1081" t="s">
        <v>652</v>
      </c>
    </row>
    <row r="1082" spans="1:17" hidden="1" x14ac:dyDescent="0.25">
      <c r="A1082" t="s">
        <v>670</v>
      </c>
      <c r="B1082" t="s">
        <v>22</v>
      </c>
      <c r="C1082" t="s">
        <v>70</v>
      </c>
      <c r="D1082" t="s">
        <v>29</v>
      </c>
      <c r="E1082">
        <v>0</v>
      </c>
      <c r="F1082">
        <f>MAX(-1,3-Tableau1[[#This Row],[Nb possédé (digital)]])</f>
        <v>3</v>
      </c>
      <c r="G1082">
        <v>3</v>
      </c>
      <c r="H1082">
        <f>MAX(-1,3-Tableau1[[#This Row],[Possédé (physique)]])</f>
        <v>0</v>
      </c>
      <c r="I1082" t="str">
        <f>IF(Tableau1[[#This Row],[Manque (physique)]]&gt;Tableau1[[#This Row],[Manque (digital)]],"POD",IF(Tableau1[[#This Row],[Manque (digital)]]&gt;Tableau1[[#This Row],[Manque (physique)]],"MarketPlace",""))</f>
        <v>MarketPlace</v>
      </c>
      <c r="J1082" t="s">
        <v>30</v>
      </c>
      <c r="K1082" t="s">
        <v>51</v>
      </c>
      <c r="L1082" t="s">
        <v>23</v>
      </c>
      <c r="M1082" t="s">
        <v>23</v>
      </c>
      <c r="N1082" t="s">
        <v>19</v>
      </c>
      <c r="O1082" t="s">
        <v>19</v>
      </c>
      <c r="P1082" t="s">
        <v>19</v>
      </c>
      <c r="Q1082" t="s">
        <v>672</v>
      </c>
    </row>
    <row r="1083" spans="1:17" hidden="1" x14ac:dyDescent="0.25">
      <c r="A1083" t="s">
        <v>733</v>
      </c>
      <c r="B1083" t="s">
        <v>22</v>
      </c>
      <c r="C1083" t="s">
        <v>70</v>
      </c>
      <c r="D1083" t="s">
        <v>29</v>
      </c>
      <c r="E1083">
        <v>2</v>
      </c>
      <c r="F1083">
        <f>MAX(-1,3-Tableau1[[#This Row],[Nb possédé (digital)]])</f>
        <v>1</v>
      </c>
      <c r="G1083">
        <v>3</v>
      </c>
      <c r="H1083">
        <f>MAX(-1,3-Tableau1[[#This Row],[Possédé (physique)]])</f>
        <v>0</v>
      </c>
      <c r="I1083" t="str">
        <f>IF(Tableau1[[#This Row],[Manque (physique)]]&gt;Tableau1[[#This Row],[Manque (digital)]],"POD",IF(Tableau1[[#This Row],[Manque (digital)]]&gt;Tableau1[[#This Row],[Manque (physique)]],"MarketPlace",""))</f>
        <v>MarketPlace</v>
      </c>
      <c r="J1083" t="s">
        <v>268</v>
      </c>
      <c r="K1083" t="s">
        <v>438</v>
      </c>
      <c r="L1083" t="s">
        <v>23</v>
      </c>
      <c r="M1083" t="s">
        <v>23</v>
      </c>
      <c r="Q1083" t="s">
        <v>735</v>
      </c>
    </row>
    <row r="1084" spans="1:17" hidden="1" x14ac:dyDescent="0.25">
      <c r="A1084" t="s">
        <v>784</v>
      </c>
      <c r="B1084" t="s">
        <v>22</v>
      </c>
      <c r="C1084" t="s">
        <v>70</v>
      </c>
      <c r="D1084" t="s">
        <v>29</v>
      </c>
      <c r="E1084">
        <v>2</v>
      </c>
      <c r="F1084">
        <f>MAX(-1,3-Tableau1[[#This Row],[Nb possédé (digital)]])</f>
        <v>1</v>
      </c>
      <c r="G1084">
        <v>3</v>
      </c>
      <c r="H1084">
        <f>MAX(-1,3-Tableau1[[#This Row],[Possédé (physique)]])</f>
        <v>0</v>
      </c>
      <c r="I1084" t="str">
        <f>IF(Tableau1[[#This Row],[Manque (physique)]]&gt;Tableau1[[#This Row],[Manque (digital)]],"POD",IF(Tableau1[[#This Row],[Manque (digital)]]&gt;Tableau1[[#This Row],[Manque (physique)]],"MarketPlace",""))</f>
        <v>MarketPlace</v>
      </c>
      <c r="J1084" t="s">
        <v>17</v>
      </c>
      <c r="K1084" t="s">
        <v>153</v>
      </c>
      <c r="L1084" t="s">
        <v>23</v>
      </c>
      <c r="M1084" t="s">
        <v>23</v>
      </c>
      <c r="Q1084" t="s">
        <v>786</v>
      </c>
    </row>
    <row r="1085" spans="1:17" hidden="1" x14ac:dyDescent="0.25">
      <c r="A1085" t="s">
        <v>102</v>
      </c>
      <c r="B1085" t="s">
        <v>22</v>
      </c>
      <c r="C1085" t="s">
        <v>70</v>
      </c>
      <c r="D1085" t="s">
        <v>29</v>
      </c>
      <c r="E1085">
        <v>1</v>
      </c>
      <c r="F1085">
        <f>MAX(-1,3-Tableau1[[#This Row],[Nb possédé (digital)]])</f>
        <v>2</v>
      </c>
      <c r="G1085">
        <v>3</v>
      </c>
      <c r="H1085">
        <f>MAX(-1,3-Tableau1[[#This Row],[Possédé (physique)]])</f>
        <v>0</v>
      </c>
      <c r="I1085" t="str">
        <f>IF(Tableau1[[#This Row],[Manque (physique)]]&gt;Tableau1[[#This Row],[Manque (digital)]],"POD",IF(Tableau1[[#This Row],[Manque (digital)]]&gt;Tableau1[[#This Row],[Manque (physique)]],"MarketPlace",""))</f>
        <v>MarketPlace</v>
      </c>
      <c r="J1085" t="s">
        <v>30</v>
      </c>
      <c r="K1085" t="s">
        <v>103</v>
      </c>
      <c r="L1085" t="s">
        <v>52</v>
      </c>
      <c r="M1085" t="s">
        <v>52</v>
      </c>
      <c r="N1085" t="s">
        <v>52</v>
      </c>
      <c r="O1085" t="s">
        <v>52</v>
      </c>
      <c r="P1085" t="s">
        <v>89</v>
      </c>
      <c r="Q1085" t="s">
        <v>105</v>
      </c>
    </row>
    <row r="1086" spans="1:17" hidden="1" x14ac:dyDescent="0.25">
      <c r="A1086" t="s">
        <v>174</v>
      </c>
      <c r="B1086" t="s">
        <v>22</v>
      </c>
      <c r="C1086" t="s">
        <v>70</v>
      </c>
      <c r="D1086" t="s">
        <v>29</v>
      </c>
      <c r="E1086">
        <v>0</v>
      </c>
      <c r="F1086">
        <f>MAX(-1,3-Tableau1[[#This Row],[Nb possédé (digital)]])</f>
        <v>3</v>
      </c>
      <c r="G1086">
        <v>3</v>
      </c>
      <c r="H1086">
        <f>MAX(-1,3-Tableau1[[#This Row],[Possédé (physique)]])</f>
        <v>0</v>
      </c>
      <c r="I1086" t="str">
        <f>IF(Tableau1[[#This Row],[Manque (physique)]]&gt;Tableau1[[#This Row],[Manque (digital)]],"POD",IF(Tableau1[[#This Row],[Manque (digital)]]&gt;Tableau1[[#This Row],[Manque (physique)]],"MarketPlace",""))</f>
        <v>MarketPlace</v>
      </c>
      <c r="J1086" t="s">
        <v>30</v>
      </c>
      <c r="K1086" t="s">
        <v>171</v>
      </c>
      <c r="L1086" t="s">
        <v>52</v>
      </c>
      <c r="M1086" t="s">
        <v>52</v>
      </c>
      <c r="N1086" t="s">
        <v>52</v>
      </c>
      <c r="O1086" t="s">
        <v>52</v>
      </c>
      <c r="P1086" t="s">
        <v>89</v>
      </c>
      <c r="Q1086" t="s">
        <v>177</v>
      </c>
    </row>
    <row r="1087" spans="1:17" hidden="1" x14ac:dyDescent="0.25">
      <c r="A1087" t="s">
        <v>385</v>
      </c>
      <c r="B1087" t="s">
        <v>22</v>
      </c>
      <c r="C1087" t="s">
        <v>70</v>
      </c>
      <c r="D1087" t="s">
        <v>29</v>
      </c>
      <c r="E1087">
        <v>1</v>
      </c>
      <c r="F1087">
        <f>MAX(-1,3-Tableau1[[#This Row],[Nb possédé (digital)]])</f>
        <v>2</v>
      </c>
      <c r="G1087">
        <v>3</v>
      </c>
      <c r="H1087">
        <f>MAX(-1,3-Tableau1[[#This Row],[Possédé (physique)]])</f>
        <v>0</v>
      </c>
      <c r="I1087" t="str">
        <f>IF(Tableau1[[#This Row],[Manque (physique)]]&gt;Tableau1[[#This Row],[Manque (digital)]],"POD",IF(Tableau1[[#This Row],[Manque (digital)]]&gt;Tableau1[[#This Row],[Manque (physique)]],"MarketPlace",""))</f>
        <v>MarketPlace</v>
      </c>
      <c r="J1087" t="s">
        <v>30</v>
      </c>
      <c r="K1087" t="s">
        <v>171</v>
      </c>
      <c r="L1087" t="s">
        <v>37</v>
      </c>
      <c r="M1087" t="s">
        <v>23</v>
      </c>
      <c r="N1087" t="s">
        <v>52</v>
      </c>
      <c r="O1087" t="s">
        <v>52</v>
      </c>
      <c r="P1087" t="s">
        <v>52</v>
      </c>
      <c r="Q1087" t="s">
        <v>387</v>
      </c>
    </row>
    <row r="1088" spans="1:17" hidden="1" x14ac:dyDescent="0.25">
      <c r="A1088" t="s">
        <v>551</v>
      </c>
      <c r="B1088" t="s">
        <v>22</v>
      </c>
      <c r="C1088" t="s">
        <v>70</v>
      </c>
      <c r="D1088" t="s">
        <v>29</v>
      </c>
      <c r="E1088">
        <v>2</v>
      </c>
      <c r="F1088">
        <f>MAX(-1,3-Tableau1[[#This Row],[Nb possédé (digital)]])</f>
        <v>1</v>
      </c>
      <c r="G1088">
        <v>3</v>
      </c>
      <c r="H1088">
        <f>MAX(-1,3-Tableau1[[#This Row],[Possédé (physique)]])</f>
        <v>0</v>
      </c>
      <c r="I1088" t="str">
        <f>IF(Tableau1[[#This Row],[Manque (physique)]]&gt;Tableau1[[#This Row],[Manque (digital)]],"POD",IF(Tableau1[[#This Row],[Manque (digital)]]&gt;Tableau1[[#This Row],[Manque (physique)]],"MarketPlace",""))</f>
        <v>MarketPlace</v>
      </c>
      <c r="J1088" t="s">
        <v>30</v>
      </c>
      <c r="K1088" t="s">
        <v>552</v>
      </c>
      <c r="L1088" t="s">
        <v>37</v>
      </c>
      <c r="M1088" t="s">
        <v>37</v>
      </c>
      <c r="N1088" t="s">
        <v>89</v>
      </c>
      <c r="O1088" t="s">
        <v>89</v>
      </c>
      <c r="P1088" t="s">
        <v>89</v>
      </c>
      <c r="Q1088" t="s">
        <v>553</v>
      </c>
    </row>
    <row r="1089" spans="1:17" hidden="1" x14ac:dyDescent="0.25">
      <c r="A1089" t="s">
        <v>704</v>
      </c>
      <c r="B1089" t="s">
        <v>22</v>
      </c>
      <c r="C1089" t="s">
        <v>70</v>
      </c>
      <c r="D1089" t="s">
        <v>29</v>
      </c>
      <c r="E1089">
        <v>2</v>
      </c>
      <c r="F1089">
        <f>MAX(-1,3-Tableau1[[#This Row],[Nb possédé (digital)]])</f>
        <v>1</v>
      </c>
      <c r="G1089">
        <v>2</v>
      </c>
      <c r="H1089">
        <f>MAX(-1,3-Tableau1[[#This Row],[Possédé (physique)]])</f>
        <v>1</v>
      </c>
      <c r="I1089" t="str">
        <f>IF(Tableau1[[#This Row],[Manque (physique)]]&gt;Tableau1[[#This Row],[Manque (digital)]],"POD",IF(Tableau1[[#This Row],[Manque (digital)]]&gt;Tableau1[[#This Row],[Manque (physique)]],"MarketPlace",""))</f>
        <v/>
      </c>
      <c r="J1089" t="s">
        <v>30</v>
      </c>
      <c r="K1089" t="s">
        <v>705</v>
      </c>
      <c r="L1089" t="s">
        <v>39</v>
      </c>
      <c r="M1089" t="s">
        <v>39</v>
      </c>
      <c r="N1089" t="s">
        <v>37</v>
      </c>
      <c r="O1089" t="s">
        <v>37</v>
      </c>
      <c r="P1089" t="s">
        <v>37</v>
      </c>
      <c r="Q1089" t="s">
        <v>707</v>
      </c>
    </row>
    <row r="1090" spans="1:17" hidden="1" x14ac:dyDescent="0.25">
      <c r="A1090" t="s">
        <v>624</v>
      </c>
      <c r="B1090" t="s">
        <v>22</v>
      </c>
      <c r="C1090" t="s">
        <v>70</v>
      </c>
      <c r="D1090" t="s">
        <v>29</v>
      </c>
      <c r="E1090">
        <v>1</v>
      </c>
      <c r="F1090">
        <f>MAX(-1,3-Tableau1[[#This Row],[Nb possédé (digital)]])</f>
        <v>2</v>
      </c>
      <c r="G1090">
        <v>3</v>
      </c>
      <c r="H1090">
        <f>MAX(-1,3-Tableau1[[#This Row],[Possédé (physique)]])</f>
        <v>0</v>
      </c>
      <c r="I1090" t="str">
        <f>IF(Tableau1[[#This Row],[Manque (physique)]]&gt;Tableau1[[#This Row],[Manque (digital)]],"POD",IF(Tableau1[[#This Row],[Manque (digital)]]&gt;Tableau1[[#This Row],[Manque (physique)]],"MarketPlace",""))</f>
        <v>MarketPlace</v>
      </c>
      <c r="J1090" t="s">
        <v>30</v>
      </c>
      <c r="K1090" t="s">
        <v>51</v>
      </c>
      <c r="L1090" t="s">
        <v>380</v>
      </c>
      <c r="M1090" t="s">
        <v>52</v>
      </c>
      <c r="N1090" t="s">
        <v>89</v>
      </c>
      <c r="O1090" t="s">
        <v>37</v>
      </c>
      <c r="P1090" t="s">
        <v>37</v>
      </c>
      <c r="Q1090" t="s">
        <v>626</v>
      </c>
    </row>
    <row r="1091" spans="1:17" hidden="1" x14ac:dyDescent="0.25">
      <c r="A1091" t="s">
        <v>1189</v>
      </c>
      <c r="B1091" t="s">
        <v>22</v>
      </c>
      <c r="C1091" t="s">
        <v>70</v>
      </c>
      <c r="D1091" t="s">
        <v>1156</v>
      </c>
      <c r="E1091">
        <v>2</v>
      </c>
      <c r="F1091">
        <f>MAX(-1,3-Tableau1[[#This Row],[Nb possédé (digital)]])</f>
        <v>1</v>
      </c>
      <c r="G1091">
        <v>3</v>
      </c>
      <c r="H1091">
        <f>MAX(-1,3-Tableau1[[#This Row],[Possédé (physique)]])</f>
        <v>0</v>
      </c>
      <c r="I1091" t="str">
        <f>IF(Tableau1[[#This Row],[Manque (physique)]]&gt;Tableau1[[#This Row],[Manque (digital)]],"POD",IF(Tableau1[[#This Row],[Manque (digital)]]&gt;Tableau1[[#This Row],[Manque (physique)]],"MarketPlace",""))</f>
        <v>MarketPlace</v>
      </c>
      <c r="J1091" t="s">
        <v>30</v>
      </c>
      <c r="K1091" t="s">
        <v>68</v>
      </c>
      <c r="L1091" t="s">
        <v>20</v>
      </c>
      <c r="M1091" t="s">
        <v>20</v>
      </c>
      <c r="N1091" t="s">
        <v>89</v>
      </c>
      <c r="O1091" t="s">
        <v>20</v>
      </c>
      <c r="P1091" t="s">
        <v>20</v>
      </c>
      <c r="Q1091" t="s">
        <v>1338</v>
      </c>
    </row>
    <row r="1092" spans="1:17" hidden="1" x14ac:dyDescent="0.25">
      <c r="A1092" t="s">
        <v>1190</v>
      </c>
      <c r="B1092" t="s">
        <v>22</v>
      </c>
      <c r="C1092" t="s">
        <v>70</v>
      </c>
      <c r="D1092" t="s">
        <v>1156</v>
      </c>
      <c r="E1092">
        <v>0</v>
      </c>
      <c r="F1092">
        <f>MAX(-1,3-Tableau1[[#This Row],[Nb possédé (digital)]])</f>
        <v>3</v>
      </c>
      <c r="G1092">
        <v>3</v>
      </c>
      <c r="H1092">
        <f>MAX(-1,3-Tableau1[[#This Row],[Possédé (physique)]])</f>
        <v>0</v>
      </c>
      <c r="I1092" t="str">
        <f>IF(Tableau1[[#This Row],[Manque (physique)]]&gt;Tableau1[[#This Row],[Manque (digital)]],"POD",IF(Tableau1[[#This Row],[Manque (digital)]]&gt;Tableau1[[#This Row],[Manque (physique)]],"MarketPlace",""))</f>
        <v>MarketPlace</v>
      </c>
      <c r="J1092" t="s">
        <v>30</v>
      </c>
      <c r="K1092" t="s">
        <v>79</v>
      </c>
      <c r="L1092" t="s">
        <v>20</v>
      </c>
      <c r="M1092" t="s">
        <v>20</v>
      </c>
      <c r="N1092" t="s">
        <v>89</v>
      </c>
      <c r="O1092" t="s">
        <v>89</v>
      </c>
      <c r="P1092" t="s">
        <v>20</v>
      </c>
      <c r="Q1092" t="s">
        <v>1340</v>
      </c>
    </row>
    <row r="1093" spans="1:17" hidden="1" x14ac:dyDescent="0.25">
      <c r="A1093" t="s">
        <v>1258</v>
      </c>
      <c r="B1093" t="s">
        <v>22</v>
      </c>
      <c r="C1093" t="s">
        <v>70</v>
      </c>
      <c r="D1093" t="s">
        <v>1156</v>
      </c>
      <c r="E1093">
        <v>1</v>
      </c>
      <c r="F1093">
        <f>MAX(-1,3-Tableau1[[#This Row],[Nb possédé (digital)]])</f>
        <v>2</v>
      </c>
      <c r="G1093">
        <v>3</v>
      </c>
      <c r="H1093">
        <f>MAX(-1,3-Tableau1[[#This Row],[Possédé (physique)]])</f>
        <v>0</v>
      </c>
      <c r="I1093" t="str">
        <f>IF(Tableau1[[#This Row],[Manque (physique)]]&gt;Tableau1[[#This Row],[Manque (digital)]],"POD",IF(Tableau1[[#This Row],[Manque (digital)]]&gt;Tableau1[[#This Row],[Manque (physique)]],"MarketPlace",""))</f>
        <v>MarketPlace</v>
      </c>
      <c r="J1093" t="s">
        <v>17</v>
      </c>
      <c r="K1093" t="s">
        <v>201</v>
      </c>
      <c r="L1093" t="s">
        <v>20</v>
      </c>
      <c r="M1093" t="s">
        <v>20</v>
      </c>
      <c r="Q1093" t="s">
        <v>1482</v>
      </c>
    </row>
    <row r="1094" spans="1:17" hidden="1" x14ac:dyDescent="0.25">
      <c r="A1094" t="s">
        <v>1219</v>
      </c>
      <c r="B1094" t="s">
        <v>22</v>
      </c>
      <c r="C1094" t="s">
        <v>70</v>
      </c>
      <c r="D1094" t="s">
        <v>1156</v>
      </c>
      <c r="E1094">
        <v>1</v>
      </c>
      <c r="F1094">
        <f>MAX(-1,3-Tableau1[[#This Row],[Nb possédé (digital)]])</f>
        <v>2</v>
      </c>
      <c r="G1094">
        <v>3</v>
      </c>
      <c r="H1094">
        <f>MAX(-1,3-Tableau1[[#This Row],[Possédé (physique)]])</f>
        <v>0</v>
      </c>
      <c r="I1094" t="str">
        <f>IF(Tableau1[[#This Row],[Manque (physique)]]&gt;Tableau1[[#This Row],[Manque (digital)]],"POD",IF(Tableau1[[#This Row],[Manque (digital)]]&gt;Tableau1[[#This Row],[Manque (physique)]],"MarketPlace",""))</f>
        <v>MarketPlace</v>
      </c>
      <c r="J1094" t="s">
        <v>30</v>
      </c>
      <c r="K1094" t="s">
        <v>481</v>
      </c>
      <c r="L1094" t="s">
        <v>19</v>
      </c>
      <c r="M1094" t="s">
        <v>20</v>
      </c>
      <c r="N1094" t="s">
        <v>89</v>
      </c>
      <c r="O1094" t="s">
        <v>89</v>
      </c>
      <c r="P1094" t="s">
        <v>19</v>
      </c>
      <c r="Q1094" t="s">
        <v>1400</v>
      </c>
    </row>
    <row r="1095" spans="1:17" hidden="1" x14ac:dyDescent="0.25">
      <c r="A1095" t="s">
        <v>1167</v>
      </c>
      <c r="B1095" t="s">
        <v>22</v>
      </c>
      <c r="C1095" t="s">
        <v>70</v>
      </c>
      <c r="D1095" t="s">
        <v>1156</v>
      </c>
      <c r="E1095">
        <v>1</v>
      </c>
      <c r="F1095">
        <f>MAX(-1,3-Tableau1[[#This Row],[Nb possédé (digital)]])</f>
        <v>2</v>
      </c>
      <c r="G1095">
        <v>3</v>
      </c>
      <c r="H1095">
        <f>MAX(-1,3-Tableau1[[#This Row],[Possédé (physique)]])</f>
        <v>0</v>
      </c>
      <c r="I1095" t="str">
        <f>IF(Tableau1[[#This Row],[Manque (physique)]]&gt;Tableau1[[#This Row],[Manque (digital)]],"POD",IF(Tableau1[[#This Row],[Manque (digital)]]&gt;Tableau1[[#This Row],[Manque (physique)]],"MarketPlace",""))</f>
        <v>MarketPlace</v>
      </c>
      <c r="J1095" t="s">
        <v>30</v>
      </c>
      <c r="K1095" t="s">
        <v>171</v>
      </c>
      <c r="L1095" t="s">
        <v>19</v>
      </c>
      <c r="M1095" t="s">
        <v>19</v>
      </c>
      <c r="N1095" t="s">
        <v>19</v>
      </c>
      <c r="O1095" t="s">
        <v>89</v>
      </c>
      <c r="P1095" t="s">
        <v>19</v>
      </c>
      <c r="Q1095" t="s">
        <v>1290</v>
      </c>
    </row>
    <row r="1096" spans="1:17" hidden="1" x14ac:dyDescent="0.25">
      <c r="A1096" t="s">
        <v>1169</v>
      </c>
      <c r="B1096" t="s">
        <v>22</v>
      </c>
      <c r="C1096" t="s">
        <v>70</v>
      </c>
      <c r="D1096" t="s">
        <v>1156</v>
      </c>
      <c r="E1096">
        <v>1</v>
      </c>
      <c r="F1096">
        <f>MAX(-1,3-Tableau1[[#This Row],[Nb possédé (digital)]])</f>
        <v>2</v>
      </c>
      <c r="G1096">
        <v>3</v>
      </c>
      <c r="H1096">
        <f>MAX(-1,3-Tableau1[[#This Row],[Possédé (physique)]])</f>
        <v>0</v>
      </c>
      <c r="I1096" t="str">
        <f>IF(Tableau1[[#This Row],[Manque (physique)]]&gt;Tableau1[[#This Row],[Manque (digital)]],"POD",IF(Tableau1[[#This Row],[Manque (digital)]]&gt;Tableau1[[#This Row],[Manque (physique)]],"MarketPlace",""))</f>
        <v>MarketPlace</v>
      </c>
      <c r="J1096" t="s">
        <v>30</v>
      </c>
      <c r="K1096" t="s">
        <v>72</v>
      </c>
      <c r="L1096" t="s">
        <v>19</v>
      </c>
      <c r="M1096" t="s">
        <v>19</v>
      </c>
      <c r="N1096" t="s">
        <v>19</v>
      </c>
      <c r="O1096" t="s">
        <v>89</v>
      </c>
      <c r="P1096" t="s">
        <v>89</v>
      </c>
      <c r="Q1096" t="s">
        <v>1293</v>
      </c>
    </row>
    <row r="1097" spans="1:17" hidden="1" x14ac:dyDescent="0.25">
      <c r="A1097" t="s">
        <v>1172</v>
      </c>
      <c r="B1097" t="s">
        <v>22</v>
      </c>
      <c r="C1097" t="s">
        <v>70</v>
      </c>
      <c r="D1097" t="s">
        <v>1156</v>
      </c>
      <c r="E1097">
        <v>1</v>
      </c>
      <c r="F1097">
        <f>MAX(-1,3-Tableau1[[#This Row],[Nb possédé (digital)]])</f>
        <v>2</v>
      </c>
      <c r="G1097">
        <v>3</v>
      </c>
      <c r="H1097">
        <f>MAX(-1,3-Tableau1[[#This Row],[Possédé (physique)]])</f>
        <v>0</v>
      </c>
      <c r="I1097" t="str">
        <f>IF(Tableau1[[#This Row],[Manque (physique)]]&gt;Tableau1[[#This Row],[Manque (digital)]],"POD",IF(Tableau1[[#This Row],[Manque (digital)]]&gt;Tableau1[[#This Row],[Manque (physique)]],"MarketPlace",""))</f>
        <v>MarketPlace</v>
      </c>
      <c r="J1097" t="s">
        <v>17</v>
      </c>
      <c r="K1097" t="s">
        <v>201</v>
      </c>
      <c r="L1097" t="s">
        <v>19</v>
      </c>
      <c r="M1097" t="s">
        <v>19</v>
      </c>
      <c r="Q1097" t="s">
        <v>1301</v>
      </c>
    </row>
    <row r="1098" spans="1:17" hidden="1" x14ac:dyDescent="0.25">
      <c r="A1098" t="s">
        <v>1193</v>
      </c>
      <c r="B1098" t="s">
        <v>22</v>
      </c>
      <c r="C1098" t="s">
        <v>70</v>
      </c>
      <c r="D1098" t="s">
        <v>1156</v>
      </c>
      <c r="E1098">
        <v>2</v>
      </c>
      <c r="F1098">
        <f>MAX(-1,3-Tableau1[[#This Row],[Nb possédé (digital)]])</f>
        <v>1</v>
      </c>
      <c r="G1098">
        <v>3</v>
      </c>
      <c r="H1098">
        <f>MAX(-1,3-Tableau1[[#This Row],[Possédé (physique)]])</f>
        <v>0</v>
      </c>
      <c r="I1098" t="str">
        <f>IF(Tableau1[[#This Row],[Manque (physique)]]&gt;Tableau1[[#This Row],[Manque (digital)]],"POD",IF(Tableau1[[#This Row],[Manque (digital)]]&gt;Tableau1[[#This Row],[Manque (physique)]],"MarketPlace",""))</f>
        <v>MarketPlace</v>
      </c>
      <c r="J1098" t="s">
        <v>30</v>
      </c>
      <c r="K1098" t="s">
        <v>79</v>
      </c>
      <c r="L1098" t="s">
        <v>19</v>
      </c>
      <c r="M1098" t="s">
        <v>19</v>
      </c>
      <c r="N1098" t="s">
        <v>89</v>
      </c>
      <c r="O1098" t="s">
        <v>52</v>
      </c>
      <c r="P1098" t="s">
        <v>89</v>
      </c>
      <c r="Q1098" t="s">
        <v>1345</v>
      </c>
    </row>
    <row r="1099" spans="1:17" hidden="1" x14ac:dyDescent="0.25">
      <c r="A1099" t="s">
        <v>1211</v>
      </c>
      <c r="B1099" t="s">
        <v>22</v>
      </c>
      <c r="C1099" t="s">
        <v>70</v>
      </c>
      <c r="D1099" t="s">
        <v>1156</v>
      </c>
      <c r="E1099">
        <v>1</v>
      </c>
      <c r="F1099">
        <f>MAX(-1,3-Tableau1[[#This Row],[Nb possédé (digital)]])</f>
        <v>2</v>
      </c>
      <c r="G1099">
        <v>3</v>
      </c>
      <c r="H1099">
        <f>MAX(-1,3-Tableau1[[#This Row],[Possédé (physique)]])</f>
        <v>0</v>
      </c>
      <c r="I1099" t="str">
        <f>IF(Tableau1[[#This Row],[Manque (physique)]]&gt;Tableau1[[#This Row],[Manque (digital)]],"POD",IF(Tableau1[[#This Row],[Manque (digital)]]&gt;Tableau1[[#This Row],[Manque (physique)]],"MarketPlace",""))</f>
        <v>MarketPlace</v>
      </c>
      <c r="J1099" t="s">
        <v>268</v>
      </c>
      <c r="K1099" t="s">
        <v>269</v>
      </c>
      <c r="L1099" t="s">
        <v>19</v>
      </c>
      <c r="M1099" t="s">
        <v>19</v>
      </c>
      <c r="Q1099" t="s">
        <v>1381</v>
      </c>
    </row>
    <row r="1100" spans="1:17" hidden="1" x14ac:dyDescent="0.25">
      <c r="A1100" t="s">
        <v>1204</v>
      </c>
      <c r="B1100" t="s">
        <v>22</v>
      </c>
      <c r="C1100" t="s">
        <v>70</v>
      </c>
      <c r="D1100" t="s">
        <v>1156</v>
      </c>
      <c r="E1100">
        <v>3</v>
      </c>
      <c r="F1100">
        <f>MAX(-1,3-Tableau1[[#This Row],[Nb possédé (digital)]])</f>
        <v>0</v>
      </c>
      <c r="G1100">
        <v>3</v>
      </c>
      <c r="H1100">
        <f>MAX(-1,3-Tableau1[[#This Row],[Possédé (physique)]])</f>
        <v>0</v>
      </c>
      <c r="I1100" t="str">
        <f>IF(Tableau1[[#This Row],[Manque (physique)]]&gt;Tableau1[[#This Row],[Manque (digital)]],"POD",IF(Tableau1[[#This Row],[Manque (digital)]]&gt;Tableau1[[#This Row],[Manque (physique)]],"MarketPlace",""))</f>
        <v/>
      </c>
      <c r="J1100" t="s">
        <v>268</v>
      </c>
      <c r="K1100" t="s">
        <v>438</v>
      </c>
      <c r="L1100" t="s">
        <v>19</v>
      </c>
      <c r="M1100" t="s">
        <v>19</v>
      </c>
      <c r="Q1100" t="s">
        <v>1368</v>
      </c>
    </row>
    <row r="1101" spans="1:17" hidden="1" x14ac:dyDescent="0.25">
      <c r="A1101" t="s">
        <v>1205</v>
      </c>
      <c r="B1101" t="s">
        <v>22</v>
      </c>
      <c r="C1101" t="s">
        <v>70</v>
      </c>
      <c r="D1101" t="s">
        <v>1156</v>
      </c>
      <c r="E1101">
        <v>1</v>
      </c>
      <c r="F1101">
        <f>MAX(-1,3-Tableau1[[#This Row],[Nb possédé (digital)]])</f>
        <v>2</v>
      </c>
      <c r="G1101">
        <v>3</v>
      </c>
      <c r="H1101">
        <f>MAX(-1,3-Tableau1[[#This Row],[Possédé (physique)]])</f>
        <v>0</v>
      </c>
      <c r="I1101" t="str">
        <f>IF(Tableau1[[#This Row],[Manque (physique)]]&gt;Tableau1[[#This Row],[Manque (digital)]],"POD",IF(Tableau1[[#This Row],[Manque (digital)]]&gt;Tableau1[[#This Row],[Manque (physique)]],"MarketPlace",""))</f>
        <v>MarketPlace</v>
      </c>
      <c r="J1101" t="s">
        <v>268</v>
      </c>
      <c r="K1101" t="s">
        <v>438</v>
      </c>
      <c r="L1101" t="s">
        <v>19</v>
      </c>
      <c r="M1101" t="s">
        <v>19</v>
      </c>
      <c r="Q1101" t="s">
        <v>1370</v>
      </c>
    </row>
    <row r="1102" spans="1:17" hidden="1" x14ac:dyDescent="0.25">
      <c r="A1102" t="s">
        <v>1224</v>
      </c>
      <c r="B1102" t="s">
        <v>22</v>
      </c>
      <c r="C1102" t="s">
        <v>70</v>
      </c>
      <c r="D1102" t="s">
        <v>1156</v>
      </c>
      <c r="E1102">
        <v>2</v>
      </c>
      <c r="F1102">
        <f>MAX(-1,3-Tableau1[[#This Row],[Nb possédé (digital)]])</f>
        <v>1</v>
      </c>
      <c r="G1102">
        <v>3</v>
      </c>
      <c r="H1102">
        <f>MAX(-1,3-Tableau1[[#This Row],[Possédé (physique)]])</f>
        <v>0</v>
      </c>
      <c r="I1102" t="str">
        <f>IF(Tableau1[[#This Row],[Manque (physique)]]&gt;Tableau1[[#This Row],[Manque (digital)]],"POD",IF(Tableau1[[#This Row],[Manque (digital)]]&gt;Tableau1[[#This Row],[Manque (physique)]],"MarketPlace",""))</f>
        <v>MarketPlace</v>
      </c>
      <c r="J1102" t="s">
        <v>30</v>
      </c>
      <c r="K1102" t="s">
        <v>481</v>
      </c>
      <c r="L1102" t="s">
        <v>19</v>
      </c>
      <c r="M1102" t="s">
        <v>19</v>
      </c>
      <c r="N1102" t="s">
        <v>23</v>
      </c>
      <c r="O1102" t="s">
        <v>89</v>
      </c>
      <c r="P1102" t="s">
        <v>89</v>
      </c>
      <c r="Q1102" t="s">
        <v>1410</v>
      </c>
    </row>
    <row r="1103" spans="1:17" hidden="1" x14ac:dyDescent="0.25">
      <c r="A1103" t="s">
        <v>1233</v>
      </c>
      <c r="B1103" t="s">
        <v>22</v>
      </c>
      <c r="C1103" t="s">
        <v>70</v>
      </c>
      <c r="D1103" t="s">
        <v>1156</v>
      </c>
      <c r="E1103">
        <v>2</v>
      </c>
      <c r="F1103">
        <f>MAX(-1,3-Tableau1[[#This Row],[Nb possédé (digital)]])</f>
        <v>1</v>
      </c>
      <c r="G1103">
        <v>3</v>
      </c>
      <c r="H1103">
        <f>MAX(-1,3-Tableau1[[#This Row],[Possédé (physique)]])</f>
        <v>0</v>
      </c>
      <c r="I1103" t="str">
        <f>IF(Tableau1[[#This Row],[Manque (physique)]]&gt;Tableau1[[#This Row],[Manque (digital)]],"POD",IF(Tableau1[[#This Row],[Manque (digital)]]&gt;Tableau1[[#This Row],[Manque (physique)]],"MarketPlace",""))</f>
        <v>MarketPlace</v>
      </c>
      <c r="J1103" t="s">
        <v>268</v>
      </c>
      <c r="K1103" t="s">
        <v>269</v>
      </c>
      <c r="L1103" t="s">
        <v>19</v>
      </c>
      <c r="M1103" t="s">
        <v>19</v>
      </c>
      <c r="Q1103" t="s">
        <v>1430</v>
      </c>
    </row>
    <row r="1104" spans="1:17" hidden="1" x14ac:dyDescent="0.25">
      <c r="A1104" t="s">
        <v>1234</v>
      </c>
      <c r="B1104" t="s">
        <v>22</v>
      </c>
      <c r="C1104" t="s">
        <v>70</v>
      </c>
      <c r="D1104" t="s">
        <v>1156</v>
      </c>
      <c r="E1104">
        <v>1</v>
      </c>
      <c r="F1104">
        <f>MAX(-1,3-Tableau1[[#This Row],[Nb possédé (digital)]])</f>
        <v>2</v>
      </c>
      <c r="G1104">
        <v>3</v>
      </c>
      <c r="H1104">
        <f>MAX(-1,3-Tableau1[[#This Row],[Possédé (physique)]])</f>
        <v>0</v>
      </c>
      <c r="I1104" t="str">
        <f>IF(Tableau1[[#This Row],[Manque (physique)]]&gt;Tableau1[[#This Row],[Manque (digital)]],"POD",IF(Tableau1[[#This Row],[Manque (digital)]]&gt;Tableau1[[#This Row],[Manque (physique)]],"MarketPlace",""))</f>
        <v>MarketPlace</v>
      </c>
      <c r="J1104" t="s">
        <v>30</v>
      </c>
      <c r="K1104" t="s">
        <v>83</v>
      </c>
      <c r="L1104" t="s">
        <v>19</v>
      </c>
      <c r="M1104" t="s">
        <v>19</v>
      </c>
      <c r="N1104" t="s">
        <v>19</v>
      </c>
      <c r="O1104" t="s">
        <v>19</v>
      </c>
      <c r="P1104" t="s">
        <v>19</v>
      </c>
      <c r="Q1104" t="s">
        <v>1432</v>
      </c>
    </row>
    <row r="1105" spans="1:17" hidden="1" x14ac:dyDescent="0.25">
      <c r="A1105" t="s">
        <v>1164</v>
      </c>
      <c r="B1105" t="s">
        <v>22</v>
      </c>
      <c r="C1105" t="s">
        <v>70</v>
      </c>
      <c r="D1105" t="s">
        <v>1156</v>
      </c>
      <c r="E1105">
        <v>1</v>
      </c>
      <c r="F1105">
        <f>MAX(-1,3-Tableau1[[#This Row],[Nb possédé (digital)]])</f>
        <v>2</v>
      </c>
      <c r="G1105">
        <v>3</v>
      </c>
      <c r="H1105">
        <f>MAX(-1,3-Tableau1[[#This Row],[Possédé (physique)]])</f>
        <v>0</v>
      </c>
      <c r="I1105" t="str">
        <f>IF(Tableau1[[#This Row],[Manque (physique)]]&gt;Tableau1[[#This Row],[Manque (digital)]],"POD",IF(Tableau1[[#This Row],[Manque (digital)]]&gt;Tableau1[[#This Row],[Manque (physique)]],"MarketPlace",""))</f>
        <v>MarketPlace</v>
      </c>
      <c r="J1105" t="s">
        <v>17</v>
      </c>
      <c r="K1105" t="s">
        <v>18</v>
      </c>
      <c r="L1105" t="s">
        <v>19</v>
      </c>
      <c r="M1105" t="s">
        <v>23</v>
      </c>
      <c r="Q1105" t="s">
        <v>1284</v>
      </c>
    </row>
    <row r="1106" spans="1:17" hidden="1" x14ac:dyDescent="0.25">
      <c r="A1106" t="s">
        <v>1223</v>
      </c>
      <c r="B1106" t="s">
        <v>22</v>
      </c>
      <c r="C1106" t="s">
        <v>70</v>
      </c>
      <c r="D1106" t="s">
        <v>1156</v>
      </c>
      <c r="E1106">
        <v>2</v>
      </c>
      <c r="F1106">
        <f>MAX(-1,3-Tableau1[[#This Row],[Nb possédé (digital)]])</f>
        <v>1</v>
      </c>
      <c r="G1106">
        <v>3</v>
      </c>
      <c r="H1106">
        <f>MAX(-1,3-Tableau1[[#This Row],[Possédé (physique)]])</f>
        <v>0</v>
      </c>
      <c r="I1106" t="str">
        <f>IF(Tableau1[[#This Row],[Manque (physique)]]&gt;Tableau1[[#This Row],[Manque (digital)]],"POD",IF(Tableau1[[#This Row],[Manque (digital)]]&gt;Tableau1[[#This Row],[Manque (physique)]],"MarketPlace",""))</f>
        <v>MarketPlace</v>
      </c>
      <c r="J1106" t="s">
        <v>30</v>
      </c>
      <c r="K1106" t="s">
        <v>51</v>
      </c>
      <c r="L1106" t="s">
        <v>23</v>
      </c>
      <c r="M1106" t="s">
        <v>20</v>
      </c>
      <c r="N1106" t="s">
        <v>89</v>
      </c>
      <c r="O1106" t="s">
        <v>89</v>
      </c>
      <c r="P1106" t="s">
        <v>89</v>
      </c>
      <c r="Q1106" t="s">
        <v>1407</v>
      </c>
    </row>
    <row r="1107" spans="1:17" hidden="1" x14ac:dyDescent="0.25">
      <c r="A1107" t="s">
        <v>1249</v>
      </c>
      <c r="B1107" t="s">
        <v>22</v>
      </c>
      <c r="C1107" t="s">
        <v>70</v>
      </c>
      <c r="D1107" t="s">
        <v>1156</v>
      </c>
      <c r="E1107">
        <v>1</v>
      </c>
      <c r="F1107">
        <f>MAX(-1,3-Tableau1[[#This Row],[Nb possédé (digital)]])</f>
        <v>2</v>
      </c>
      <c r="G1107">
        <v>3</v>
      </c>
      <c r="H1107">
        <f>MAX(-1,3-Tableau1[[#This Row],[Possédé (physique)]])</f>
        <v>0</v>
      </c>
      <c r="I1107" t="str">
        <f>IF(Tableau1[[#This Row],[Manque (physique)]]&gt;Tableau1[[#This Row],[Manque (digital)]],"POD",IF(Tableau1[[#This Row],[Manque (digital)]]&gt;Tableau1[[#This Row],[Manque (physique)]],"MarketPlace",""))</f>
        <v>MarketPlace</v>
      </c>
      <c r="J1107" t="s">
        <v>30</v>
      </c>
      <c r="K1107" t="s">
        <v>51</v>
      </c>
      <c r="L1107" t="s">
        <v>23</v>
      </c>
      <c r="M1107" t="s">
        <v>20</v>
      </c>
      <c r="N1107" t="s">
        <v>20</v>
      </c>
      <c r="O1107" t="s">
        <v>20</v>
      </c>
      <c r="P1107" t="s">
        <v>20</v>
      </c>
      <c r="Q1107" t="s">
        <v>1465</v>
      </c>
    </row>
    <row r="1108" spans="1:17" hidden="1" x14ac:dyDescent="0.25">
      <c r="A1108" t="s">
        <v>1225</v>
      </c>
      <c r="B1108" t="s">
        <v>22</v>
      </c>
      <c r="C1108" t="s">
        <v>70</v>
      </c>
      <c r="D1108" t="s">
        <v>1156</v>
      </c>
      <c r="E1108">
        <v>1</v>
      </c>
      <c r="F1108">
        <f>MAX(-1,3-Tableau1[[#This Row],[Nb possédé (digital)]])</f>
        <v>2</v>
      </c>
      <c r="G1108">
        <v>3</v>
      </c>
      <c r="H1108">
        <f>MAX(-1,3-Tableau1[[#This Row],[Possédé (physique)]])</f>
        <v>0</v>
      </c>
      <c r="I1108" t="str">
        <f>IF(Tableau1[[#This Row],[Manque (physique)]]&gt;Tableau1[[#This Row],[Manque (digital)]],"POD",IF(Tableau1[[#This Row],[Manque (digital)]]&gt;Tableau1[[#This Row],[Manque (physique)]],"MarketPlace",""))</f>
        <v>MarketPlace</v>
      </c>
      <c r="J1108" t="s">
        <v>30</v>
      </c>
      <c r="K1108" t="s">
        <v>481</v>
      </c>
      <c r="L1108" t="s">
        <v>23</v>
      </c>
      <c r="M1108" t="s">
        <v>19</v>
      </c>
      <c r="N1108" t="s">
        <v>89</v>
      </c>
      <c r="O1108" t="s">
        <v>89</v>
      </c>
      <c r="P1108" t="s">
        <v>52</v>
      </c>
      <c r="Q1108" t="s">
        <v>1413</v>
      </c>
    </row>
    <row r="1109" spans="1:17" hidden="1" x14ac:dyDescent="0.25">
      <c r="A1109" t="s">
        <v>1226</v>
      </c>
      <c r="B1109" t="s">
        <v>22</v>
      </c>
      <c r="C1109" t="s">
        <v>70</v>
      </c>
      <c r="D1109" t="s">
        <v>1156</v>
      </c>
      <c r="E1109">
        <v>2</v>
      </c>
      <c r="F1109">
        <f>MAX(-1,3-Tableau1[[#This Row],[Nb possédé (digital)]])</f>
        <v>1</v>
      </c>
      <c r="G1109">
        <v>3</v>
      </c>
      <c r="H1109">
        <f>MAX(-1,3-Tableau1[[#This Row],[Possédé (physique)]])</f>
        <v>0</v>
      </c>
      <c r="I1109" t="str">
        <f>IF(Tableau1[[#This Row],[Manque (physique)]]&gt;Tableau1[[#This Row],[Manque (digital)]],"POD",IF(Tableau1[[#This Row],[Manque (digital)]]&gt;Tableau1[[#This Row],[Manque (physique)]],"MarketPlace",""))</f>
        <v>MarketPlace</v>
      </c>
      <c r="J1109" t="s">
        <v>30</v>
      </c>
      <c r="K1109" t="s">
        <v>481</v>
      </c>
      <c r="L1109" t="s">
        <v>23</v>
      </c>
      <c r="M1109" t="s">
        <v>19</v>
      </c>
      <c r="N1109" t="s">
        <v>89</v>
      </c>
      <c r="O1109" t="s">
        <v>52</v>
      </c>
      <c r="P1109" t="s">
        <v>89</v>
      </c>
      <c r="Q1109" t="s">
        <v>1417</v>
      </c>
    </row>
    <row r="1110" spans="1:17" hidden="1" x14ac:dyDescent="0.25">
      <c r="A1110" t="s">
        <v>1157</v>
      </c>
      <c r="B1110" t="s">
        <v>22</v>
      </c>
      <c r="C1110" t="s">
        <v>70</v>
      </c>
      <c r="D1110" t="s">
        <v>1156</v>
      </c>
      <c r="E1110">
        <v>3</v>
      </c>
      <c r="F1110">
        <f>MAX(-1,3-Tableau1[[#This Row],[Nb possédé (digital)]])</f>
        <v>0</v>
      </c>
      <c r="G1110">
        <v>3</v>
      </c>
      <c r="H1110">
        <f>MAX(-1,3-Tableau1[[#This Row],[Possédé (physique)]])</f>
        <v>0</v>
      </c>
      <c r="I1110" t="str">
        <f>IF(Tableau1[[#This Row],[Manque (physique)]]&gt;Tableau1[[#This Row],[Manque (digital)]],"POD",IF(Tableau1[[#This Row],[Manque (digital)]]&gt;Tableau1[[#This Row],[Manque (physique)]],"MarketPlace",""))</f>
        <v/>
      </c>
      <c r="J1110" t="s">
        <v>30</v>
      </c>
      <c r="K1110" t="s">
        <v>171</v>
      </c>
      <c r="L1110" t="s">
        <v>23</v>
      </c>
      <c r="M1110" t="s">
        <v>23</v>
      </c>
      <c r="N1110" t="s">
        <v>89</v>
      </c>
      <c r="O1110" t="s">
        <v>37</v>
      </c>
      <c r="P1110" t="s">
        <v>23</v>
      </c>
      <c r="Q1110" t="s">
        <v>1268</v>
      </c>
    </row>
    <row r="1111" spans="1:17" hidden="1" x14ac:dyDescent="0.25">
      <c r="A1111" t="s">
        <v>1175</v>
      </c>
      <c r="B1111" t="s">
        <v>22</v>
      </c>
      <c r="C1111" t="s">
        <v>70</v>
      </c>
      <c r="D1111" t="s">
        <v>1156</v>
      </c>
      <c r="E1111">
        <v>1</v>
      </c>
      <c r="F1111">
        <f>MAX(-1,3-Tableau1[[#This Row],[Nb possédé (digital)]])</f>
        <v>2</v>
      </c>
      <c r="G1111">
        <v>3</v>
      </c>
      <c r="H1111">
        <f>MAX(-1,3-Tableau1[[#This Row],[Possédé (physique)]])</f>
        <v>0</v>
      </c>
      <c r="I1111" t="str">
        <f>IF(Tableau1[[#This Row],[Manque (physique)]]&gt;Tableau1[[#This Row],[Manque (digital)]],"POD",IF(Tableau1[[#This Row],[Manque (digital)]]&gt;Tableau1[[#This Row],[Manque (physique)]],"MarketPlace",""))</f>
        <v>MarketPlace</v>
      </c>
      <c r="J1111" t="s">
        <v>30</v>
      </c>
      <c r="K1111" t="s">
        <v>51</v>
      </c>
      <c r="L1111" t="s">
        <v>23</v>
      </c>
      <c r="M1111" t="s">
        <v>23</v>
      </c>
      <c r="N1111" t="s">
        <v>37</v>
      </c>
      <c r="O1111" t="s">
        <v>37</v>
      </c>
      <c r="P1111" t="s">
        <v>37</v>
      </c>
      <c r="Q1111" t="s">
        <v>1309</v>
      </c>
    </row>
    <row r="1112" spans="1:17" hidden="1" x14ac:dyDescent="0.25">
      <c r="A1112" t="s">
        <v>1179</v>
      </c>
      <c r="B1112" t="s">
        <v>22</v>
      </c>
      <c r="C1112" t="s">
        <v>70</v>
      </c>
      <c r="D1112" t="s">
        <v>1156</v>
      </c>
      <c r="E1112">
        <v>1</v>
      </c>
      <c r="F1112">
        <f>MAX(-1,3-Tableau1[[#This Row],[Nb possédé (digital)]])</f>
        <v>2</v>
      </c>
      <c r="G1112">
        <v>3</v>
      </c>
      <c r="H1112">
        <f>MAX(-1,3-Tableau1[[#This Row],[Possédé (physique)]])</f>
        <v>0</v>
      </c>
      <c r="I1112" t="str">
        <f>IF(Tableau1[[#This Row],[Manque (physique)]]&gt;Tableau1[[#This Row],[Manque (digital)]],"POD",IF(Tableau1[[#This Row],[Manque (digital)]]&gt;Tableau1[[#This Row],[Manque (physique)]],"MarketPlace",""))</f>
        <v>MarketPlace</v>
      </c>
      <c r="J1112" t="s">
        <v>30</v>
      </c>
      <c r="K1112" t="s">
        <v>328</v>
      </c>
      <c r="L1112" t="s">
        <v>23</v>
      </c>
      <c r="M1112" t="s">
        <v>23</v>
      </c>
      <c r="N1112" t="s">
        <v>89</v>
      </c>
      <c r="O1112" t="s">
        <v>89</v>
      </c>
      <c r="P1112" t="s">
        <v>89</v>
      </c>
      <c r="Q1112" t="s">
        <v>1318</v>
      </c>
    </row>
    <row r="1113" spans="1:17" hidden="1" x14ac:dyDescent="0.25">
      <c r="A1113" t="s">
        <v>1196</v>
      </c>
      <c r="B1113" t="s">
        <v>22</v>
      </c>
      <c r="C1113" t="s">
        <v>70</v>
      </c>
      <c r="D1113" t="s">
        <v>1156</v>
      </c>
      <c r="E1113">
        <v>1</v>
      </c>
      <c r="F1113">
        <f>MAX(-1,3-Tableau1[[#This Row],[Nb possédé (digital)]])</f>
        <v>2</v>
      </c>
      <c r="G1113">
        <v>3</v>
      </c>
      <c r="H1113">
        <f>MAX(-1,3-Tableau1[[#This Row],[Possédé (physique)]])</f>
        <v>0</v>
      </c>
      <c r="I1113" t="str">
        <f>IF(Tableau1[[#This Row],[Manque (physique)]]&gt;Tableau1[[#This Row],[Manque (digital)]],"POD",IF(Tableau1[[#This Row],[Manque (digital)]]&gt;Tableau1[[#This Row],[Manque (physique)]],"MarketPlace",""))</f>
        <v>MarketPlace</v>
      </c>
      <c r="J1113" t="s">
        <v>30</v>
      </c>
      <c r="K1113" t="s">
        <v>83</v>
      </c>
      <c r="L1113" t="s">
        <v>23</v>
      </c>
      <c r="M1113" t="s">
        <v>23</v>
      </c>
      <c r="N1113" t="s">
        <v>23</v>
      </c>
      <c r="O1113" t="s">
        <v>19</v>
      </c>
      <c r="P1113" t="s">
        <v>19</v>
      </c>
      <c r="Q1113" t="s">
        <v>1351</v>
      </c>
    </row>
    <row r="1114" spans="1:17" hidden="1" x14ac:dyDescent="0.25">
      <c r="A1114" t="s">
        <v>1206</v>
      </c>
      <c r="B1114" t="s">
        <v>22</v>
      </c>
      <c r="C1114" t="s">
        <v>70</v>
      </c>
      <c r="D1114" t="s">
        <v>1156</v>
      </c>
      <c r="E1114">
        <v>1</v>
      </c>
      <c r="F1114">
        <f>MAX(-1,3-Tableau1[[#This Row],[Nb possédé (digital)]])</f>
        <v>2</v>
      </c>
      <c r="G1114">
        <v>3</v>
      </c>
      <c r="H1114">
        <f>MAX(-1,3-Tableau1[[#This Row],[Possédé (physique)]])</f>
        <v>0</v>
      </c>
      <c r="I1114" t="str">
        <f>IF(Tableau1[[#This Row],[Manque (physique)]]&gt;Tableau1[[#This Row],[Manque (digital)]],"POD",IF(Tableau1[[#This Row],[Manque (digital)]]&gt;Tableau1[[#This Row],[Manque (physique)]],"MarketPlace",""))</f>
        <v>MarketPlace</v>
      </c>
      <c r="J1114" t="s">
        <v>17</v>
      </c>
      <c r="K1114" t="s">
        <v>153</v>
      </c>
      <c r="L1114" t="s">
        <v>23</v>
      </c>
      <c r="M1114" t="s">
        <v>23</v>
      </c>
      <c r="Q1114" t="s">
        <v>1373</v>
      </c>
    </row>
    <row r="1115" spans="1:17" hidden="1" x14ac:dyDescent="0.25">
      <c r="A1115" t="s">
        <v>1208</v>
      </c>
      <c r="B1115" t="s">
        <v>22</v>
      </c>
      <c r="C1115" t="s">
        <v>70</v>
      </c>
      <c r="D1115" t="s">
        <v>1156</v>
      </c>
      <c r="E1115">
        <v>1</v>
      </c>
      <c r="F1115">
        <f>MAX(-1,3-Tableau1[[#This Row],[Nb possédé (digital)]])</f>
        <v>2</v>
      </c>
      <c r="G1115">
        <v>3</v>
      </c>
      <c r="H1115">
        <f>MAX(-1,3-Tableau1[[#This Row],[Possédé (physique)]])</f>
        <v>0</v>
      </c>
      <c r="I1115" t="str">
        <f>IF(Tableau1[[#This Row],[Manque (physique)]]&gt;Tableau1[[#This Row],[Manque (digital)]],"POD",IF(Tableau1[[#This Row],[Manque (digital)]]&gt;Tableau1[[#This Row],[Manque (physique)]],"MarketPlace",""))</f>
        <v>MarketPlace</v>
      </c>
      <c r="J1115" t="s">
        <v>17</v>
      </c>
      <c r="K1115" t="s">
        <v>153</v>
      </c>
      <c r="L1115" t="s">
        <v>23</v>
      </c>
      <c r="M1115" t="s">
        <v>23</v>
      </c>
      <c r="Q1115" t="s">
        <v>1376</v>
      </c>
    </row>
    <row r="1116" spans="1:17" hidden="1" x14ac:dyDescent="0.25">
      <c r="A1116" t="s">
        <v>1245</v>
      </c>
      <c r="B1116" t="s">
        <v>22</v>
      </c>
      <c r="C1116" t="s">
        <v>70</v>
      </c>
      <c r="D1116" t="s">
        <v>1156</v>
      </c>
      <c r="E1116">
        <v>2</v>
      </c>
      <c r="F1116">
        <f>MAX(-1,3-Tableau1[[#This Row],[Nb possédé (digital)]])</f>
        <v>1</v>
      </c>
      <c r="G1116">
        <v>3</v>
      </c>
      <c r="H1116">
        <f>MAX(-1,3-Tableau1[[#This Row],[Possédé (physique)]])</f>
        <v>0</v>
      </c>
      <c r="I1116" t="str">
        <f>IF(Tableau1[[#This Row],[Manque (physique)]]&gt;Tableau1[[#This Row],[Manque (digital)]],"POD",IF(Tableau1[[#This Row],[Manque (digital)]]&gt;Tableau1[[#This Row],[Manque (physique)]],"MarketPlace",""))</f>
        <v>MarketPlace</v>
      </c>
      <c r="J1116" t="s">
        <v>17</v>
      </c>
      <c r="K1116" t="s">
        <v>97</v>
      </c>
      <c r="L1116" t="s">
        <v>23</v>
      </c>
      <c r="M1116" t="s">
        <v>23</v>
      </c>
      <c r="Q1116" t="s">
        <v>1458</v>
      </c>
    </row>
    <row r="1117" spans="1:17" hidden="1" x14ac:dyDescent="0.25">
      <c r="A1117" t="s">
        <v>1246</v>
      </c>
      <c r="B1117" t="s">
        <v>22</v>
      </c>
      <c r="C1117" t="s">
        <v>70</v>
      </c>
      <c r="D1117" t="s">
        <v>1156</v>
      </c>
      <c r="E1117">
        <v>1</v>
      </c>
      <c r="F1117">
        <f>MAX(-1,3-Tableau1[[#This Row],[Nb possédé (digital)]])</f>
        <v>2</v>
      </c>
      <c r="G1117">
        <v>3</v>
      </c>
      <c r="H1117">
        <f>MAX(-1,3-Tableau1[[#This Row],[Possédé (physique)]])</f>
        <v>0</v>
      </c>
      <c r="I1117" t="str">
        <f>IF(Tableau1[[#This Row],[Manque (physique)]]&gt;Tableau1[[#This Row],[Manque (digital)]],"POD",IF(Tableau1[[#This Row],[Manque (digital)]]&gt;Tableau1[[#This Row],[Manque (physique)]],"MarketPlace",""))</f>
        <v>MarketPlace</v>
      </c>
      <c r="J1117" t="s">
        <v>17</v>
      </c>
      <c r="K1117" t="s">
        <v>97</v>
      </c>
      <c r="L1117" t="s">
        <v>23</v>
      </c>
      <c r="M1117" t="s">
        <v>23</v>
      </c>
      <c r="Q1117" t="s">
        <v>1460</v>
      </c>
    </row>
    <row r="1118" spans="1:17" hidden="1" x14ac:dyDescent="0.25">
      <c r="A1118" t="s">
        <v>1201</v>
      </c>
      <c r="B1118" t="s">
        <v>22</v>
      </c>
      <c r="C1118" t="s">
        <v>70</v>
      </c>
      <c r="D1118" t="s">
        <v>1156</v>
      </c>
      <c r="E1118">
        <v>1</v>
      </c>
      <c r="F1118">
        <f>MAX(-1,3-Tableau1[[#This Row],[Nb possédé (digital)]])</f>
        <v>2</v>
      </c>
      <c r="G1118">
        <v>3</v>
      </c>
      <c r="H1118">
        <f>MAX(-1,3-Tableau1[[#This Row],[Possédé (physique)]])</f>
        <v>0</v>
      </c>
      <c r="I1118" t="str">
        <f>IF(Tableau1[[#This Row],[Manque (physique)]]&gt;Tableau1[[#This Row],[Manque (digital)]],"POD",IF(Tableau1[[#This Row],[Manque (digital)]]&gt;Tableau1[[#This Row],[Manque (physique)]],"MarketPlace",""))</f>
        <v>MarketPlace</v>
      </c>
      <c r="J1118" t="s">
        <v>30</v>
      </c>
      <c r="K1118" t="s">
        <v>601</v>
      </c>
      <c r="L1118" t="s">
        <v>52</v>
      </c>
      <c r="M1118" t="s">
        <v>52</v>
      </c>
      <c r="N1118" t="s">
        <v>23</v>
      </c>
      <c r="O1118" t="s">
        <v>89</v>
      </c>
      <c r="P1118" t="s">
        <v>23</v>
      </c>
      <c r="Q1118" t="s">
        <v>1361</v>
      </c>
    </row>
    <row r="1119" spans="1:17" hidden="1" x14ac:dyDescent="0.25">
      <c r="A1119" t="s">
        <v>1202</v>
      </c>
      <c r="B1119" t="s">
        <v>22</v>
      </c>
      <c r="C1119" t="s">
        <v>70</v>
      </c>
      <c r="D1119" t="s">
        <v>1156</v>
      </c>
      <c r="E1119">
        <v>1</v>
      </c>
      <c r="F1119">
        <f>MAX(-1,3-Tableau1[[#This Row],[Nb possédé (digital)]])</f>
        <v>2</v>
      </c>
      <c r="G1119">
        <v>3</v>
      </c>
      <c r="H1119">
        <f>MAX(-1,3-Tableau1[[#This Row],[Possédé (physique)]])</f>
        <v>0</v>
      </c>
      <c r="I1119" t="str">
        <f>IF(Tableau1[[#This Row],[Manque (physique)]]&gt;Tableau1[[#This Row],[Manque (digital)]],"POD",IF(Tableau1[[#This Row],[Manque (digital)]]&gt;Tableau1[[#This Row],[Manque (physique)]],"MarketPlace",""))</f>
        <v>MarketPlace</v>
      </c>
      <c r="J1119" t="s">
        <v>268</v>
      </c>
      <c r="K1119" t="s">
        <v>269</v>
      </c>
      <c r="L1119" t="s">
        <v>52</v>
      </c>
      <c r="M1119" t="s">
        <v>52</v>
      </c>
      <c r="Q1119" t="s">
        <v>1364</v>
      </c>
    </row>
    <row r="1120" spans="1:17" hidden="1" x14ac:dyDescent="0.25">
      <c r="A1120" t="s">
        <v>1235</v>
      </c>
      <c r="B1120" t="s">
        <v>22</v>
      </c>
      <c r="C1120" t="s">
        <v>70</v>
      </c>
      <c r="D1120" t="s">
        <v>1156</v>
      </c>
      <c r="E1120">
        <v>1</v>
      </c>
      <c r="F1120">
        <f>MAX(-1,3-Tableau1[[#This Row],[Nb possédé (digital)]])</f>
        <v>2</v>
      </c>
      <c r="G1120">
        <v>3</v>
      </c>
      <c r="H1120">
        <f>MAX(-1,3-Tableau1[[#This Row],[Possédé (physique)]])</f>
        <v>0</v>
      </c>
      <c r="I1120" t="str">
        <f>IF(Tableau1[[#This Row],[Manque (physique)]]&gt;Tableau1[[#This Row],[Manque (digital)]],"POD",IF(Tableau1[[#This Row],[Manque (digital)]]&gt;Tableau1[[#This Row],[Manque (physique)]],"MarketPlace",""))</f>
        <v>MarketPlace</v>
      </c>
      <c r="J1120" t="s">
        <v>17</v>
      </c>
      <c r="K1120" t="s">
        <v>153</v>
      </c>
      <c r="L1120" t="s">
        <v>52</v>
      </c>
      <c r="M1120" t="s">
        <v>52</v>
      </c>
      <c r="Q1120" t="s">
        <v>1434</v>
      </c>
    </row>
    <row r="1121" spans="1:17" hidden="1" x14ac:dyDescent="0.25">
      <c r="A1121" t="s">
        <v>1213</v>
      </c>
      <c r="B1121" t="s">
        <v>22</v>
      </c>
      <c r="C1121" t="s">
        <v>70</v>
      </c>
      <c r="D1121" t="s">
        <v>1156</v>
      </c>
      <c r="E1121">
        <v>1</v>
      </c>
      <c r="F1121">
        <f>MAX(-1,3-Tableau1[[#This Row],[Nb possédé (digital)]])</f>
        <v>2</v>
      </c>
      <c r="G1121">
        <v>3</v>
      </c>
      <c r="H1121">
        <f>MAX(-1,3-Tableau1[[#This Row],[Possédé (physique)]])</f>
        <v>0</v>
      </c>
      <c r="I1121" t="str">
        <f>IF(Tableau1[[#This Row],[Manque (physique)]]&gt;Tableau1[[#This Row],[Manque (digital)]],"POD",IF(Tableau1[[#This Row],[Manque (digital)]]&gt;Tableau1[[#This Row],[Manque (physique)]],"MarketPlace",""))</f>
        <v>MarketPlace</v>
      </c>
      <c r="J1121" t="s">
        <v>30</v>
      </c>
      <c r="K1121" t="s">
        <v>601</v>
      </c>
      <c r="L1121" t="s">
        <v>37</v>
      </c>
      <c r="M1121" t="s">
        <v>52</v>
      </c>
      <c r="N1121" t="s">
        <v>19</v>
      </c>
      <c r="O1121" t="s">
        <v>19</v>
      </c>
      <c r="P1121" t="s">
        <v>19</v>
      </c>
      <c r="Q1121" t="s">
        <v>1384</v>
      </c>
    </row>
    <row r="1122" spans="1:17" hidden="1" x14ac:dyDescent="0.25">
      <c r="A1122" t="s">
        <v>1265</v>
      </c>
      <c r="B1122" t="s">
        <v>22</v>
      </c>
      <c r="C1122" t="s">
        <v>70</v>
      </c>
      <c r="D1122" t="s">
        <v>1156</v>
      </c>
      <c r="E1122">
        <v>0</v>
      </c>
      <c r="F1122">
        <f>MAX(-1,3-Tableau1[[#This Row],[Nb possédé (digital)]])</f>
        <v>3</v>
      </c>
      <c r="G1122">
        <v>3</v>
      </c>
      <c r="H1122">
        <f>MAX(-1,3-Tableau1[[#This Row],[Possédé (physique)]])</f>
        <v>0</v>
      </c>
      <c r="I1122" t="str">
        <f>IF(Tableau1[[#This Row],[Manque (physique)]]&gt;Tableau1[[#This Row],[Manque (digital)]],"POD",IF(Tableau1[[#This Row],[Manque (digital)]]&gt;Tableau1[[#This Row],[Manque (physique)]],"MarketPlace",""))</f>
        <v>MarketPlace</v>
      </c>
      <c r="J1122" t="s">
        <v>30</v>
      </c>
      <c r="K1122" t="s">
        <v>51</v>
      </c>
      <c r="L1122" t="s">
        <v>37</v>
      </c>
      <c r="M1122" t="s">
        <v>37</v>
      </c>
      <c r="N1122" t="s">
        <v>37</v>
      </c>
      <c r="O1122" t="s">
        <v>37</v>
      </c>
      <c r="P1122" t="s">
        <v>37</v>
      </c>
      <c r="Q1122" t="s">
        <v>1494</v>
      </c>
    </row>
    <row r="1123" spans="1:17" hidden="1" x14ac:dyDescent="0.25">
      <c r="A1123" t="s">
        <v>1255</v>
      </c>
      <c r="B1123" t="s">
        <v>22</v>
      </c>
      <c r="C1123" t="s">
        <v>70</v>
      </c>
      <c r="D1123" t="s">
        <v>1156</v>
      </c>
      <c r="E1123">
        <v>2</v>
      </c>
      <c r="F1123">
        <f>MAX(-1,3-Tableau1[[#This Row],[Nb possédé (digital)]])</f>
        <v>1</v>
      </c>
      <c r="G1123">
        <v>3</v>
      </c>
      <c r="H1123">
        <f>MAX(-1,3-Tableau1[[#This Row],[Possédé (physique)]])</f>
        <v>0</v>
      </c>
      <c r="I1123" t="str">
        <f>IF(Tableau1[[#This Row],[Manque (physique)]]&gt;Tableau1[[#This Row],[Manque (digital)]],"POD",IF(Tableau1[[#This Row],[Manque (digital)]]&gt;Tableau1[[#This Row],[Manque (physique)]],"MarketPlace",""))</f>
        <v>MarketPlace</v>
      </c>
      <c r="J1123" t="s">
        <v>17</v>
      </c>
      <c r="K1123" t="s">
        <v>201</v>
      </c>
      <c r="L1123" t="s">
        <v>39</v>
      </c>
      <c r="M1123" t="s">
        <v>39</v>
      </c>
      <c r="Q1123" t="s">
        <v>1476</v>
      </c>
    </row>
    <row r="1124" spans="1:17" hidden="1" x14ac:dyDescent="0.25">
      <c r="A1124" t="s">
        <v>1187</v>
      </c>
      <c r="B1124" t="s">
        <v>22</v>
      </c>
      <c r="C1124" t="s">
        <v>70</v>
      </c>
      <c r="D1124" t="s">
        <v>1156</v>
      </c>
      <c r="E1124">
        <v>1</v>
      </c>
      <c r="F1124">
        <f>MAX(-1,3-Tableau1[[#This Row],[Nb possédé (digital)]])</f>
        <v>2</v>
      </c>
      <c r="G1124">
        <v>3</v>
      </c>
      <c r="H1124">
        <f>MAX(-1,3-Tableau1[[#This Row],[Possédé (physique)]])</f>
        <v>0</v>
      </c>
      <c r="I1124" t="str">
        <f>IF(Tableau1[[#This Row],[Manque (physique)]]&gt;Tableau1[[#This Row],[Manque (digital)]],"POD",IF(Tableau1[[#This Row],[Manque (digital)]]&gt;Tableau1[[#This Row],[Manque (physique)]],"MarketPlace",""))</f>
        <v>MarketPlace</v>
      </c>
      <c r="J1124" t="s">
        <v>17</v>
      </c>
      <c r="K1124" t="s">
        <v>201</v>
      </c>
      <c r="L1124" t="s">
        <v>101</v>
      </c>
      <c r="M1124" t="s">
        <v>101</v>
      </c>
      <c r="Q1124" t="s">
        <v>1333</v>
      </c>
    </row>
    <row r="1125" spans="1:17" hidden="1" x14ac:dyDescent="0.25">
      <c r="A1125" t="s">
        <v>400</v>
      </c>
      <c r="B1125" t="s">
        <v>22</v>
      </c>
      <c r="C1125" t="s">
        <v>15</v>
      </c>
      <c r="D1125" t="s">
        <v>16</v>
      </c>
      <c r="E1125">
        <v>3</v>
      </c>
      <c r="F1125">
        <f>MAX(-1,3-Tableau1[[#This Row],[Nb possédé (digital)]])</f>
        <v>0</v>
      </c>
      <c r="G1125">
        <v>3</v>
      </c>
      <c r="H1125">
        <f>MAX(-1,3-Tableau1[[#This Row],[Possédé (physique)]])</f>
        <v>0</v>
      </c>
      <c r="I1125" t="str">
        <f>IF(Tableau1[[#This Row],[Manque (physique)]]&gt;Tableau1[[#This Row],[Manque (digital)]],"POD",IF(Tableau1[[#This Row],[Manque (digital)]]&gt;Tableau1[[#This Row],[Manque (physique)]],"MarketPlace",""))</f>
        <v/>
      </c>
      <c r="J1125" t="s">
        <v>17</v>
      </c>
      <c r="K1125" t="s">
        <v>189</v>
      </c>
      <c r="L1125" t="s">
        <v>20</v>
      </c>
      <c r="M1125" t="s">
        <v>20</v>
      </c>
      <c r="Q1125" t="s">
        <v>401</v>
      </c>
    </row>
    <row r="1126" spans="1:17" hidden="1" x14ac:dyDescent="0.25">
      <c r="A1126" t="s">
        <v>1013</v>
      </c>
      <c r="B1126" t="s">
        <v>22</v>
      </c>
      <c r="C1126" t="s">
        <v>15</v>
      </c>
      <c r="D1126" t="s">
        <v>16</v>
      </c>
      <c r="E1126">
        <v>3</v>
      </c>
      <c r="F1126">
        <f>MAX(-1,3-Tableau1[[#This Row],[Nb possédé (digital)]])</f>
        <v>0</v>
      </c>
      <c r="G1126">
        <v>3</v>
      </c>
      <c r="H1126">
        <f>MAX(-1,3-Tableau1[[#This Row],[Possédé (physique)]])</f>
        <v>0</v>
      </c>
      <c r="I1126" t="str">
        <f>IF(Tableau1[[#This Row],[Manque (physique)]]&gt;Tableau1[[#This Row],[Manque (digital)]],"POD",IF(Tableau1[[#This Row],[Manque (digital)]]&gt;Tableau1[[#This Row],[Manque (physique)]],"MarketPlace",""))</f>
        <v/>
      </c>
      <c r="J1126" t="s">
        <v>30</v>
      </c>
      <c r="K1126" t="s">
        <v>358</v>
      </c>
      <c r="L1126" t="s">
        <v>20</v>
      </c>
      <c r="M1126" t="s">
        <v>20</v>
      </c>
      <c r="N1126" t="s">
        <v>20</v>
      </c>
      <c r="O1126" t="s">
        <v>19</v>
      </c>
      <c r="P1126" t="s">
        <v>89</v>
      </c>
      <c r="Q1126" t="s">
        <v>359</v>
      </c>
    </row>
    <row r="1127" spans="1:17" x14ac:dyDescent="0.25">
      <c r="A1127" t="s">
        <v>1109</v>
      </c>
      <c r="B1127" t="s">
        <v>22</v>
      </c>
      <c r="C1127" t="s">
        <v>15</v>
      </c>
      <c r="D1127" t="s">
        <v>16</v>
      </c>
      <c r="E1127">
        <v>4</v>
      </c>
      <c r="F1127">
        <f>MAX(-1,3-Tableau1[[#This Row],[Nb possédé (digital)]])</f>
        <v>-1</v>
      </c>
      <c r="G1127">
        <v>4</v>
      </c>
      <c r="H1127">
        <f>MAX(-1,3-Tableau1[[#This Row],[Possédé (physique)]])</f>
        <v>-1</v>
      </c>
      <c r="I1127" t="str">
        <f>IF(Tableau1[[#This Row],[Manque (physique)]]&gt;Tableau1[[#This Row],[Manque (digital)]],"POD",IF(Tableau1[[#This Row],[Manque (digital)]]&gt;Tableau1[[#This Row],[Manque (physique)]],"MarketPlace",""))</f>
        <v/>
      </c>
      <c r="J1127" t="s">
        <v>30</v>
      </c>
      <c r="K1127" t="s">
        <v>179</v>
      </c>
      <c r="L1127" t="s">
        <v>20</v>
      </c>
      <c r="M1127" t="s">
        <v>20</v>
      </c>
      <c r="N1127" t="s">
        <v>20</v>
      </c>
      <c r="O1127" t="s">
        <v>89</v>
      </c>
      <c r="P1127" t="s">
        <v>89</v>
      </c>
      <c r="Q1127" t="s">
        <v>1110</v>
      </c>
    </row>
    <row r="1128" spans="1:17" hidden="1" x14ac:dyDescent="0.25">
      <c r="A1128" t="s">
        <v>589</v>
      </c>
      <c r="B1128" t="s">
        <v>22</v>
      </c>
      <c r="C1128" t="s">
        <v>15</v>
      </c>
      <c r="D1128" t="s">
        <v>16</v>
      </c>
      <c r="E1128">
        <v>3</v>
      </c>
      <c r="F1128">
        <f>MAX(-1,3-Tableau1[[#This Row],[Nb possédé (digital)]])</f>
        <v>0</v>
      </c>
      <c r="G1128">
        <v>3</v>
      </c>
      <c r="H1128">
        <f>MAX(-1,3-Tableau1[[#This Row],[Possédé (physique)]])</f>
        <v>0</v>
      </c>
      <c r="I1128" t="str">
        <f>IF(Tableau1[[#This Row],[Manque (physique)]]&gt;Tableau1[[#This Row],[Manque (digital)]],"POD",IF(Tableau1[[#This Row],[Manque (digital)]]&gt;Tableau1[[#This Row],[Manque (physique)]],"MarketPlace",""))</f>
        <v/>
      </c>
      <c r="J1128" t="s">
        <v>30</v>
      </c>
      <c r="K1128" t="s">
        <v>83</v>
      </c>
      <c r="L1128" t="s">
        <v>20</v>
      </c>
      <c r="M1128" t="s">
        <v>19</v>
      </c>
      <c r="N1128" t="s">
        <v>89</v>
      </c>
      <c r="O1128" t="s">
        <v>89</v>
      </c>
      <c r="P1128" t="s">
        <v>19</v>
      </c>
      <c r="Q1128" t="s">
        <v>590</v>
      </c>
    </row>
    <row r="1129" spans="1:17" hidden="1" x14ac:dyDescent="0.25">
      <c r="A1129" t="s">
        <v>1014</v>
      </c>
      <c r="B1129" t="s">
        <v>22</v>
      </c>
      <c r="C1129" t="s">
        <v>15</v>
      </c>
      <c r="D1129" t="s">
        <v>16</v>
      </c>
      <c r="E1129">
        <v>3</v>
      </c>
      <c r="F1129">
        <f>MAX(-1,3-Tableau1[[#This Row],[Nb possédé (digital)]])</f>
        <v>0</v>
      </c>
      <c r="G1129">
        <v>3</v>
      </c>
      <c r="H1129">
        <f>MAX(-1,3-Tableau1[[#This Row],[Possédé (physique)]])</f>
        <v>0</v>
      </c>
      <c r="I1129" t="str">
        <f>IF(Tableau1[[#This Row],[Manque (physique)]]&gt;Tableau1[[#This Row],[Manque (digital)]],"POD",IF(Tableau1[[#This Row],[Manque (digital)]]&gt;Tableau1[[#This Row],[Manque (physique)]],"MarketPlace",""))</f>
        <v/>
      </c>
      <c r="J1129" t="s">
        <v>17</v>
      </c>
      <c r="K1129" t="s">
        <v>153</v>
      </c>
      <c r="L1129" t="s">
        <v>20</v>
      </c>
      <c r="M1129" t="s">
        <v>23</v>
      </c>
      <c r="Q1129" t="s">
        <v>1016</v>
      </c>
    </row>
    <row r="1130" spans="1:17" hidden="1" x14ac:dyDescent="0.25">
      <c r="A1130" t="s">
        <v>805</v>
      </c>
      <c r="B1130" t="s">
        <v>22</v>
      </c>
      <c r="C1130" t="s">
        <v>15</v>
      </c>
      <c r="D1130" t="s">
        <v>16</v>
      </c>
      <c r="E1130">
        <v>3</v>
      </c>
      <c r="F1130">
        <f>MAX(-1,3-Tableau1[[#This Row],[Nb possédé (digital)]])</f>
        <v>0</v>
      </c>
      <c r="G1130">
        <v>3</v>
      </c>
      <c r="H1130">
        <f>MAX(-1,3-Tableau1[[#This Row],[Possédé (physique)]])</f>
        <v>0</v>
      </c>
      <c r="I1130" t="str">
        <f>IF(Tableau1[[#This Row],[Manque (physique)]]&gt;Tableau1[[#This Row],[Manque (digital)]],"POD",IF(Tableau1[[#This Row],[Manque (digital)]]&gt;Tableau1[[#This Row],[Manque (physique)]],"MarketPlace",""))</f>
        <v/>
      </c>
      <c r="J1130" t="s">
        <v>30</v>
      </c>
      <c r="K1130" t="s">
        <v>358</v>
      </c>
      <c r="L1130" t="s">
        <v>19</v>
      </c>
      <c r="M1130" t="s">
        <v>20</v>
      </c>
      <c r="N1130" t="s">
        <v>23</v>
      </c>
      <c r="O1130" t="s">
        <v>89</v>
      </c>
      <c r="P1130" t="s">
        <v>89</v>
      </c>
      <c r="Q1130" t="s">
        <v>359</v>
      </c>
    </row>
    <row r="1131" spans="1:17" hidden="1" x14ac:dyDescent="0.25">
      <c r="A1131" t="s">
        <v>229</v>
      </c>
      <c r="B1131" t="s">
        <v>22</v>
      </c>
      <c r="C1131" t="s">
        <v>15</v>
      </c>
      <c r="D1131" t="s">
        <v>16</v>
      </c>
      <c r="E1131">
        <v>3</v>
      </c>
      <c r="F1131">
        <f>MAX(-1,3-Tableau1[[#This Row],[Nb possédé (digital)]])</f>
        <v>0</v>
      </c>
      <c r="G1131">
        <v>3</v>
      </c>
      <c r="H1131">
        <f>MAX(-1,3-Tableau1[[#This Row],[Possédé (physique)]])</f>
        <v>0</v>
      </c>
      <c r="I1131" t="str">
        <f>IF(Tableau1[[#This Row],[Manque (physique)]]&gt;Tableau1[[#This Row],[Manque (digital)]],"POD",IF(Tableau1[[#This Row],[Manque (digital)]]&gt;Tableau1[[#This Row],[Manque (physique)]],"MarketPlace",""))</f>
        <v/>
      </c>
      <c r="J1131" t="s">
        <v>17</v>
      </c>
      <c r="K1131" t="s">
        <v>97</v>
      </c>
      <c r="L1131" t="s">
        <v>19</v>
      </c>
      <c r="M1131" t="s">
        <v>19</v>
      </c>
      <c r="Q1131" t="s">
        <v>230</v>
      </c>
    </row>
    <row r="1132" spans="1:17" hidden="1" x14ac:dyDescent="0.25">
      <c r="A1132" t="s">
        <v>240</v>
      </c>
      <c r="B1132" t="s">
        <v>22</v>
      </c>
      <c r="C1132" t="s">
        <v>15</v>
      </c>
      <c r="D1132" t="s">
        <v>16</v>
      </c>
      <c r="E1132">
        <v>3</v>
      </c>
      <c r="F1132">
        <f>MAX(-1,3-Tableau1[[#This Row],[Nb possédé (digital)]])</f>
        <v>0</v>
      </c>
      <c r="G1132">
        <v>3</v>
      </c>
      <c r="H1132">
        <f>MAX(-1,3-Tableau1[[#This Row],[Possédé (physique)]])</f>
        <v>0</v>
      </c>
      <c r="I1132" t="str">
        <f>IF(Tableau1[[#This Row],[Manque (physique)]]&gt;Tableau1[[#This Row],[Manque (digital)]],"POD",IF(Tableau1[[#This Row],[Manque (digital)]]&gt;Tableau1[[#This Row],[Manque (physique)]],"MarketPlace",""))</f>
        <v/>
      </c>
      <c r="J1132" t="s">
        <v>30</v>
      </c>
      <c r="K1132" t="s">
        <v>72</v>
      </c>
      <c r="L1132" t="s">
        <v>19</v>
      </c>
      <c r="M1132" t="s">
        <v>19</v>
      </c>
      <c r="N1132" t="s">
        <v>20</v>
      </c>
      <c r="O1132" t="s">
        <v>20</v>
      </c>
      <c r="P1132" t="s">
        <v>20</v>
      </c>
      <c r="Q1132" t="s">
        <v>242</v>
      </c>
    </row>
    <row r="1133" spans="1:17" hidden="1" x14ac:dyDescent="0.25">
      <c r="A1133" t="s">
        <v>251</v>
      </c>
      <c r="B1133" t="s">
        <v>22</v>
      </c>
      <c r="C1133" t="s">
        <v>15</v>
      </c>
      <c r="D1133" t="s">
        <v>16</v>
      </c>
      <c r="E1133">
        <v>3</v>
      </c>
      <c r="F1133">
        <f>MAX(-1,3-Tableau1[[#This Row],[Nb possédé (digital)]])</f>
        <v>0</v>
      </c>
      <c r="G1133">
        <v>3</v>
      </c>
      <c r="H1133">
        <f>MAX(-1,3-Tableau1[[#This Row],[Possédé (physique)]])</f>
        <v>0</v>
      </c>
      <c r="I1133" t="str">
        <f>IF(Tableau1[[#This Row],[Manque (physique)]]&gt;Tableau1[[#This Row],[Manque (digital)]],"POD",IF(Tableau1[[#This Row],[Manque (digital)]]&gt;Tableau1[[#This Row],[Manque (physique)]],"MarketPlace",""))</f>
        <v/>
      </c>
      <c r="J1133" t="s">
        <v>30</v>
      </c>
      <c r="K1133" t="s">
        <v>252</v>
      </c>
      <c r="L1133" t="s">
        <v>19</v>
      </c>
      <c r="M1133" t="s">
        <v>19</v>
      </c>
      <c r="N1133" t="s">
        <v>20</v>
      </c>
      <c r="O1133" t="s">
        <v>89</v>
      </c>
      <c r="P1133" t="s">
        <v>89</v>
      </c>
      <c r="Q1133" t="s">
        <v>254</v>
      </c>
    </row>
    <row r="1134" spans="1:17" hidden="1" x14ac:dyDescent="0.25">
      <c r="A1134" t="s">
        <v>282</v>
      </c>
      <c r="B1134" t="s">
        <v>22</v>
      </c>
      <c r="C1134" t="s">
        <v>15</v>
      </c>
      <c r="D1134" t="s">
        <v>16</v>
      </c>
      <c r="E1134">
        <v>3</v>
      </c>
      <c r="F1134">
        <f>MAX(-1,3-Tableau1[[#This Row],[Nb possédé (digital)]])</f>
        <v>0</v>
      </c>
      <c r="G1134">
        <v>3</v>
      </c>
      <c r="H1134">
        <f>MAX(-1,3-Tableau1[[#This Row],[Possédé (physique)]])</f>
        <v>0</v>
      </c>
      <c r="I1134" t="str">
        <f>IF(Tableau1[[#This Row],[Manque (physique)]]&gt;Tableau1[[#This Row],[Manque (digital)]],"POD",IF(Tableau1[[#This Row],[Manque (digital)]]&gt;Tableau1[[#This Row],[Manque (physique)]],"MarketPlace",""))</f>
        <v/>
      </c>
      <c r="J1134" t="s">
        <v>30</v>
      </c>
      <c r="K1134" t="s">
        <v>171</v>
      </c>
      <c r="L1134" t="s">
        <v>19</v>
      </c>
      <c r="M1134" t="s">
        <v>19</v>
      </c>
      <c r="N1134" t="s">
        <v>19</v>
      </c>
      <c r="O1134" t="s">
        <v>19</v>
      </c>
      <c r="P1134" t="s">
        <v>19</v>
      </c>
      <c r="Q1134" t="s">
        <v>285</v>
      </c>
    </row>
    <row r="1135" spans="1:17" hidden="1" x14ac:dyDescent="0.25">
      <c r="A1135" t="s">
        <v>291</v>
      </c>
      <c r="B1135" t="s">
        <v>22</v>
      </c>
      <c r="C1135" t="s">
        <v>15</v>
      </c>
      <c r="D1135" t="s">
        <v>16</v>
      </c>
      <c r="E1135">
        <v>3</v>
      </c>
      <c r="F1135">
        <f>MAX(-1,3-Tableau1[[#This Row],[Nb possédé (digital)]])</f>
        <v>0</v>
      </c>
      <c r="G1135">
        <v>3</v>
      </c>
      <c r="H1135">
        <f>MAX(-1,3-Tableau1[[#This Row],[Possédé (physique)]])</f>
        <v>0</v>
      </c>
      <c r="I1135" t="str">
        <f>IF(Tableau1[[#This Row],[Manque (physique)]]&gt;Tableau1[[#This Row],[Manque (digital)]],"POD",IF(Tableau1[[#This Row],[Manque (digital)]]&gt;Tableau1[[#This Row],[Manque (physique)]],"MarketPlace",""))</f>
        <v/>
      </c>
      <c r="J1135" t="s">
        <v>30</v>
      </c>
      <c r="K1135" t="s">
        <v>292</v>
      </c>
      <c r="L1135" t="s">
        <v>19</v>
      </c>
      <c r="M1135" t="s">
        <v>19</v>
      </c>
      <c r="N1135" t="s">
        <v>23</v>
      </c>
      <c r="O1135" t="s">
        <v>23</v>
      </c>
      <c r="P1135" t="s">
        <v>89</v>
      </c>
      <c r="Q1135" t="s">
        <v>293</v>
      </c>
    </row>
    <row r="1136" spans="1:17" hidden="1" x14ac:dyDescent="0.25">
      <c r="A1136" t="s">
        <v>1136</v>
      </c>
      <c r="B1136" t="s">
        <v>22</v>
      </c>
      <c r="C1136" t="s">
        <v>15</v>
      </c>
      <c r="D1136" t="s">
        <v>16</v>
      </c>
      <c r="E1136">
        <v>3</v>
      </c>
      <c r="F1136">
        <f>MAX(-1,3-Tableau1[[#This Row],[Nb possédé (digital)]])</f>
        <v>0</v>
      </c>
      <c r="G1136">
        <v>3</v>
      </c>
      <c r="H1136">
        <f>MAX(-1,3-Tableau1[[#This Row],[Possédé (physique)]])</f>
        <v>0</v>
      </c>
      <c r="I1136" t="str">
        <f>IF(Tableau1[[#This Row],[Manque (physique)]]&gt;Tableau1[[#This Row],[Manque (digital)]],"POD",IF(Tableau1[[#This Row],[Manque (digital)]]&gt;Tableau1[[#This Row],[Manque (physique)]],"MarketPlace",""))</f>
        <v/>
      </c>
      <c r="J1136" t="s">
        <v>30</v>
      </c>
      <c r="K1136" t="s">
        <v>328</v>
      </c>
      <c r="L1136" t="s">
        <v>19</v>
      </c>
      <c r="M1136" t="s">
        <v>19</v>
      </c>
      <c r="N1136" t="s">
        <v>20</v>
      </c>
      <c r="O1136" t="s">
        <v>23</v>
      </c>
      <c r="P1136" t="s">
        <v>23</v>
      </c>
      <c r="Q1136" t="s">
        <v>1138</v>
      </c>
    </row>
    <row r="1137" spans="1:17" hidden="1" x14ac:dyDescent="0.25">
      <c r="A1137" t="s">
        <v>415</v>
      </c>
      <c r="B1137" t="s">
        <v>22</v>
      </c>
      <c r="C1137" t="s">
        <v>15</v>
      </c>
      <c r="D1137" t="s">
        <v>16</v>
      </c>
      <c r="E1137">
        <v>3</v>
      </c>
      <c r="F1137">
        <f>MAX(-1,3-Tableau1[[#This Row],[Nb possédé (digital)]])</f>
        <v>0</v>
      </c>
      <c r="G1137">
        <v>3</v>
      </c>
      <c r="H1137">
        <f>MAX(-1,3-Tableau1[[#This Row],[Possédé (physique)]])</f>
        <v>0</v>
      </c>
      <c r="I1137" t="str">
        <f>IF(Tableau1[[#This Row],[Manque (physique)]]&gt;Tableau1[[#This Row],[Manque (digital)]],"POD",IF(Tableau1[[#This Row],[Manque (digital)]]&gt;Tableau1[[#This Row],[Manque (physique)]],"MarketPlace",""))</f>
        <v/>
      </c>
      <c r="J1137" t="s">
        <v>17</v>
      </c>
      <c r="K1137" t="s">
        <v>18</v>
      </c>
      <c r="L1137" t="s">
        <v>19</v>
      </c>
      <c r="M1137" t="s">
        <v>19</v>
      </c>
      <c r="Q1137" t="s">
        <v>417</v>
      </c>
    </row>
    <row r="1138" spans="1:17" hidden="1" x14ac:dyDescent="0.25">
      <c r="A1138" t="s">
        <v>405</v>
      </c>
      <c r="B1138" t="s">
        <v>22</v>
      </c>
      <c r="C1138" t="s">
        <v>15</v>
      </c>
      <c r="D1138" t="s">
        <v>16</v>
      </c>
      <c r="E1138">
        <v>3</v>
      </c>
      <c r="F1138">
        <f>MAX(-1,3-Tableau1[[#This Row],[Nb possédé (digital)]])</f>
        <v>0</v>
      </c>
      <c r="G1138">
        <v>3</v>
      </c>
      <c r="H1138">
        <f>MAX(-1,3-Tableau1[[#This Row],[Possédé (physique)]])</f>
        <v>0</v>
      </c>
      <c r="I1138" t="str">
        <f>IF(Tableau1[[#This Row],[Manque (physique)]]&gt;Tableau1[[#This Row],[Manque (digital)]],"POD",IF(Tableau1[[#This Row],[Manque (digital)]]&gt;Tableau1[[#This Row],[Manque (physique)]],"MarketPlace",""))</f>
        <v/>
      </c>
      <c r="J1138" t="s">
        <v>17</v>
      </c>
      <c r="K1138" t="s">
        <v>18</v>
      </c>
      <c r="L1138" t="s">
        <v>19</v>
      </c>
      <c r="M1138" t="s">
        <v>19</v>
      </c>
      <c r="Q1138" t="s">
        <v>408</v>
      </c>
    </row>
    <row r="1139" spans="1:17" hidden="1" x14ac:dyDescent="0.25">
      <c r="A1139" t="s">
        <v>1142</v>
      </c>
      <c r="B1139" t="s">
        <v>22</v>
      </c>
      <c r="C1139" t="s">
        <v>15</v>
      </c>
      <c r="D1139" t="s">
        <v>16</v>
      </c>
      <c r="E1139">
        <v>3</v>
      </c>
      <c r="F1139">
        <f>MAX(-1,3-Tableau1[[#This Row],[Nb possédé (digital)]])</f>
        <v>0</v>
      </c>
      <c r="G1139">
        <v>3</v>
      </c>
      <c r="H1139">
        <f>MAX(-1,3-Tableau1[[#This Row],[Possédé (physique)]])</f>
        <v>0</v>
      </c>
      <c r="I1139" t="str">
        <f>IF(Tableau1[[#This Row],[Manque (physique)]]&gt;Tableau1[[#This Row],[Manque (digital)]],"POD",IF(Tableau1[[#This Row],[Manque (digital)]]&gt;Tableau1[[#This Row],[Manque (physique)]],"MarketPlace",""))</f>
        <v/>
      </c>
      <c r="J1139" t="s">
        <v>17</v>
      </c>
      <c r="K1139" t="s">
        <v>153</v>
      </c>
      <c r="L1139" t="s">
        <v>19</v>
      </c>
      <c r="M1139" t="s">
        <v>19</v>
      </c>
      <c r="Q1139" t="s">
        <v>1143</v>
      </c>
    </row>
    <row r="1140" spans="1:17" hidden="1" x14ac:dyDescent="0.25">
      <c r="A1140" t="s">
        <v>418</v>
      </c>
      <c r="B1140" t="s">
        <v>22</v>
      </c>
      <c r="C1140" t="s">
        <v>15</v>
      </c>
      <c r="D1140" t="s">
        <v>16</v>
      </c>
      <c r="E1140">
        <v>3</v>
      </c>
      <c r="F1140">
        <f>MAX(-1,3-Tableau1[[#This Row],[Nb possédé (digital)]])</f>
        <v>0</v>
      </c>
      <c r="G1140">
        <v>3</v>
      </c>
      <c r="H1140">
        <f>MAX(-1,3-Tableau1[[#This Row],[Possédé (physique)]])</f>
        <v>0</v>
      </c>
      <c r="I1140" t="str">
        <f>IF(Tableau1[[#This Row],[Manque (physique)]]&gt;Tableau1[[#This Row],[Manque (digital)]],"POD",IF(Tableau1[[#This Row],[Manque (digital)]]&gt;Tableau1[[#This Row],[Manque (physique)]],"MarketPlace",""))</f>
        <v/>
      </c>
      <c r="J1140" t="s">
        <v>30</v>
      </c>
      <c r="K1140" t="s">
        <v>171</v>
      </c>
      <c r="L1140" t="s">
        <v>19</v>
      </c>
      <c r="M1140" t="s">
        <v>19</v>
      </c>
      <c r="N1140" t="s">
        <v>89</v>
      </c>
      <c r="O1140" t="s">
        <v>19</v>
      </c>
      <c r="P1140" t="s">
        <v>19</v>
      </c>
      <c r="Q1140" t="s">
        <v>419</v>
      </c>
    </row>
    <row r="1141" spans="1:17" hidden="1" x14ac:dyDescent="0.25">
      <c r="A1141" t="s">
        <v>610</v>
      </c>
      <c r="B1141" t="s">
        <v>22</v>
      </c>
      <c r="C1141" t="s">
        <v>15</v>
      </c>
      <c r="D1141" t="s">
        <v>16</v>
      </c>
      <c r="E1141">
        <v>3</v>
      </c>
      <c r="F1141">
        <f>MAX(-1,3-Tableau1[[#This Row],[Nb possédé (digital)]])</f>
        <v>0</v>
      </c>
      <c r="G1141">
        <v>3</v>
      </c>
      <c r="H1141">
        <f>MAX(-1,3-Tableau1[[#This Row],[Possédé (physique)]])</f>
        <v>0</v>
      </c>
      <c r="I1141" t="str">
        <f>IF(Tableau1[[#This Row],[Manque (physique)]]&gt;Tableau1[[#This Row],[Manque (digital)]],"POD",IF(Tableau1[[#This Row],[Manque (digital)]]&gt;Tableau1[[#This Row],[Manque (physique)]],"MarketPlace",""))</f>
        <v/>
      </c>
      <c r="J1141" t="s">
        <v>30</v>
      </c>
      <c r="K1141" t="s">
        <v>103</v>
      </c>
      <c r="L1141" t="s">
        <v>19</v>
      </c>
      <c r="M1141" t="s">
        <v>19</v>
      </c>
      <c r="N1141" t="s">
        <v>89</v>
      </c>
      <c r="O1141" t="s">
        <v>23</v>
      </c>
      <c r="P1141" t="s">
        <v>23</v>
      </c>
      <c r="Q1141" t="s">
        <v>611</v>
      </c>
    </row>
    <row r="1142" spans="1:17" hidden="1" x14ac:dyDescent="0.25">
      <c r="A1142" t="s">
        <v>612</v>
      </c>
      <c r="B1142" t="s">
        <v>22</v>
      </c>
      <c r="C1142" t="s">
        <v>15</v>
      </c>
      <c r="D1142" t="s">
        <v>16</v>
      </c>
      <c r="E1142">
        <v>3</v>
      </c>
      <c r="F1142">
        <f>MAX(-1,3-Tableau1[[#This Row],[Nb possédé (digital)]])</f>
        <v>0</v>
      </c>
      <c r="G1142">
        <v>3</v>
      </c>
      <c r="H1142">
        <f>MAX(-1,3-Tableau1[[#This Row],[Possédé (physique)]])</f>
        <v>0</v>
      </c>
      <c r="I1142" t="str">
        <f>IF(Tableau1[[#This Row],[Manque (physique)]]&gt;Tableau1[[#This Row],[Manque (digital)]],"POD",IF(Tableau1[[#This Row],[Manque (digital)]]&gt;Tableau1[[#This Row],[Manque (physique)]],"MarketPlace",""))</f>
        <v/>
      </c>
      <c r="J1142" t="s">
        <v>30</v>
      </c>
      <c r="K1142" t="s">
        <v>613</v>
      </c>
      <c r="L1142" t="s">
        <v>19</v>
      </c>
      <c r="M1142" t="s">
        <v>19</v>
      </c>
      <c r="N1142" t="s">
        <v>23</v>
      </c>
      <c r="O1142" t="s">
        <v>23</v>
      </c>
      <c r="P1142" t="s">
        <v>23</v>
      </c>
      <c r="Q1142" t="s">
        <v>615</v>
      </c>
    </row>
    <row r="1143" spans="1:17" hidden="1" x14ac:dyDescent="0.25">
      <c r="A1143" t="s">
        <v>782</v>
      </c>
      <c r="B1143" t="s">
        <v>22</v>
      </c>
      <c r="C1143" t="s">
        <v>15</v>
      </c>
      <c r="D1143" t="s">
        <v>16</v>
      </c>
      <c r="E1143">
        <v>3</v>
      </c>
      <c r="F1143">
        <f>MAX(-1,3-Tableau1[[#This Row],[Nb possédé (digital)]])</f>
        <v>0</v>
      </c>
      <c r="G1143">
        <v>3</v>
      </c>
      <c r="H1143">
        <f>MAX(-1,3-Tableau1[[#This Row],[Possédé (physique)]])</f>
        <v>0</v>
      </c>
      <c r="I1143" t="str">
        <f>IF(Tableau1[[#This Row],[Manque (physique)]]&gt;Tableau1[[#This Row],[Manque (digital)]],"POD",IF(Tableau1[[#This Row],[Manque (digital)]]&gt;Tableau1[[#This Row],[Manque (physique)]],"MarketPlace",""))</f>
        <v/>
      </c>
      <c r="J1143" t="s">
        <v>30</v>
      </c>
      <c r="K1143" t="s">
        <v>68</v>
      </c>
      <c r="L1143" t="s">
        <v>19</v>
      </c>
      <c r="M1143" t="s">
        <v>19</v>
      </c>
      <c r="N1143" t="s">
        <v>23</v>
      </c>
      <c r="O1143" t="s">
        <v>19</v>
      </c>
      <c r="P1143" t="s">
        <v>89</v>
      </c>
      <c r="Q1143" t="s">
        <v>783</v>
      </c>
    </row>
    <row r="1144" spans="1:17" hidden="1" x14ac:dyDescent="0.25">
      <c r="A1144" t="s">
        <v>833</v>
      </c>
      <c r="B1144" t="s">
        <v>22</v>
      </c>
      <c r="C1144" t="s">
        <v>15</v>
      </c>
      <c r="D1144" t="s">
        <v>16</v>
      </c>
      <c r="E1144">
        <v>3</v>
      </c>
      <c r="F1144">
        <f>MAX(-1,3-Tableau1[[#This Row],[Nb possédé (digital)]])</f>
        <v>0</v>
      </c>
      <c r="G1144">
        <v>3</v>
      </c>
      <c r="H1144">
        <f>MAX(-1,3-Tableau1[[#This Row],[Possédé (physique)]])</f>
        <v>0</v>
      </c>
      <c r="I1144" t="str">
        <f>IF(Tableau1[[#This Row],[Manque (physique)]]&gt;Tableau1[[#This Row],[Manque (digital)]],"POD",IF(Tableau1[[#This Row],[Manque (digital)]]&gt;Tableau1[[#This Row],[Manque (physique)]],"MarketPlace",""))</f>
        <v/>
      </c>
      <c r="J1144" t="s">
        <v>30</v>
      </c>
      <c r="K1144" t="s">
        <v>504</v>
      </c>
      <c r="L1144" t="s">
        <v>19</v>
      </c>
      <c r="M1144" t="s">
        <v>19</v>
      </c>
      <c r="N1144" t="s">
        <v>19</v>
      </c>
      <c r="O1144" t="s">
        <v>20</v>
      </c>
      <c r="P1144" t="s">
        <v>20</v>
      </c>
      <c r="Q1144" t="s">
        <v>836</v>
      </c>
    </row>
    <row r="1145" spans="1:17" hidden="1" x14ac:dyDescent="0.25">
      <c r="A1145" t="s">
        <v>896</v>
      </c>
      <c r="B1145" t="s">
        <v>22</v>
      </c>
      <c r="C1145" t="s">
        <v>15</v>
      </c>
      <c r="D1145" t="s">
        <v>16</v>
      </c>
      <c r="E1145">
        <v>3</v>
      </c>
      <c r="F1145">
        <f>MAX(-1,3-Tableau1[[#This Row],[Nb possédé (digital)]])</f>
        <v>0</v>
      </c>
      <c r="G1145">
        <v>3</v>
      </c>
      <c r="H1145">
        <f>MAX(-1,3-Tableau1[[#This Row],[Possédé (physique)]])</f>
        <v>0</v>
      </c>
      <c r="I1145" t="str">
        <f>IF(Tableau1[[#This Row],[Manque (physique)]]&gt;Tableau1[[#This Row],[Manque (digital)]],"POD",IF(Tableau1[[#This Row],[Manque (digital)]]&gt;Tableau1[[#This Row],[Manque (physique)]],"MarketPlace",""))</f>
        <v/>
      </c>
      <c r="J1145" t="s">
        <v>217</v>
      </c>
      <c r="K1145" t="s">
        <v>218</v>
      </c>
      <c r="L1145" t="s">
        <v>19</v>
      </c>
      <c r="M1145" t="s">
        <v>19</v>
      </c>
      <c r="Q1145" t="s">
        <v>898</v>
      </c>
    </row>
    <row r="1146" spans="1:17" hidden="1" x14ac:dyDescent="0.25">
      <c r="A1146" t="s">
        <v>964</v>
      </c>
      <c r="B1146" t="s">
        <v>22</v>
      </c>
      <c r="C1146" t="s">
        <v>15</v>
      </c>
      <c r="D1146" t="s">
        <v>16</v>
      </c>
      <c r="E1146">
        <v>3</v>
      </c>
      <c r="F1146">
        <f>MAX(-1,3-Tableau1[[#This Row],[Nb possédé (digital)]])</f>
        <v>0</v>
      </c>
      <c r="G1146">
        <v>3</v>
      </c>
      <c r="H1146">
        <f>MAX(-1,3-Tableau1[[#This Row],[Possédé (physique)]])</f>
        <v>0</v>
      </c>
      <c r="I1146" t="str">
        <f>IF(Tableau1[[#This Row],[Manque (physique)]]&gt;Tableau1[[#This Row],[Manque (digital)]],"POD",IF(Tableau1[[#This Row],[Manque (digital)]]&gt;Tableau1[[#This Row],[Manque (physique)]],"MarketPlace",""))</f>
        <v/>
      </c>
      <c r="J1146" t="s">
        <v>17</v>
      </c>
      <c r="K1146" t="s">
        <v>97</v>
      </c>
      <c r="L1146" t="s">
        <v>19</v>
      </c>
      <c r="M1146" t="s">
        <v>19</v>
      </c>
      <c r="Q1146" t="s">
        <v>966</v>
      </c>
    </row>
    <row r="1147" spans="1:17" hidden="1" x14ac:dyDescent="0.25">
      <c r="A1147" t="s">
        <v>1126</v>
      </c>
      <c r="B1147" t="s">
        <v>22</v>
      </c>
      <c r="C1147" t="s">
        <v>15</v>
      </c>
      <c r="D1147" t="s">
        <v>16</v>
      </c>
      <c r="E1147">
        <v>3</v>
      </c>
      <c r="F1147">
        <f>MAX(-1,3-Tableau1[[#This Row],[Nb possédé (digital)]])</f>
        <v>0</v>
      </c>
      <c r="G1147">
        <v>3</v>
      </c>
      <c r="H1147">
        <f>MAX(-1,3-Tableau1[[#This Row],[Possédé (physique)]])</f>
        <v>0</v>
      </c>
      <c r="I1147" t="str">
        <f>IF(Tableau1[[#This Row],[Manque (physique)]]&gt;Tableau1[[#This Row],[Manque (digital)]],"POD",IF(Tableau1[[#This Row],[Manque (digital)]]&gt;Tableau1[[#This Row],[Manque (physique)]],"MarketPlace",""))</f>
        <v/>
      </c>
      <c r="J1147" t="s">
        <v>30</v>
      </c>
      <c r="K1147" t="s">
        <v>358</v>
      </c>
      <c r="L1147" t="s">
        <v>19</v>
      </c>
      <c r="M1147" t="s">
        <v>19</v>
      </c>
      <c r="N1147" t="s">
        <v>19</v>
      </c>
      <c r="O1147" t="s">
        <v>19</v>
      </c>
      <c r="P1147" t="s">
        <v>19</v>
      </c>
      <c r="Q1147" t="s">
        <v>1127</v>
      </c>
    </row>
    <row r="1148" spans="1:17" hidden="1" x14ac:dyDescent="0.25">
      <c r="A1148" t="s">
        <v>244</v>
      </c>
      <c r="B1148" t="s">
        <v>22</v>
      </c>
      <c r="C1148" t="s">
        <v>15</v>
      </c>
      <c r="D1148" t="s">
        <v>16</v>
      </c>
      <c r="E1148">
        <v>3</v>
      </c>
      <c r="F1148">
        <f>MAX(-1,3-Tableau1[[#This Row],[Nb possédé (digital)]])</f>
        <v>0</v>
      </c>
      <c r="G1148">
        <v>3</v>
      </c>
      <c r="H1148">
        <f>MAX(-1,3-Tableau1[[#This Row],[Possédé (physique)]])</f>
        <v>0</v>
      </c>
      <c r="I1148" t="str">
        <f>IF(Tableau1[[#This Row],[Manque (physique)]]&gt;Tableau1[[#This Row],[Manque (digital)]],"POD",IF(Tableau1[[#This Row],[Manque (digital)]]&gt;Tableau1[[#This Row],[Manque (physique)]],"MarketPlace",""))</f>
        <v/>
      </c>
      <c r="J1148" t="s">
        <v>17</v>
      </c>
      <c r="K1148" t="s">
        <v>201</v>
      </c>
      <c r="L1148" t="s">
        <v>19</v>
      </c>
      <c r="M1148" t="s">
        <v>23</v>
      </c>
      <c r="Q1148" t="s">
        <v>246</v>
      </c>
    </row>
    <row r="1149" spans="1:17" hidden="1" x14ac:dyDescent="0.25">
      <c r="A1149" t="s">
        <v>409</v>
      </c>
      <c r="B1149" t="s">
        <v>22</v>
      </c>
      <c r="C1149" t="s">
        <v>15</v>
      </c>
      <c r="D1149" t="s">
        <v>16</v>
      </c>
      <c r="E1149">
        <v>3</v>
      </c>
      <c r="F1149">
        <f>MAX(-1,3-Tableau1[[#This Row],[Nb possédé (digital)]])</f>
        <v>0</v>
      </c>
      <c r="G1149">
        <v>4</v>
      </c>
      <c r="H1149">
        <f>MAX(-1,3-Tableau1[[#This Row],[Possédé (physique)]])</f>
        <v>-1</v>
      </c>
      <c r="I1149" t="str">
        <f>IF(Tableau1[[#This Row],[Manque (physique)]]&gt;Tableau1[[#This Row],[Manque (digital)]],"POD",IF(Tableau1[[#This Row],[Manque (digital)]]&gt;Tableau1[[#This Row],[Manque (physique)]],"MarketPlace",""))</f>
        <v>MarketPlace</v>
      </c>
      <c r="J1149" t="s">
        <v>17</v>
      </c>
      <c r="K1149" t="s">
        <v>18</v>
      </c>
      <c r="L1149" t="s">
        <v>19</v>
      </c>
      <c r="M1149" t="s">
        <v>23</v>
      </c>
      <c r="Q1149" t="s">
        <v>410</v>
      </c>
    </row>
    <row r="1150" spans="1:17" hidden="1" x14ac:dyDescent="0.25">
      <c r="A1150" t="s">
        <v>871</v>
      </c>
      <c r="B1150" t="s">
        <v>22</v>
      </c>
      <c r="C1150" t="s">
        <v>15</v>
      </c>
      <c r="D1150" t="s">
        <v>16</v>
      </c>
      <c r="E1150">
        <v>3</v>
      </c>
      <c r="F1150">
        <f>MAX(-1,3-Tableau1[[#This Row],[Nb possédé (digital)]])</f>
        <v>0</v>
      </c>
      <c r="G1150">
        <v>3</v>
      </c>
      <c r="H1150">
        <f>MAX(-1,3-Tableau1[[#This Row],[Possédé (physique)]])</f>
        <v>0</v>
      </c>
      <c r="I1150" t="str">
        <f>IF(Tableau1[[#This Row],[Manque (physique)]]&gt;Tableau1[[#This Row],[Manque (digital)]],"POD",IF(Tableau1[[#This Row],[Manque (digital)]]&gt;Tableau1[[#This Row],[Manque (physique)]],"MarketPlace",""))</f>
        <v/>
      </c>
      <c r="J1150" t="s">
        <v>30</v>
      </c>
      <c r="K1150" t="s">
        <v>328</v>
      </c>
      <c r="L1150" t="s">
        <v>19</v>
      </c>
      <c r="M1150" t="s">
        <v>23</v>
      </c>
      <c r="N1150" t="s">
        <v>89</v>
      </c>
      <c r="O1150" t="s">
        <v>23</v>
      </c>
      <c r="P1150" t="s">
        <v>89</v>
      </c>
      <c r="Q1150" t="s">
        <v>872</v>
      </c>
    </row>
    <row r="1151" spans="1:17" hidden="1" x14ac:dyDescent="0.25">
      <c r="A1151" t="s">
        <v>13</v>
      </c>
      <c r="B1151" t="s">
        <v>22</v>
      </c>
      <c r="C1151" t="s">
        <v>15</v>
      </c>
      <c r="D1151" t="s">
        <v>16</v>
      </c>
      <c r="E1151">
        <v>3</v>
      </c>
      <c r="F1151">
        <f>MAX(-1,3-Tableau1[[#This Row],[Nb possédé (digital)]])</f>
        <v>0</v>
      </c>
      <c r="G1151">
        <v>3</v>
      </c>
      <c r="H1151">
        <f>MAX(-1,3-Tableau1[[#This Row],[Possédé (physique)]])</f>
        <v>0</v>
      </c>
      <c r="I1151" t="str">
        <f>IF(Tableau1[[#This Row],[Manque (physique)]]&gt;Tableau1[[#This Row],[Manque (digital)]],"POD",IF(Tableau1[[#This Row],[Manque (digital)]]&gt;Tableau1[[#This Row],[Manque (physique)]],"MarketPlace",""))</f>
        <v/>
      </c>
      <c r="J1151" t="s">
        <v>17</v>
      </c>
      <c r="K1151" t="s">
        <v>18</v>
      </c>
      <c r="L1151" t="s">
        <v>23</v>
      </c>
      <c r="M1151" t="s">
        <v>19</v>
      </c>
      <c r="Q1151" t="s">
        <v>24</v>
      </c>
    </row>
    <row r="1152" spans="1:17" hidden="1" x14ac:dyDescent="0.25">
      <c r="A1152" t="s">
        <v>314</v>
      </c>
      <c r="B1152" t="s">
        <v>22</v>
      </c>
      <c r="C1152" t="s">
        <v>15</v>
      </c>
      <c r="D1152" t="s">
        <v>16</v>
      </c>
      <c r="E1152">
        <v>3</v>
      </c>
      <c r="F1152">
        <f>MAX(-1,3-Tableau1[[#This Row],[Nb possédé (digital)]])</f>
        <v>0</v>
      </c>
      <c r="G1152">
        <v>3</v>
      </c>
      <c r="H1152">
        <f>MAX(-1,3-Tableau1[[#This Row],[Possédé (physique)]])</f>
        <v>0</v>
      </c>
      <c r="I1152" t="str">
        <f>IF(Tableau1[[#This Row],[Manque (physique)]]&gt;Tableau1[[#This Row],[Manque (digital)]],"POD",IF(Tableau1[[#This Row],[Manque (digital)]]&gt;Tableau1[[#This Row],[Manque (physique)]],"MarketPlace",""))</f>
        <v/>
      </c>
      <c r="J1152" t="s">
        <v>30</v>
      </c>
      <c r="K1152" t="s">
        <v>171</v>
      </c>
      <c r="L1152" t="s">
        <v>23</v>
      </c>
      <c r="M1152" t="s">
        <v>19</v>
      </c>
      <c r="N1152" t="s">
        <v>89</v>
      </c>
      <c r="O1152" t="s">
        <v>23</v>
      </c>
      <c r="P1152" t="s">
        <v>19</v>
      </c>
      <c r="Q1152" t="s">
        <v>315</v>
      </c>
    </row>
    <row r="1153" spans="1:17" hidden="1" x14ac:dyDescent="0.25">
      <c r="A1153" t="s">
        <v>357</v>
      </c>
      <c r="B1153" t="s">
        <v>22</v>
      </c>
      <c r="C1153" t="s">
        <v>15</v>
      </c>
      <c r="D1153" t="s">
        <v>16</v>
      </c>
      <c r="E1153">
        <v>3</v>
      </c>
      <c r="F1153">
        <f>MAX(-1,3-Tableau1[[#This Row],[Nb possédé (digital)]])</f>
        <v>0</v>
      </c>
      <c r="G1153">
        <v>3</v>
      </c>
      <c r="H1153">
        <f>MAX(-1,3-Tableau1[[#This Row],[Possédé (physique)]])</f>
        <v>0</v>
      </c>
      <c r="I1153" t="str">
        <f>IF(Tableau1[[#This Row],[Manque (physique)]]&gt;Tableau1[[#This Row],[Manque (digital)]],"POD",IF(Tableau1[[#This Row],[Manque (digital)]]&gt;Tableau1[[#This Row],[Manque (physique)]],"MarketPlace",""))</f>
        <v/>
      </c>
      <c r="J1153" t="s">
        <v>30</v>
      </c>
      <c r="K1153" t="s">
        <v>358</v>
      </c>
      <c r="L1153" t="s">
        <v>23</v>
      </c>
      <c r="M1153" t="s">
        <v>19</v>
      </c>
      <c r="N1153" t="s">
        <v>19</v>
      </c>
      <c r="O1153" t="s">
        <v>20</v>
      </c>
      <c r="P1153" t="s">
        <v>20</v>
      </c>
      <c r="Q1153" t="s">
        <v>360</v>
      </c>
    </row>
    <row r="1154" spans="1:17" hidden="1" x14ac:dyDescent="0.25">
      <c r="A1154" t="s">
        <v>562</v>
      </c>
      <c r="B1154" t="s">
        <v>22</v>
      </c>
      <c r="C1154" t="s">
        <v>15</v>
      </c>
      <c r="D1154" t="s">
        <v>16</v>
      </c>
      <c r="E1154">
        <v>3</v>
      </c>
      <c r="F1154">
        <f>MAX(-1,3-Tableau1[[#This Row],[Nb possédé (digital)]])</f>
        <v>0</v>
      </c>
      <c r="G1154">
        <v>3</v>
      </c>
      <c r="H1154">
        <f>MAX(-1,3-Tableau1[[#This Row],[Possédé (physique)]])</f>
        <v>0</v>
      </c>
      <c r="I1154" t="str">
        <f>IF(Tableau1[[#This Row],[Manque (physique)]]&gt;Tableau1[[#This Row],[Manque (digital)]],"POD",IF(Tableau1[[#This Row],[Manque (digital)]]&gt;Tableau1[[#This Row],[Manque (physique)]],"MarketPlace",""))</f>
        <v/>
      </c>
      <c r="J1154" t="s">
        <v>30</v>
      </c>
      <c r="K1154" t="s">
        <v>51</v>
      </c>
      <c r="L1154" t="s">
        <v>23</v>
      </c>
      <c r="M1154" t="s">
        <v>19</v>
      </c>
      <c r="N1154" t="s">
        <v>23</v>
      </c>
      <c r="O1154" t="s">
        <v>20</v>
      </c>
      <c r="P1154" t="s">
        <v>23</v>
      </c>
      <c r="Q1154" t="s">
        <v>472</v>
      </c>
    </row>
    <row r="1155" spans="1:17" hidden="1" x14ac:dyDescent="0.25">
      <c r="A1155" t="s">
        <v>71</v>
      </c>
      <c r="B1155" t="s">
        <v>22</v>
      </c>
      <c r="C1155" t="s">
        <v>15</v>
      </c>
      <c r="D1155" t="s">
        <v>16</v>
      </c>
      <c r="E1155">
        <v>3</v>
      </c>
      <c r="F1155">
        <f>MAX(-1,3-Tableau1[[#This Row],[Nb possédé (digital)]])</f>
        <v>0</v>
      </c>
      <c r="G1155">
        <v>3</v>
      </c>
      <c r="H1155">
        <f>MAX(-1,3-Tableau1[[#This Row],[Possédé (physique)]])</f>
        <v>0</v>
      </c>
      <c r="I1155" t="str">
        <f>IF(Tableau1[[#This Row],[Manque (physique)]]&gt;Tableau1[[#This Row],[Manque (digital)]],"POD",IF(Tableau1[[#This Row],[Manque (digital)]]&gt;Tableau1[[#This Row],[Manque (physique)]],"MarketPlace",""))</f>
        <v/>
      </c>
      <c r="J1155" t="s">
        <v>30</v>
      </c>
      <c r="K1155" t="s">
        <v>72</v>
      </c>
      <c r="L1155" t="s">
        <v>23</v>
      </c>
      <c r="M1155" t="s">
        <v>23</v>
      </c>
      <c r="N1155" t="s">
        <v>19</v>
      </c>
      <c r="O1155" t="s">
        <v>19</v>
      </c>
      <c r="P1155" t="s">
        <v>52</v>
      </c>
      <c r="Q1155" t="s">
        <v>74</v>
      </c>
    </row>
    <row r="1156" spans="1:17" hidden="1" x14ac:dyDescent="0.25">
      <c r="A1156" t="s">
        <v>235</v>
      </c>
      <c r="B1156" t="s">
        <v>22</v>
      </c>
      <c r="C1156" t="s">
        <v>15</v>
      </c>
      <c r="D1156" t="s">
        <v>16</v>
      </c>
      <c r="E1156">
        <v>3</v>
      </c>
      <c r="F1156">
        <f>MAX(-1,3-Tableau1[[#This Row],[Nb possédé (digital)]])</f>
        <v>0</v>
      </c>
      <c r="G1156">
        <v>3</v>
      </c>
      <c r="H1156">
        <f>MAX(-1,3-Tableau1[[#This Row],[Possédé (physique)]])</f>
        <v>0</v>
      </c>
      <c r="I1156" t="str">
        <f>IF(Tableau1[[#This Row],[Manque (physique)]]&gt;Tableau1[[#This Row],[Manque (digital)]],"POD",IF(Tableau1[[#This Row],[Manque (digital)]]&gt;Tableau1[[#This Row],[Manque (physique)]],"MarketPlace",""))</f>
        <v/>
      </c>
      <c r="J1156" t="s">
        <v>30</v>
      </c>
      <c r="K1156" t="s">
        <v>236</v>
      </c>
      <c r="L1156" t="s">
        <v>23</v>
      </c>
      <c r="M1156" t="s">
        <v>23</v>
      </c>
      <c r="N1156" t="s">
        <v>52</v>
      </c>
      <c r="O1156" t="s">
        <v>52</v>
      </c>
      <c r="P1156" t="s">
        <v>52</v>
      </c>
    </row>
    <row r="1157" spans="1:17" hidden="1" x14ac:dyDescent="0.25">
      <c r="A1157" t="s">
        <v>264</v>
      </c>
      <c r="B1157" t="s">
        <v>22</v>
      </c>
      <c r="C1157" t="s">
        <v>15</v>
      </c>
      <c r="D1157" t="s">
        <v>16</v>
      </c>
      <c r="E1157">
        <v>3</v>
      </c>
      <c r="F1157">
        <f>MAX(-1,3-Tableau1[[#This Row],[Nb possédé (digital)]])</f>
        <v>0</v>
      </c>
      <c r="G1157">
        <v>3</v>
      </c>
      <c r="H1157">
        <f>MAX(-1,3-Tableau1[[#This Row],[Possédé (physique)]])</f>
        <v>0</v>
      </c>
      <c r="I1157" t="str">
        <f>IF(Tableau1[[#This Row],[Manque (physique)]]&gt;Tableau1[[#This Row],[Manque (digital)]],"POD",IF(Tableau1[[#This Row],[Manque (digital)]]&gt;Tableau1[[#This Row],[Manque (physique)]],"MarketPlace",""))</f>
        <v/>
      </c>
      <c r="J1157" t="s">
        <v>17</v>
      </c>
      <c r="K1157" t="s">
        <v>153</v>
      </c>
      <c r="L1157" t="s">
        <v>23</v>
      </c>
      <c r="M1157" t="s">
        <v>23</v>
      </c>
      <c r="Q1157" t="s">
        <v>265</v>
      </c>
    </row>
    <row r="1158" spans="1:17" hidden="1" x14ac:dyDescent="0.25">
      <c r="A1158" t="s">
        <v>346</v>
      </c>
      <c r="B1158" t="s">
        <v>22</v>
      </c>
      <c r="C1158" t="s">
        <v>15</v>
      </c>
      <c r="D1158" t="s">
        <v>16</v>
      </c>
      <c r="E1158">
        <v>3</v>
      </c>
      <c r="F1158">
        <f>MAX(-1,3-Tableau1[[#This Row],[Nb possédé (digital)]])</f>
        <v>0</v>
      </c>
      <c r="G1158">
        <v>3</v>
      </c>
      <c r="H1158">
        <f>MAX(-1,3-Tableau1[[#This Row],[Possédé (physique)]])</f>
        <v>0</v>
      </c>
      <c r="I1158" t="str">
        <f>IF(Tableau1[[#This Row],[Manque (physique)]]&gt;Tableau1[[#This Row],[Manque (digital)]],"POD",IF(Tableau1[[#This Row],[Manque (digital)]]&gt;Tableau1[[#This Row],[Manque (physique)]],"MarketPlace",""))</f>
        <v/>
      </c>
      <c r="J1158" t="s">
        <v>30</v>
      </c>
      <c r="K1158" t="s">
        <v>347</v>
      </c>
      <c r="L1158" t="s">
        <v>23</v>
      </c>
      <c r="M1158" t="s">
        <v>23</v>
      </c>
      <c r="N1158" t="s">
        <v>89</v>
      </c>
      <c r="O1158" t="s">
        <v>20</v>
      </c>
      <c r="P1158" t="s">
        <v>20</v>
      </c>
      <c r="Q1158" t="s">
        <v>348</v>
      </c>
    </row>
    <row r="1159" spans="1:17" hidden="1" x14ac:dyDescent="0.25">
      <c r="A1159" t="s">
        <v>457</v>
      </c>
      <c r="B1159" t="s">
        <v>22</v>
      </c>
      <c r="C1159" t="s">
        <v>15</v>
      </c>
      <c r="D1159" t="s">
        <v>16</v>
      </c>
      <c r="E1159">
        <v>3</v>
      </c>
      <c r="F1159">
        <f>MAX(-1,3-Tableau1[[#This Row],[Nb possédé (digital)]])</f>
        <v>0</v>
      </c>
      <c r="G1159">
        <v>3</v>
      </c>
      <c r="H1159">
        <f>MAX(-1,3-Tableau1[[#This Row],[Possédé (physique)]])</f>
        <v>0</v>
      </c>
      <c r="I1159" t="str">
        <f>IF(Tableau1[[#This Row],[Manque (physique)]]&gt;Tableau1[[#This Row],[Manque (digital)]],"POD",IF(Tableau1[[#This Row],[Manque (digital)]]&gt;Tableau1[[#This Row],[Manque (physique)]],"MarketPlace",""))</f>
        <v/>
      </c>
      <c r="J1159" t="s">
        <v>30</v>
      </c>
      <c r="K1159" t="s">
        <v>72</v>
      </c>
      <c r="L1159" t="s">
        <v>23</v>
      </c>
      <c r="M1159" t="s">
        <v>23</v>
      </c>
      <c r="N1159" t="s">
        <v>37</v>
      </c>
      <c r="O1159" t="s">
        <v>37</v>
      </c>
      <c r="P1159" t="s">
        <v>23</v>
      </c>
      <c r="Q1159" t="s">
        <v>459</v>
      </c>
    </row>
    <row r="1160" spans="1:17" hidden="1" x14ac:dyDescent="0.25">
      <c r="A1160" t="s">
        <v>489</v>
      </c>
      <c r="B1160" t="s">
        <v>22</v>
      </c>
      <c r="C1160" t="s">
        <v>15</v>
      </c>
      <c r="D1160" t="s">
        <v>16</v>
      </c>
      <c r="E1160">
        <v>3</v>
      </c>
      <c r="F1160">
        <f>MAX(-1,3-Tableau1[[#This Row],[Nb possédé (digital)]])</f>
        <v>0</v>
      </c>
      <c r="G1160">
        <v>3</v>
      </c>
      <c r="H1160">
        <f>MAX(-1,3-Tableau1[[#This Row],[Possédé (physique)]])</f>
        <v>0</v>
      </c>
      <c r="I1160" t="str">
        <f>IF(Tableau1[[#This Row],[Manque (physique)]]&gt;Tableau1[[#This Row],[Manque (digital)]],"POD",IF(Tableau1[[#This Row],[Manque (digital)]]&gt;Tableau1[[#This Row],[Manque (physique)]],"MarketPlace",""))</f>
        <v/>
      </c>
      <c r="J1160" t="s">
        <v>30</v>
      </c>
      <c r="K1160" t="s">
        <v>36</v>
      </c>
      <c r="L1160" t="s">
        <v>23</v>
      </c>
      <c r="M1160" t="s">
        <v>23</v>
      </c>
      <c r="N1160" t="s">
        <v>20</v>
      </c>
      <c r="O1160" t="s">
        <v>23</v>
      </c>
      <c r="P1160" t="s">
        <v>20</v>
      </c>
      <c r="Q1160" t="s">
        <v>491</v>
      </c>
    </row>
    <row r="1161" spans="1:17" hidden="1" x14ac:dyDescent="0.25">
      <c r="A1161" t="s">
        <v>603</v>
      </c>
      <c r="B1161" t="s">
        <v>22</v>
      </c>
      <c r="C1161" t="s">
        <v>15</v>
      </c>
      <c r="D1161" t="s">
        <v>16</v>
      </c>
      <c r="E1161">
        <v>3</v>
      </c>
      <c r="F1161">
        <f>MAX(-1,3-Tableau1[[#This Row],[Nb possédé (digital)]])</f>
        <v>0</v>
      </c>
      <c r="G1161">
        <v>3</v>
      </c>
      <c r="H1161">
        <f>MAX(-1,3-Tableau1[[#This Row],[Possédé (physique)]])</f>
        <v>0</v>
      </c>
      <c r="I1161" t="str">
        <f>IF(Tableau1[[#This Row],[Manque (physique)]]&gt;Tableau1[[#This Row],[Manque (digital)]],"POD",IF(Tableau1[[#This Row],[Manque (digital)]]&gt;Tableau1[[#This Row],[Manque (physique)]],"MarketPlace",""))</f>
        <v/>
      </c>
      <c r="J1161" t="s">
        <v>30</v>
      </c>
      <c r="K1161" t="s">
        <v>463</v>
      </c>
      <c r="L1161" t="s">
        <v>23</v>
      </c>
      <c r="M1161" t="s">
        <v>23</v>
      </c>
      <c r="N1161" t="s">
        <v>19</v>
      </c>
      <c r="O1161" t="s">
        <v>19</v>
      </c>
      <c r="P1161" t="s">
        <v>19</v>
      </c>
      <c r="Q1161" t="s">
        <v>605</v>
      </c>
    </row>
    <row r="1162" spans="1:17" hidden="1" x14ac:dyDescent="0.25">
      <c r="A1162" t="s">
        <v>688</v>
      </c>
      <c r="B1162" t="s">
        <v>22</v>
      </c>
      <c r="C1162" t="s">
        <v>15</v>
      </c>
      <c r="D1162" t="s">
        <v>16</v>
      </c>
      <c r="E1162">
        <v>3</v>
      </c>
      <c r="F1162">
        <f>MAX(-1,3-Tableau1[[#This Row],[Nb possédé (digital)]])</f>
        <v>0</v>
      </c>
      <c r="G1162">
        <v>3</v>
      </c>
      <c r="H1162">
        <f>MAX(-1,3-Tableau1[[#This Row],[Possédé (physique)]])</f>
        <v>0</v>
      </c>
      <c r="I1162" t="str">
        <f>IF(Tableau1[[#This Row],[Manque (physique)]]&gt;Tableau1[[#This Row],[Manque (digital)]],"POD",IF(Tableau1[[#This Row],[Manque (digital)]]&gt;Tableau1[[#This Row],[Manque (physique)]],"MarketPlace",""))</f>
        <v/>
      </c>
      <c r="J1162" t="s">
        <v>217</v>
      </c>
      <c r="K1162" t="s">
        <v>218</v>
      </c>
      <c r="L1162" t="s">
        <v>23</v>
      </c>
      <c r="M1162" t="s">
        <v>23</v>
      </c>
      <c r="Q1162" t="s">
        <v>691</v>
      </c>
    </row>
    <row r="1163" spans="1:17" hidden="1" x14ac:dyDescent="0.25">
      <c r="A1163" t="s">
        <v>802</v>
      </c>
      <c r="B1163" t="s">
        <v>22</v>
      </c>
      <c r="C1163" t="s">
        <v>15</v>
      </c>
      <c r="D1163" t="s">
        <v>16</v>
      </c>
      <c r="E1163">
        <v>3</v>
      </c>
      <c r="F1163">
        <f>MAX(-1,3-Tableau1[[#This Row],[Nb possédé (digital)]])</f>
        <v>0</v>
      </c>
      <c r="G1163">
        <v>3</v>
      </c>
      <c r="H1163">
        <f>MAX(-1,3-Tableau1[[#This Row],[Possédé (physique)]])</f>
        <v>0</v>
      </c>
      <c r="I1163" t="str">
        <f>IF(Tableau1[[#This Row],[Manque (physique)]]&gt;Tableau1[[#This Row],[Manque (digital)]],"POD",IF(Tableau1[[#This Row],[Manque (digital)]]&gt;Tableau1[[#This Row],[Manque (physique)]],"MarketPlace",""))</f>
        <v/>
      </c>
      <c r="J1163" t="s">
        <v>17</v>
      </c>
      <c r="K1163" t="s">
        <v>153</v>
      </c>
      <c r="L1163" t="s">
        <v>23</v>
      </c>
      <c r="M1163" t="s">
        <v>23</v>
      </c>
      <c r="Q1163" t="s">
        <v>804</v>
      </c>
    </row>
    <row r="1164" spans="1:17" hidden="1" x14ac:dyDescent="0.25">
      <c r="A1164" t="s">
        <v>922</v>
      </c>
      <c r="B1164" t="s">
        <v>22</v>
      </c>
      <c r="C1164" t="s">
        <v>15</v>
      </c>
      <c r="D1164" t="s">
        <v>16</v>
      </c>
      <c r="E1164">
        <v>3</v>
      </c>
      <c r="F1164">
        <f>MAX(-1,3-Tableau1[[#This Row],[Nb possédé (digital)]])</f>
        <v>0</v>
      </c>
      <c r="G1164">
        <v>3</v>
      </c>
      <c r="H1164">
        <f>MAX(-1,3-Tableau1[[#This Row],[Possédé (physique)]])</f>
        <v>0</v>
      </c>
      <c r="I1164" t="str">
        <f>IF(Tableau1[[#This Row],[Manque (physique)]]&gt;Tableau1[[#This Row],[Manque (digital)]],"POD",IF(Tableau1[[#This Row],[Manque (digital)]]&gt;Tableau1[[#This Row],[Manque (physique)]],"MarketPlace",""))</f>
        <v/>
      </c>
      <c r="J1164" t="s">
        <v>30</v>
      </c>
      <c r="K1164" t="s">
        <v>335</v>
      </c>
      <c r="L1164" t="s">
        <v>23</v>
      </c>
      <c r="M1164" t="s">
        <v>23</v>
      </c>
      <c r="N1164" t="s">
        <v>23</v>
      </c>
      <c r="O1164" t="s">
        <v>23</v>
      </c>
      <c r="P1164" t="s">
        <v>23</v>
      </c>
      <c r="Q1164" t="s">
        <v>923</v>
      </c>
    </row>
    <row r="1165" spans="1:17" hidden="1" x14ac:dyDescent="0.25">
      <c r="A1165" t="s">
        <v>1111</v>
      </c>
      <c r="B1165" t="s">
        <v>22</v>
      </c>
      <c r="C1165" t="s">
        <v>15</v>
      </c>
      <c r="D1165" t="s">
        <v>16</v>
      </c>
      <c r="E1165">
        <v>3</v>
      </c>
      <c r="F1165">
        <f>MAX(-1,3-Tableau1[[#This Row],[Nb possédé (digital)]])</f>
        <v>0</v>
      </c>
      <c r="G1165">
        <v>3</v>
      </c>
      <c r="H1165">
        <f>MAX(-1,3-Tableau1[[#This Row],[Possédé (physique)]])</f>
        <v>0</v>
      </c>
      <c r="I1165" t="str">
        <f>IF(Tableau1[[#This Row],[Manque (physique)]]&gt;Tableau1[[#This Row],[Manque (digital)]],"POD",IF(Tableau1[[#This Row],[Manque (digital)]]&gt;Tableau1[[#This Row],[Manque (physique)]],"MarketPlace",""))</f>
        <v/>
      </c>
      <c r="J1165" t="s">
        <v>30</v>
      </c>
      <c r="K1165" t="s">
        <v>179</v>
      </c>
      <c r="L1165" t="s">
        <v>23</v>
      </c>
      <c r="M1165" t="s">
        <v>23</v>
      </c>
      <c r="N1165" t="s">
        <v>52</v>
      </c>
      <c r="O1165" t="s">
        <v>52</v>
      </c>
      <c r="P1165" t="s">
        <v>37</v>
      </c>
      <c r="Q1165" t="s">
        <v>1112</v>
      </c>
    </row>
    <row r="1166" spans="1:17" hidden="1" x14ac:dyDescent="0.25">
      <c r="A1166" t="s">
        <v>1019</v>
      </c>
      <c r="B1166" t="s">
        <v>22</v>
      </c>
      <c r="C1166" t="s">
        <v>15</v>
      </c>
      <c r="D1166" t="s">
        <v>16</v>
      </c>
      <c r="E1166">
        <v>3</v>
      </c>
      <c r="F1166">
        <f>MAX(-1,3-Tableau1[[#This Row],[Nb possédé (digital)]])</f>
        <v>0</v>
      </c>
      <c r="G1166">
        <v>3</v>
      </c>
      <c r="H1166">
        <f>MAX(-1,3-Tableau1[[#This Row],[Possédé (physique)]])</f>
        <v>0</v>
      </c>
      <c r="I1166" t="str">
        <f>IF(Tableau1[[#This Row],[Manque (physique)]]&gt;Tableau1[[#This Row],[Manque (digital)]],"POD",IF(Tableau1[[#This Row],[Manque (digital)]]&gt;Tableau1[[#This Row],[Manque (physique)]],"MarketPlace",""))</f>
        <v/>
      </c>
      <c r="J1166" t="s">
        <v>30</v>
      </c>
      <c r="K1166" t="s">
        <v>51</v>
      </c>
      <c r="L1166" t="s">
        <v>23</v>
      </c>
      <c r="M1166" t="s">
        <v>52</v>
      </c>
      <c r="N1166" t="s">
        <v>19</v>
      </c>
      <c r="O1166" t="s">
        <v>52</v>
      </c>
      <c r="P1166" t="s">
        <v>19</v>
      </c>
      <c r="Q1166" t="s">
        <v>1021</v>
      </c>
    </row>
    <row r="1167" spans="1:17" hidden="1" x14ac:dyDescent="0.25">
      <c r="A1167" t="s">
        <v>214</v>
      </c>
      <c r="B1167" t="s">
        <v>22</v>
      </c>
      <c r="C1167" t="s">
        <v>15</v>
      </c>
      <c r="D1167" t="s">
        <v>16</v>
      </c>
      <c r="E1167">
        <v>3</v>
      </c>
      <c r="F1167">
        <f>MAX(-1,3-Tableau1[[#This Row],[Nb possédé (digital)]])</f>
        <v>0</v>
      </c>
      <c r="G1167">
        <v>3</v>
      </c>
      <c r="H1167">
        <f>MAX(-1,3-Tableau1[[#This Row],[Possédé (physique)]])</f>
        <v>0</v>
      </c>
      <c r="I1167" t="str">
        <f>IF(Tableau1[[#This Row],[Manque (physique)]]&gt;Tableau1[[#This Row],[Manque (digital)]],"POD",IF(Tableau1[[#This Row],[Manque (digital)]]&gt;Tableau1[[#This Row],[Manque (physique)]],"MarketPlace",""))</f>
        <v/>
      </c>
      <c r="J1167" t="s">
        <v>30</v>
      </c>
      <c r="K1167" t="s">
        <v>42</v>
      </c>
      <c r="L1167" t="s">
        <v>52</v>
      </c>
      <c r="M1167" t="s">
        <v>23</v>
      </c>
      <c r="N1167" t="s">
        <v>19</v>
      </c>
      <c r="O1167" t="s">
        <v>52</v>
      </c>
      <c r="P1167" t="s">
        <v>19</v>
      </c>
      <c r="Q1167" t="s">
        <v>215</v>
      </c>
    </row>
    <row r="1168" spans="1:17" hidden="1" x14ac:dyDescent="0.25">
      <c r="A1168" t="s">
        <v>851</v>
      </c>
      <c r="B1168" t="s">
        <v>22</v>
      </c>
      <c r="C1168" t="s">
        <v>15</v>
      </c>
      <c r="D1168" t="s">
        <v>16</v>
      </c>
      <c r="E1168">
        <v>3</v>
      </c>
      <c r="F1168">
        <f>MAX(-1,3-Tableau1[[#This Row],[Nb possédé (digital)]])</f>
        <v>0</v>
      </c>
      <c r="G1168">
        <v>3</v>
      </c>
      <c r="H1168">
        <f>MAX(-1,3-Tableau1[[#This Row],[Possédé (physique)]])</f>
        <v>0</v>
      </c>
      <c r="I1168" t="str">
        <f>IF(Tableau1[[#This Row],[Manque (physique)]]&gt;Tableau1[[#This Row],[Manque (digital)]],"POD",IF(Tableau1[[#This Row],[Manque (digital)]]&gt;Tableau1[[#This Row],[Manque (physique)]],"MarketPlace",""))</f>
        <v/>
      </c>
      <c r="J1168" t="s">
        <v>30</v>
      </c>
      <c r="K1168" t="s">
        <v>51</v>
      </c>
      <c r="L1168" t="s">
        <v>52</v>
      </c>
      <c r="M1168" t="s">
        <v>23</v>
      </c>
      <c r="N1168" t="s">
        <v>23</v>
      </c>
      <c r="O1168" t="s">
        <v>89</v>
      </c>
      <c r="P1168" t="s">
        <v>23</v>
      </c>
      <c r="Q1168" t="s">
        <v>853</v>
      </c>
    </row>
    <row r="1169" spans="1:17" hidden="1" x14ac:dyDescent="0.25">
      <c r="A1169" t="s">
        <v>50</v>
      </c>
      <c r="B1169" t="s">
        <v>22</v>
      </c>
      <c r="C1169" t="s">
        <v>15</v>
      </c>
      <c r="D1169" t="s">
        <v>16</v>
      </c>
      <c r="E1169">
        <v>3</v>
      </c>
      <c r="F1169">
        <f>MAX(-1,3-Tableau1[[#This Row],[Nb possédé (digital)]])</f>
        <v>0</v>
      </c>
      <c r="G1169">
        <v>3</v>
      </c>
      <c r="H1169">
        <f>MAX(-1,3-Tableau1[[#This Row],[Possédé (physique)]])</f>
        <v>0</v>
      </c>
      <c r="I1169" t="str">
        <f>IF(Tableau1[[#This Row],[Manque (physique)]]&gt;Tableau1[[#This Row],[Manque (digital)]],"POD",IF(Tableau1[[#This Row],[Manque (digital)]]&gt;Tableau1[[#This Row],[Manque (physique)]],"MarketPlace",""))</f>
        <v/>
      </c>
      <c r="J1169" t="s">
        <v>30</v>
      </c>
      <c r="K1169" t="s">
        <v>51</v>
      </c>
      <c r="L1169" t="s">
        <v>52</v>
      </c>
      <c r="M1169" t="s">
        <v>52</v>
      </c>
      <c r="N1169" t="s">
        <v>52</v>
      </c>
      <c r="O1169" t="s">
        <v>37</v>
      </c>
      <c r="P1169" t="s">
        <v>52</v>
      </c>
      <c r="Q1169" t="s">
        <v>54</v>
      </c>
    </row>
    <row r="1170" spans="1:17" hidden="1" x14ac:dyDescent="0.25">
      <c r="A1170" t="s">
        <v>451</v>
      </c>
      <c r="B1170" t="s">
        <v>22</v>
      </c>
      <c r="C1170" t="s">
        <v>15</v>
      </c>
      <c r="D1170" t="s">
        <v>16</v>
      </c>
      <c r="E1170">
        <v>3</v>
      </c>
      <c r="F1170">
        <f>MAX(-1,3-Tableau1[[#This Row],[Nb possédé (digital)]])</f>
        <v>0</v>
      </c>
      <c r="G1170">
        <v>3</v>
      </c>
      <c r="H1170">
        <f>MAX(-1,3-Tableau1[[#This Row],[Possédé (physique)]])</f>
        <v>0</v>
      </c>
      <c r="I1170" t="str">
        <f>IF(Tableau1[[#This Row],[Manque (physique)]]&gt;Tableau1[[#This Row],[Manque (digital)]],"POD",IF(Tableau1[[#This Row],[Manque (digital)]]&gt;Tableau1[[#This Row],[Manque (physique)]],"MarketPlace",""))</f>
        <v/>
      </c>
      <c r="J1170" t="s">
        <v>217</v>
      </c>
      <c r="K1170" t="s">
        <v>218</v>
      </c>
      <c r="L1170" t="s">
        <v>52</v>
      </c>
      <c r="M1170" t="s">
        <v>52</v>
      </c>
      <c r="Q1170" t="s">
        <v>452</v>
      </c>
    </row>
    <row r="1171" spans="1:17" hidden="1" x14ac:dyDescent="0.25">
      <c r="A1171" t="s">
        <v>709</v>
      </c>
      <c r="B1171" t="s">
        <v>22</v>
      </c>
      <c r="C1171" t="s">
        <v>15</v>
      </c>
      <c r="D1171" t="s">
        <v>16</v>
      </c>
      <c r="E1171">
        <v>3</v>
      </c>
      <c r="F1171">
        <f>MAX(-1,3-Tableau1[[#This Row],[Nb possédé (digital)]])</f>
        <v>0</v>
      </c>
      <c r="G1171">
        <v>3</v>
      </c>
      <c r="H1171">
        <f>MAX(-1,3-Tableau1[[#This Row],[Possédé (physique)]])</f>
        <v>0</v>
      </c>
      <c r="I1171" t="str">
        <f>IF(Tableau1[[#This Row],[Manque (physique)]]&gt;Tableau1[[#This Row],[Manque (digital)]],"POD",IF(Tableau1[[#This Row],[Manque (digital)]]&gt;Tableau1[[#This Row],[Manque (physique)]],"MarketPlace",""))</f>
        <v/>
      </c>
      <c r="J1171" t="s">
        <v>217</v>
      </c>
      <c r="K1171" t="s">
        <v>218</v>
      </c>
      <c r="L1171" t="s">
        <v>52</v>
      </c>
      <c r="M1171" t="s">
        <v>52</v>
      </c>
      <c r="Q1171" t="s">
        <v>711</v>
      </c>
    </row>
    <row r="1172" spans="1:17" hidden="1" x14ac:dyDescent="0.25">
      <c r="A1172" t="s">
        <v>880</v>
      </c>
      <c r="B1172" t="s">
        <v>22</v>
      </c>
      <c r="C1172" t="s">
        <v>15</v>
      </c>
      <c r="D1172" t="s">
        <v>16</v>
      </c>
      <c r="E1172">
        <v>3</v>
      </c>
      <c r="F1172">
        <f>MAX(-1,3-Tableau1[[#This Row],[Nb possédé (digital)]])</f>
        <v>0</v>
      </c>
      <c r="G1172">
        <v>3</v>
      </c>
      <c r="H1172">
        <f>MAX(-1,3-Tableau1[[#This Row],[Possédé (physique)]])</f>
        <v>0</v>
      </c>
      <c r="I1172" t="str">
        <f>IF(Tableau1[[#This Row],[Manque (physique)]]&gt;Tableau1[[#This Row],[Manque (digital)]],"POD",IF(Tableau1[[#This Row],[Manque (digital)]]&gt;Tableau1[[#This Row],[Manque (physique)]],"MarketPlace",""))</f>
        <v/>
      </c>
      <c r="J1172" t="s">
        <v>30</v>
      </c>
      <c r="K1172" t="s">
        <v>72</v>
      </c>
      <c r="L1172" t="s">
        <v>52</v>
      </c>
      <c r="M1172" t="s">
        <v>52</v>
      </c>
      <c r="N1172" t="s">
        <v>23</v>
      </c>
      <c r="O1172" t="s">
        <v>23</v>
      </c>
      <c r="P1172" t="s">
        <v>23</v>
      </c>
      <c r="Q1172" t="s">
        <v>241</v>
      </c>
    </row>
    <row r="1173" spans="1:17" x14ac:dyDescent="0.25">
      <c r="A1173" t="s">
        <v>931</v>
      </c>
      <c r="B1173" t="s">
        <v>22</v>
      </c>
      <c r="C1173" t="s">
        <v>15</v>
      </c>
      <c r="D1173" t="s">
        <v>16</v>
      </c>
      <c r="E1173">
        <v>4</v>
      </c>
      <c r="F1173">
        <f>MAX(-1,3-Tableau1[[#This Row],[Nb possédé (digital)]])</f>
        <v>-1</v>
      </c>
      <c r="G1173">
        <v>4</v>
      </c>
      <c r="H1173">
        <f>MAX(-1,3-Tableau1[[#This Row],[Possédé (physique)]])</f>
        <v>-1</v>
      </c>
      <c r="I1173" t="str">
        <f>IF(Tableau1[[#This Row],[Manque (physique)]]&gt;Tableau1[[#This Row],[Manque (digital)]],"POD",IF(Tableau1[[#This Row],[Manque (digital)]]&gt;Tableau1[[#This Row],[Manque (physique)]],"MarketPlace",""))</f>
        <v/>
      </c>
      <c r="J1173" t="s">
        <v>217</v>
      </c>
      <c r="K1173" t="s">
        <v>218</v>
      </c>
      <c r="L1173" t="s">
        <v>52</v>
      </c>
      <c r="M1173" t="s">
        <v>52</v>
      </c>
      <c r="Q1173" t="s">
        <v>73</v>
      </c>
    </row>
    <row r="1174" spans="1:17" hidden="1" x14ac:dyDescent="0.25">
      <c r="A1174" t="s">
        <v>904</v>
      </c>
      <c r="B1174" t="s">
        <v>22</v>
      </c>
      <c r="C1174" t="s">
        <v>15</v>
      </c>
      <c r="D1174" t="s">
        <v>16</v>
      </c>
      <c r="E1174">
        <v>3</v>
      </c>
      <c r="F1174">
        <f>MAX(-1,3-Tableau1[[#This Row],[Nb possédé (digital)]])</f>
        <v>0</v>
      </c>
      <c r="G1174">
        <v>3</v>
      </c>
      <c r="H1174">
        <f>MAX(-1,3-Tableau1[[#This Row],[Possédé (physique)]])</f>
        <v>0</v>
      </c>
      <c r="I1174" t="str">
        <f>IF(Tableau1[[#This Row],[Manque (physique)]]&gt;Tableau1[[#This Row],[Manque (digital)]],"POD",IF(Tableau1[[#This Row],[Manque (digital)]]&gt;Tableau1[[#This Row],[Manque (physique)]],"MarketPlace",""))</f>
        <v/>
      </c>
      <c r="J1174" t="s">
        <v>17</v>
      </c>
      <c r="K1174" t="s">
        <v>153</v>
      </c>
      <c r="L1174" t="s">
        <v>37</v>
      </c>
      <c r="M1174" t="s">
        <v>37</v>
      </c>
      <c r="Q1174" t="s">
        <v>905</v>
      </c>
    </row>
    <row r="1175" spans="1:17" hidden="1" x14ac:dyDescent="0.25">
      <c r="A1175" t="s">
        <v>460</v>
      </c>
      <c r="B1175" t="s">
        <v>22</v>
      </c>
      <c r="C1175" t="s">
        <v>15</v>
      </c>
      <c r="D1175" t="s">
        <v>16</v>
      </c>
      <c r="E1175">
        <v>3</v>
      </c>
      <c r="F1175">
        <f>MAX(-1,3-Tableau1[[#This Row],[Nb possédé (digital)]])</f>
        <v>0</v>
      </c>
      <c r="G1175">
        <v>3</v>
      </c>
      <c r="H1175">
        <f>MAX(-1,3-Tableau1[[#This Row],[Possédé (physique)]])</f>
        <v>0</v>
      </c>
      <c r="I1175" t="str">
        <f>IF(Tableau1[[#This Row],[Manque (physique)]]&gt;Tableau1[[#This Row],[Manque (digital)]],"POD",IF(Tableau1[[#This Row],[Manque (digital)]]&gt;Tableau1[[#This Row],[Manque (physique)]],"MarketPlace",""))</f>
        <v/>
      </c>
      <c r="J1175" t="s">
        <v>30</v>
      </c>
      <c r="K1175" t="s">
        <v>72</v>
      </c>
      <c r="L1175" t="s">
        <v>39</v>
      </c>
      <c r="M1175" t="s">
        <v>39</v>
      </c>
      <c r="N1175" t="s">
        <v>39</v>
      </c>
      <c r="O1175" t="s">
        <v>23</v>
      </c>
      <c r="P1175" t="s">
        <v>23</v>
      </c>
      <c r="Q1175" t="s">
        <v>461</v>
      </c>
    </row>
    <row r="1176" spans="1:17" hidden="1" x14ac:dyDescent="0.25">
      <c r="A1176" t="s">
        <v>758</v>
      </c>
      <c r="B1176" t="s">
        <v>22</v>
      </c>
      <c r="C1176" t="s">
        <v>15</v>
      </c>
      <c r="D1176" t="s">
        <v>16</v>
      </c>
      <c r="E1176">
        <v>3</v>
      </c>
      <c r="F1176">
        <f>MAX(-1,3-Tableau1[[#This Row],[Nb possédé (digital)]])</f>
        <v>0</v>
      </c>
      <c r="G1176">
        <v>3</v>
      </c>
      <c r="H1176">
        <f>MAX(-1,3-Tableau1[[#This Row],[Possédé (physique)]])</f>
        <v>0</v>
      </c>
      <c r="I1176" t="str">
        <f>IF(Tableau1[[#This Row],[Manque (physique)]]&gt;Tableau1[[#This Row],[Manque (digital)]],"POD",IF(Tableau1[[#This Row],[Manque (digital)]]&gt;Tableau1[[#This Row],[Manque (physique)]],"MarketPlace",""))</f>
        <v/>
      </c>
      <c r="J1176" t="s">
        <v>30</v>
      </c>
      <c r="K1176" t="s">
        <v>51</v>
      </c>
      <c r="L1176" t="s">
        <v>380</v>
      </c>
      <c r="M1176" t="s">
        <v>37</v>
      </c>
      <c r="N1176" t="s">
        <v>37</v>
      </c>
      <c r="O1176" t="s">
        <v>37</v>
      </c>
      <c r="P1176" t="s">
        <v>37</v>
      </c>
      <c r="Q1176" t="s">
        <v>759</v>
      </c>
    </row>
    <row r="1177" spans="1:17" hidden="1" x14ac:dyDescent="0.25">
      <c r="A1177" t="s">
        <v>486</v>
      </c>
      <c r="B1177" t="s">
        <v>22</v>
      </c>
      <c r="C1177" t="s">
        <v>15</v>
      </c>
      <c r="D1177" t="s">
        <v>16</v>
      </c>
      <c r="E1177">
        <v>3</v>
      </c>
      <c r="F1177">
        <f>MAX(-1,3-Tableau1[[#This Row],[Nb possédé (digital)]])</f>
        <v>0</v>
      </c>
      <c r="G1177">
        <v>3</v>
      </c>
      <c r="H1177">
        <f>MAX(-1,3-Tableau1[[#This Row],[Possédé (physique)]])</f>
        <v>0</v>
      </c>
      <c r="I1177" t="str">
        <f>IF(Tableau1[[#This Row],[Manque (physique)]]&gt;Tableau1[[#This Row],[Manque (digital)]],"POD",IF(Tableau1[[#This Row],[Manque (digital)]]&gt;Tableau1[[#This Row],[Manque (physique)]],"MarketPlace",""))</f>
        <v/>
      </c>
      <c r="J1177" t="s">
        <v>30</v>
      </c>
      <c r="K1177" t="s">
        <v>51</v>
      </c>
      <c r="L1177" t="s">
        <v>380</v>
      </c>
      <c r="M1177" t="s">
        <v>380</v>
      </c>
      <c r="N1177" t="s">
        <v>37</v>
      </c>
      <c r="O1177" t="s">
        <v>37</v>
      </c>
      <c r="P1177" t="s">
        <v>37</v>
      </c>
      <c r="Q1177" t="s">
        <v>488</v>
      </c>
    </row>
    <row r="1178" spans="1:17" hidden="1" x14ac:dyDescent="0.25">
      <c r="A1178" t="s">
        <v>548</v>
      </c>
      <c r="B1178" t="s">
        <v>22</v>
      </c>
      <c r="C1178" t="s">
        <v>15</v>
      </c>
      <c r="D1178" t="s">
        <v>16</v>
      </c>
      <c r="E1178">
        <v>3</v>
      </c>
      <c r="F1178">
        <f>MAX(-1,3-Tableau1[[#This Row],[Nb possédé (digital)]])</f>
        <v>0</v>
      </c>
      <c r="G1178">
        <v>3</v>
      </c>
      <c r="H1178">
        <f>MAX(-1,3-Tableau1[[#This Row],[Possédé (physique)]])</f>
        <v>0</v>
      </c>
      <c r="I1178" t="str">
        <f>IF(Tableau1[[#This Row],[Manque (physique)]]&gt;Tableau1[[#This Row],[Manque (digital)]],"POD",IF(Tableau1[[#This Row],[Manque (digital)]]&gt;Tableau1[[#This Row],[Manque (physique)]],"MarketPlace",""))</f>
        <v/>
      </c>
      <c r="J1178" t="s">
        <v>30</v>
      </c>
      <c r="K1178" t="s">
        <v>347</v>
      </c>
      <c r="L1178" t="s">
        <v>380</v>
      </c>
      <c r="M1178" t="s">
        <v>380</v>
      </c>
      <c r="N1178" t="s">
        <v>89</v>
      </c>
      <c r="O1178" t="s">
        <v>89</v>
      </c>
      <c r="P1178" t="s">
        <v>89</v>
      </c>
      <c r="Q1178" t="s">
        <v>550</v>
      </c>
    </row>
    <row r="1179" spans="1:17" hidden="1" x14ac:dyDescent="0.25">
      <c r="A1179" t="s">
        <v>752</v>
      </c>
      <c r="B1179" t="s">
        <v>22</v>
      </c>
      <c r="C1179" t="s">
        <v>15</v>
      </c>
      <c r="D1179" t="s">
        <v>58</v>
      </c>
      <c r="E1179">
        <v>3</v>
      </c>
      <c r="F1179">
        <f>MAX(-1,3-Tableau1[[#This Row],[Nb possédé (digital)]])</f>
        <v>0</v>
      </c>
      <c r="G1179">
        <v>3</v>
      </c>
      <c r="H1179">
        <f>MAX(-1,3-Tableau1[[#This Row],[Possédé (physique)]])</f>
        <v>0</v>
      </c>
      <c r="I1179" t="str">
        <f>IF(Tableau1[[#This Row],[Manque (physique)]]&gt;Tableau1[[#This Row],[Manque (digital)]],"POD",IF(Tableau1[[#This Row],[Manque (digital)]]&gt;Tableau1[[#This Row],[Manque (physique)]],"MarketPlace",""))</f>
        <v/>
      </c>
      <c r="J1179" t="s">
        <v>17</v>
      </c>
      <c r="K1179" t="s">
        <v>97</v>
      </c>
      <c r="L1179" t="s">
        <v>20</v>
      </c>
      <c r="M1179" t="s">
        <v>20</v>
      </c>
      <c r="Q1179" t="s">
        <v>754</v>
      </c>
    </row>
    <row r="1180" spans="1:17" hidden="1" x14ac:dyDescent="0.25">
      <c r="A1180" t="s">
        <v>993</v>
      </c>
      <c r="B1180" t="s">
        <v>22</v>
      </c>
      <c r="C1180" t="s">
        <v>15</v>
      </c>
      <c r="D1180" t="s">
        <v>58</v>
      </c>
      <c r="E1180">
        <v>3</v>
      </c>
      <c r="F1180">
        <f>MAX(-1,3-Tableau1[[#This Row],[Nb possédé (digital)]])</f>
        <v>0</v>
      </c>
      <c r="G1180">
        <v>3</v>
      </c>
      <c r="H1180">
        <f>MAX(-1,3-Tableau1[[#This Row],[Possédé (physique)]])</f>
        <v>0</v>
      </c>
      <c r="I1180" t="str">
        <f>IF(Tableau1[[#This Row],[Manque (physique)]]&gt;Tableau1[[#This Row],[Manque (digital)]],"POD",IF(Tableau1[[#This Row],[Manque (digital)]]&gt;Tableau1[[#This Row],[Manque (physique)]],"MarketPlace",""))</f>
        <v/>
      </c>
      <c r="J1180" t="s">
        <v>17</v>
      </c>
      <c r="K1180" t="s">
        <v>18</v>
      </c>
      <c r="L1180" t="s">
        <v>20</v>
      </c>
      <c r="M1180" t="s">
        <v>20</v>
      </c>
      <c r="Q1180" t="s">
        <v>995</v>
      </c>
    </row>
    <row r="1181" spans="1:17" hidden="1" x14ac:dyDescent="0.25">
      <c r="A1181" t="s">
        <v>1063</v>
      </c>
      <c r="B1181" t="s">
        <v>22</v>
      </c>
      <c r="C1181" t="s">
        <v>15</v>
      </c>
      <c r="D1181" t="s">
        <v>58</v>
      </c>
      <c r="E1181">
        <v>1</v>
      </c>
      <c r="F1181">
        <f>MAX(-1,3-Tableau1[[#This Row],[Nb possédé (digital)]])</f>
        <v>2</v>
      </c>
      <c r="G1181">
        <v>3</v>
      </c>
      <c r="H1181">
        <f>MAX(-1,3-Tableau1[[#This Row],[Possédé (physique)]])</f>
        <v>0</v>
      </c>
      <c r="I1181" t="str">
        <f>IF(Tableau1[[#This Row],[Manque (physique)]]&gt;Tableau1[[#This Row],[Manque (digital)]],"POD",IF(Tableau1[[#This Row],[Manque (digital)]]&gt;Tableau1[[#This Row],[Manque (physique)]],"MarketPlace",""))</f>
        <v>MarketPlace</v>
      </c>
      <c r="J1181" t="s">
        <v>116</v>
      </c>
      <c r="K1181" t="s">
        <v>117</v>
      </c>
      <c r="L1181" t="s">
        <v>20</v>
      </c>
      <c r="M1181" t="s">
        <v>20</v>
      </c>
      <c r="Q1181" t="s">
        <v>1065</v>
      </c>
    </row>
    <row r="1182" spans="1:17" hidden="1" x14ac:dyDescent="0.25">
      <c r="A1182" t="s">
        <v>507</v>
      </c>
      <c r="B1182" t="s">
        <v>22</v>
      </c>
      <c r="C1182" t="s">
        <v>15</v>
      </c>
      <c r="D1182" t="s">
        <v>58</v>
      </c>
      <c r="E1182">
        <v>3</v>
      </c>
      <c r="F1182">
        <f>MAX(-1,3-Tableau1[[#This Row],[Nb possédé (digital)]])</f>
        <v>0</v>
      </c>
      <c r="G1182">
        <v>3</v>
      </c>
      <c r="H1182">
        <f>MAX(-1,3-Tableau1[[#This Row],[Possédé (physique)]])</f>
        <v>0</v>
      </c>
      <c r="I1182" t="str">
        <f>IF(Tableau1[[#This Row],[Manque (physique)]]&gt;Tableau1[[#This Row],[Manque (digital)]],"POD",IF(Tableau1[[#This Row],[Manque (digital)]]&gt;Tableau1[[#This Row],[Manque (physique)]],"MarketPlace",""))</f>
        <v/>
      </c>
      <c r="J1182" t="s">
        <v>17</v>
      </c>
      <c r="K1182" t="s">
        <v>153</v>
      </c>
      <c r="L1182" t="s">
        <v>20</v>
      </c>
      <c r="M1182" t="s">
        <v>19</v>
      </c>
      <c r="Q1182" t="s">
        <v>509</v>
      </c>
    </row>
    <row r="1183" spans="1:17" hidden="1" x14ac:dyDescent="0.25">
      <c r="A1183" t="s">
        <v>645</v>
      </c>
      <c r="B1183" t="s">
        <v>22</v>
      </c>
      <c r="C1183" t="s">
        <v>15</v>
      </c>
      <c r="D1183" t="s">
        <v>58</v>
      </c>
      <c r="E1183">
        <v>3</v>
      </c>
      <c r="F1183">
        <f>MAX(-1,3-Tableau1[[#This Row],[Nb possédé (digital)]])</f>
        <v>0</v>
      </c>
      <c r="G1183">
        <v>3</v>
      </c>
      <c r="H1183">
        <f>MAX(-1,3-Tableau1[[#This Row],[Possédé (physique)]])</f>
        <v>0</v>
      </c>
      <c r="I1183" t="str">
        <f>IF(Tableau1[[#This Row],[Manque (physique)]]&gt;Tableau1[[#This Row],[Manque (digital)]],"POD",IF(Tableau1[[#This Row],[Manque (digital)]]&gt;Tableau1[[#This Row],[Manque (physique)]],"MarketPlace",""))</f>
        <v/>
      </c>
      <c r="J1183" t="s">
        <v>30</v>
      </c>
      <c r="K1183" t="s">
        <v>292</v>
      </c>
      <c r="L1183" t="s">
        <v>20</v>
      </c>
      <c r="M1183" t="s">
        <v>23</v>
      </c>
      <c r="N1183" t="s">
        <v>37</v>
      </c>
      <c r="O1183" t="s">
        <v>23</v>
      </c>
      <c r="P1183" t="s">
        <v>37</v>
      </c>
      <c r="Q1183" t="s">
        <v>646</v>
      </c>
    </row>
    <row r="1184" spans="1:17" hidden="1" x14ac:dyDescent="0.25">
      <c r="A1184" t="s">
        <v>1059</v>
      </c>
      <c r="B1184" t="s">
        <v>22</v>
      </c>
      <c r="C1184" t="s">
        <v>15</v>
      </c>
      <c r="D1184" t="s">
        <v>58</v>
      </c>
      <c r="E1184">
        <v>3</v>
      </c>
      <c r="F1184">
        <f>MAX(-1,3-Tableau1[[#This Row],[Nb possédé (digital)]])</f>
        <v>0</v>
      </c>
      <c r="G1184">
        <v>3</v>
      </c>
      <c r="H1184">
        <f>MAX(-1,3-Tableau1[[#This Row],[Possédé (physique)]])</f>
        <v>0</v>
      </c>
      <c r="I1184" t="str">
        <f>IF(Tableau1[[#This Row],[Manque (physique)]]&gt;Tableau1[[#This Row],[Manque (digital)]],"POD",IF(Tableau1[[#This Row],[Manque (digital)]]&gt;Tableau1[[#This Row],[Manque (physique)]],"MarketPlace",""))</f>
        <v/>
      </c>
      <c r="J1184" t="s">
        <v>116</v>
      </c>
      <c r="K1184" t="s">
        <v>117</v>
      </c>
      <c r="L1184" t="s">
        <v>19</v>
      </c>
      <c r="M1184" t="s">
        <v>20</v>
      </c>
      <c r="Q1184" t="s">
        <v>1062</v>
      </c>
    </row>
    <row r="1185" spans="1:17" hidden="1" x14ac:dyDescent="0.25">
      <c r="A1185" t="s">
        <v>237</v>
      </c>
      <c r="B1185" t="s">
        <v>22</v>
      </c>
      <c r="C1185" t="s">
        <v>15</v>
      </c>
      <c r="D1185" t="s">
        <v>58</v>
      </c>
      <c r="E1185">
        <v>3</v>
      </c>
      <c r="F1185">
        <f>MAX(-1,3-Tableau1[[#This Row],[Nb possédé (digital)]])</f>
        <v>0</v>
      </c>
      <c r="G1185">
        <v>3</v>
      </c>
      <c r="H1185">
        <f>MAX(-1,3-Tableau1[[#This Row],[Possédé (physique)]])</f>
        <v>0</v>
      </c>
      <c r="I1185" t="str">
        <f>IF(Tableau1[[#This Row],[Manque (physique)]]&gt;Tableau1[[#This Row],[Manque (digital)]],"POD",IF(Tableau1[[#This Row],[Manque (digital)]]&gt;Tableau1[[#This Row],[Manque (physique)]],"MarketPlace",""))</f>
        <v/>
      </c>
      <c r="J1185" t="s">
        <v>30</v>
      </c>
      <c r="K1185" t="s">
        <v>72</v>
      </c>
      <c r="L1185" t="s">
        <v>19</v>
      </c>
      <c r="M1185" t="s">
        <v>19</v>
      </c>
      <c r="N1185" t="s">
        <v>23</v>
      </c>
      <c r="O1185" t="s">
        <v>89</v>
      </c>
      <c r="P1185" t="s">
        <v>19</v>
      </c>
      <c r="Q1185" t="s">
        <v>239</v>
      </c>
    </row>
    <row r="1186" spans="1:17" hidden="1" x14ac:dyDescent="0.25">
      <c r="A1186" t="s">
        <v>529</v>
      </c>
      <c r="B1186" t="s">
        <v>22</v>
      </c>
      <c r="C1186" t="s">
        <v>15</v>
      </c>
      <c r="D1186" t="s">
        <v>58</v>
      </c>
      <c r="E1186">
        <v>3</v>
      </c>
      <c r="F1186">
        <f>MAX(-1,3-Tableau1[[#This Row],[Nb possédé (digital)]])</f>
        <v>0</v>
      </c>
      <c r="G1186">
        <v>3</v>
      </c>
      <c r="H1186">
        <f>MAX(-1,3-Tableau1[[#This Row],[Possédé (physique)]])</f>
        <v>0</v>
      </c>
      <c r="I1186" t="str">
        <f>IF(Tableau1[[#This Row],[Manque (physique)]]&gt;Tableau1[[#This Row],[Manque (digital)]],"POD",IF(Tableau1[[#This Row],[Manque (digital)]]&gt;Tableau1[[#This Row],[Manque (physique)]],"MarketPlace",""))</f>
        <v/>
      </c>
      <c r="J1186" t="s">
        <v>116</v>
      </c>
      <c r="K1186" t="s">
        <v>117</v>
      </c>
      <c r="L1186" t="s">
        <v>19</v>
      </c>
      <c r="M1186" t="s">
        <v>19</v>
      </c>
      <c r="Q1186" t="s">
        <v>531</v>
      </c>
    </row>
    <row r="1187" spans="1:17" hidden="1" x14ac:dyDescent="0.25">
      <c r="A1187" t="s">
        <v>591</v>
      </c>
      <c r="B1187" t="s">
        <v>22</v>
      </c>
      <c r="C1187" t="s">
        <v>15</v>
      </c>
      <c r="D1187" t="s">
        <v>58</v>
      </c>
      <c r="E1187">
        <v>3</v>
      </c>
      <c r="F1187">
        <f>MAX(-1,3-Tableau1[[#This Row],[Nb possédé (digital)]])</f>
        <v>0</v>
      </c>
      <c r="G1187">
        <v>3</v>
      </c>
      <c r="H1187">
        <f>MAX(-1,3-Tableau1[[#This Row],[Possédé (physique)]])</f>
        <v>0</v>
      </c>
      <c r="I1187" t="str">
        <f>IF(Tableau1[[#This Row],[Manque (physique)]]&gt;Tableau1[[#This Row],[Manque (digital)]],"POD",IF(Tableau1[[#This Row],[Manque (digital)]]&gt;Tableau1[[#This Row],[Manque (physique)]],"MarketPlace",""))</f>
        <v/>
      </c>
      <c r="J1187" t="s">
        <v>30</v>
      </c>
      <c r="K1187" t="s">
        <v>124</v>
      </c>
      <c r="L1187" t="s">
        <v>19</v>
      </c>
      <c r="M1187" t="s">
        <v>19</v>
      </c>
      <c r="N1187" t="s">
        <v>19</v>
      </c>
      <c r="O1187" t="s">
        <v>20</v>
      </c>
      <c r="P1187" t="s">
        <v>19</v>
      </c>
      <c r="Q1187" t="s">
        <v>336</v>
      </c>
    </row>
    <row r="1188" spans="1:17" hidden="1" x14ac:dyDescent="0.25">
      <c r="A1188" t="s">
        <v>1135</v>
      </c>
      <c r="B1188" t="s">
        <v>22</v>
      </c>
      <c r="C1188" t="s">
        <v>15</v>
      </c>
      <c r="D1188" t="s">
        <v>58</v>
      </c>
      <c r="E1188">
        <v>3</v>
      </c>
      <c r="F1188">
        <f>MAX(-1,3-Tableau1[[#This Row],[Nb possédé (digital)]])</f>
        <v>0</v>
      </c>
      <c r="G1188">
        <v>3</v>
      </c>
      <c r="H1188">
        <f>MAX(-1,3-Tableau1[[#This Row],[Possédé (physique)]])</f>
        <v>0</v>
      </c>
      <c r="I1188" t="str">
        <f>IF(Tableau1[[#This Row],[Manque (physique)]]&gt;Tableau1[[#This Row],[Manque (digital)]],"POD",IF(Tableau1[[#This Row],[Manque (digital)]]&gt;Tableau1[[#This Row],[Manque (physique)]],"MarketPlace",""))</f>
        <v/>
      </c>
      <c r="J1188" t="s">
        <v>30</v>
      </c>
      <c r="K1188" t="s">
        <v>79</v>
      </c>
      <c r="L1188" t="s">
        <v>23</v>
      </c>
      <c r="M1188" t="s">
        <v>20</v>
      </c>
      <c r="N1188" t="s">
        <v>20</v>
      </c>
      <c r="O1188" t="s">
        <v>20</v>
      </c>
      <c r="P1188" t="s">
        <v>19</v>
      </c>
      <c r="Q1188" t="s">
        <v>763</v>
      </c>
    </row>
    <row r="1189" spans="1:17" hidden="1" x14ac:dyDescent="0.25">
      <c r="A1189" t="s">
        <v>454</v>
      </c>
      <c r="B1189" t="s">
        <v>22</v>
      </c>
      <c r="C1189" t="s">
        <v>15</v>
      </c>
      <c r="D1189" t="s">
        <v>58</v>
      </c>
      <c r="E1189">
        <v>3</v>
      </c>
      <c r="F1189">
        <f>MAX(-1,3-Tableau1[[#This Row],[Nb possédé (digital)]])</f>
        <v>0</v>
      </c>
      <c r="G1189">
        <v>3</v>
      </c>
      <c r="H1189">
        <f>MAX(-1,3-Tableau1[[#This Row],[Possédé (physique)]])</f>
        <v>0</v>
      </c>
      <c r="I1189" t="str">
        <f>IF(Tableau1[[#This Row],[Manque (physique)]]&gt;Tableau1[[#This Row],[Manque (digital)]],"POD",IF(Tableau1[[#This Row],[Manque (digital)]]&gt;Tableau1[[#This Row],[Manque (physique)]],"MarketPlace",""))</f>
        <v/>
      </c>
      <c r="J1189" t="s">
        <v>30</v>
      </c>
      <c r="K1189" t="s">
        <v>103</v>
      </c>
      <c r="L1189" t="s">
        <v>23</v>
      </c>
      <c r="M1189" t="s">
        <v>19</v>
      </c>
      <c r="N1189" t="s">
        <v>23</v>
      </c>
      <c r="O1189" t="s">
        <v>89</v>
      </c>
      <c r="P1189" t="s">
        <v>89</v>
      </c>
      <c r="Q1189" t="s">
        <v>456</v>
      </c>
    </row>
    <row r="1190" spans="1:17" hidden="1" x14ac:dyDescent="0.25">
      <c r="A1190" t="s">
        <v>484</v>
      </c>
      <c r="B1190" t="s">
        <v>22</v>
      </c>
      <c r="C1190" t="s">
        <v>15</v>
      </c>
      <c r="D1190" t="s">
        <v>58</v>
      </c>
      <c r="E1190">
        <v>3</v>
      </c>
      <c r="F1190">
        <f>MAX(-1,3-Tableau1[[#This Row],[Nb possédé (digital)]])</f>
        <v>0</v>
      </c>
      <c r="G1190">
        <v>3</v>
      </c>
      <c r="H1190">
        <f>MAX(-1,3-Tableau1[[#This Row],[Possédé (physique)]])</f>
        <v>0</v>
      </c>
      <c r="I1190" t="str">
        <f>IF(Tableau1[[#This Row],[Manque (physique)]]&gt;Tableau1[[#This Row],[Manque (digital)]],"POD",IF(Tableau1[[#This Row],[Manque (digital)]]&gt;Tableau1[[#This Row],[Manque (physique)]],"MarketPlace",""))</f>
        <v/>
      </c>
      <c r="J1190" t="s">
        <v>268</v>
      </c>
      <c r="K1190" t="s">
        <v>269</v>
      </c>
      <c r="L1190" t="s">
        <v>23</v>
      </c>
      <c r="M1190" t="s">
        <v>19</v>
      </c>
      <c r="Q1190" t="s">
        <v>485</v>
      </c>
    </row>
    <row r="1191" spans="1:17" hidden="1" x14ac:dyDescent="0.25">
      <c r="A1191" t="s">
        <v>864</v>
      </c>
      <c r="B1191" t="s">
        <v>22</v>
      </c>
      <c r="C1191" t="s">
        <v>15</v>
      </c>
      <c r="D1191" t="s">
        <v>58</v>
      </c>
      <c r="E1191">
        <v>0</v>
      </c>
      <c r="F1191">
        <f>MAX(-1,3-Tableau1[[#This Row],[Nb possédé (digital)]])</f>
        <v>3</v>
      </c>
      <c r="G1191">
        <v>3</v>
      </c>
      <c r="H1191">
        <f>MAX(-1,3-Tableau1[[#This Row],[Possédé (physique)]])</f>
        <v>0</v>
      </c>
      <c r="I1191" t="str">
        <f>IF(Tableau1[[#This Row],[Manque (physique)]]&gt;Tableau1[[#This Row],[Manque (digital)]],"POD",IF(Tableau1[[#This Row],[Manque (digital)]]&gt;Tableau1[[#This Row],[Manque (physique)]],"MarketPlace",""))</f>
        <v>MarketPlace</v>
      </c>
      <c r="J1191" t="s">
        <v>30</v>
      </c>
      <c r="K1191" t="s">
        <v>51</v>
      </c>
      <c r="L1191" t="s">
        <v>23</v>
      </c>
      <c r="M1191" t="s">
        <v>19</v>
      </c>
      <c r="N1191" t="s">
        <v>23</v>
      </c>
      <c r="O1191" t="s">
        <v>89</v>
      </c>
      <c r="P1191" t="s">
        <v>89</v>
      </c>
      <c r="Q1191" t="s">
        <v>866</v>
      </c>
    </row>
    <row r="1192" spans="1:17" hidden="1" x14ac:dyDescent="0.25">
      <c r="A1192" t="s">
        <v>1051</v>
      </c>
      <c r="B1192" t="s">
        <v>22</v>
      </c>
      <c r="C1192" t="s">
        <v>15</v>
      </c>
      <c r="D1192" t="s">
        <v>58</v>
      </c>
      <c r="E1192">
        <v>0</v>
      </c>
      <c r="F1192">
        <f>MAX(-1,3-Tableau1[[#This Row],[Nb possédé (digital)]])</f>
        <v>3</v>
      </c>
      <c r="G1192">
        <v>3</v>
      </c>
      <c r="H1192">
        <f>MAX(-1,3-Tableau1[[#This Row],[Possédé (physique)]])</f>
        <v>0</v>
      </c>
      <c r="I1192" t="str">
        <f>IF(Tableau1[[#This Row],[Manque (physique)]]&gt;Tableau1[[#This Row],[Manque (digital)]],"POD",IF(Tableau1[[#This Row],[Manque (digital)]]&gt;Tableau1[[#This Row],[Manque (physique)]],"MarketPlace",""))</f>
        <v>MarketPlace</v>
      </c>
      <c r="J1192" t="s">
        <v>268</v>
      </c>
      <c r="K1192" t="s">
        <v>269</v>
      </c>
      <c r="L1192" t="s">
        <v>23</v>
      </c>
      <c r="M1192" t="s">
        <v>19</v>
      </c>
      <c r="Q1192" t="s">
        <v>1052</v>
      </c>
    </row>
    <row r="1193" spans="1:17" hidden="1" x14ac:dyDescent="0.25">
      <c r="A1193" t="s">
        <v>334</v>
      </c>
      <c r="B1193" t="s">
        <v>22</v>
      </c>
      <c r="C1193" t="s">
        <v>15</v>
      </c>
      <c r="D1193" t="s">
        <v>58</v>
      </c>
      <c r="E1193">
        <v>3</v>
      </c>
      <c r="F1193">
        <f>MAX(-1,3-Tableau1[[#This Row],[Nb possédé (digital)]])</f>
        <v>0</v>
      </c>
      <c r="G1193">
        <v>3</v>
      </c>
      <c r="H1193">
        <f>MAX(-1,3-Tableau1[[#This Row],[Possédé (physique)]])</f>
        <v>0</v>
      </c>
      <c r="I1193" t="str">
        <f>IF(Tableau1[[#This Row],[Manque (physique)]]&gt;Tableau1[[#This Row],[Manque (digital)]],"POD",IF(Tableau1[[#This Row],[Manque (digital)]]&gt;Tableau1[[#This Row],[Manque (physique)]],"MarketPlace",""))</f>
        <v/>
      </c>
      <c r="J1193" t="s">
        <v>30</v>
      </c>
      <c r="K1193" t="s">
        <v>335</v>
      </c>
      <c r="L1193" t="s">
        <v>23</v>
      </c>
      <c r="M1193" t="s">
        <v>23</v>
      </c>
      <c r="N1193" t="s">
        <v>23</v>
      </c>
      <c r="O1193" t="s">
        <v>23</v>
      </c>
      <c r="P1193" t="s">
        <v>23</v>
      </c>
      <c r="Q1193" t="s">
        <v>337</v>
      </c>
    </row>
    <row r="1194" spans="1:17" hidden="1" x14ac:dyDescent="0.25">
      <c r="A1194" t="s">
        <v>382</v>
      </c>
      <c r="B1194" t="s">
        <v>22</v>
      </c>
      <c r="C1194" t="s">
        <v>15</v>
      </c>
      <c r="D1194" t="s">
        <v>58</v>
      </c>
      <c r="E1194">
        <v>3</v>
      </c>
      <c r="F1194">
        <f>MAX(-1,3-Tableau1[[#This Row],[Nb possédé (digital)]])</f>
        <v>0</v>
      </c>
      <c r="G1194">
        <v>3</v>
      </c>
      <c r="H1194">
        <f>MAX(-1,3-Tableau1[[#This Row],[Possédé (physique)]])</f>
        <v>0</v>
      </c>
      <c r="I1194" t="str">
        <f>IF(Tableau1[[#This Row],[Manque (physique)]]&gt;Tableau1[[#This Row],[Manque (digital)]],"POD",IF(Tableau1[[#This Row],[Manque (digital)]]&gt;Tableau1[[#This Row],[Manque (physique)]],"MarketPlace",""))</f>
        <v/>
      </c>
      <c r="J1194" t="s">
        <v>30</v>
      </c>
      <c r="K1194" t="s">
        <v>107</v>
      </c>
      <c r="L1194" t="s">
        <v>23</v>
      </c>
      <c r="M1194" t="s">
        <v>23</v>
      </c>
      <c r="N1194" t="s">
        <v>23</v>
      </c>
      <c r="O1194" t="s">
        <v>23</v>
      </c>
      <c r="P1194" t="s">
        <v>23</v>
      </c>
      <c r="Q1194" t="s">
        <v>383</v>
      </c>
    </row>
    <row r="1195" spans="1:17" hidden="1" x14ac:dyDescent="0.25">
      <c r="A1195" t="s">
        <v>764</v>
      </c>
      <c r="B1195" t="s">
        <v>22</v>
      </c>
      <c r="C1195" t="s">
        <v>15</v>
      </c>
      <c r="D1195" t="s">
        <v>58</v>
      </c>
      <c r="E1195">
        <v>3</v>
      </c>
      <c r="F1195">
        <f>MAX(-1,3-Tableau1[[#This Row],[Nb possédé (digital)]])</f>
        <v>0</v>
      </c>
      <c r="G1195">
        <v>3</v>
      </c>
      <c r="H1195">
        <f>MAX(-1,3-Tableau1[[#This Row],[Possédé (physique)]])</f>
        <v>0</v>
      </c>
      <c r="I1195" t="str">
        <f>IF(Tableau1[[#This Row],[Manque (physique)]]&gt;Tableau1[[#This Row],[Manque (digital)]],"POD",IF(Tableau1[[#This Row],[Manque (digital)]]&gt;Tableau1[[#This Row],[Manque (physique)]],"MarketPlace",""))</f>
        <v/>
      </c>
      <c r="J1195" t="s">
        <v>30</v>
      </c>
      <c r="K1195" t="s">
        <v>79</v>
      </c>
      <c r="L1195" t="s">
        <v>23</v>
      </c>
      <c r="M1195" t="s">
        <v>23</v>
      </c>
      <c r="N1195" t="s">
        <v>89</v>
      </c>
      <c r="O1195" t="s">
        <v>52</v>
      </c>
      <c r="P1195" t="s">
        <v>52</v>
      </c>
      <c r="Q1195" t="s">
        <v>766</v>
      </c>
    </row>
    <row r="1196" spans="1:17" hidden="1" x14ac:dyDescent="0.25">
      <c r="A1196" t="s">
        <v>861</v>
      </c>
      <c r="B1196" t="s">
        <v>22</v>
      </c>
      <c r="C1196" t="s">
        <v>15</v>
      </c>
      <c r="D1196" t="s">
        <v>58</v>
      </c>
      <c r="E1196">
        <v>3</v>
      </c>
      <c r="F1196">
        <f>MAX(-1,3-Tableau1[[#This Row],[Nb possédé (digital)]])</f>
        <v>0</v>
      </c>
      <c r="G1196">
        <v>3</v>
      </c>
      <c r="H1196">
        <f>MAX(-1,3-Tableau1[[#This Row],[Possédé (physique)]])</f>
        <v>0</v>
      </c>
      <c r="I1196" t="str">
        <f>IF(Tableau1[[#This Row],[Manque (physique)]]&gt;Tableau1[[#This Row],[Manque (digital)]],"POD",IF(Tableau1[[#This Row],[Manque (digital)]]&gt;Tableau1[[#This Row],[Manque (physique)]],"MarketPlace",""))</f>
        <v/>
      </c>
      <c r="J1196" t="s">
        <v>17</v>
      </c>
      <c r="K1196" t="s">
        <v>153</v>
      </c>
      <c r="L1196" t="s">
        <v>23</v>
      </c>
      <c r="M1196" t="s">
        <v>23</v>
      </c>
      <c r="Q1196" t="s">
        <v>863</v>
      </c>
    </row>
    <row r="1197" spans="1:17" hidden="1" x14ac:dyDescent="0.25">
      <c r="A1197" t="s">
        <v>975</v>
      </c>
      <c r="B1197" t="s">
        <v>22</v>
      </c>
      <c r="C1197" t="s">
        <v>15</v>
      </c>
      <c r="D1197" t="s">
        <v>58</v>
      </c>
      <c r="E1197">
        <v>3</v>
      </c>
      <c r="F1197">
        <f>MAX(-1,3-Tableau1[[#This Row],[Nb possédé (digital)]])</f>
        <v>0</v>
      </c>
      <c r="G1197">
        <v>3</v>
      </c>
      <c r="H1197">
        <f>MAX(-1,3-Tableau1[[#This Row],[Possédé (physique)]])</f>
        <v>0</v>
      </c>
      <c r="I1197" t="str">
        <f>IF(Tableau1[[#This Row],[Manque (physique)]]&gt;Tableau1[[#This Row],[Manque (digital)]],"POD",IF(Tableau1[[#This Row],[Manque (digital)]]&gt;Tableau1[[#This Row],[Manque (physique)]],"MarketPlace",""))</f>
        <v/>
      </c>
      <c r="J1197" t="s">
        <v>30</v>
      </c>
      <c r="K1197" t="s">
        <v>42</v>
      </c>
      <c r="L1197" t="s">
        <v>23</v>
      </c>
      <c r="M1197" t="s">
        <v>23</v>
      </c>
      <c r="N1197" t="s">
        <v>20</v>
      </c>
      <c r="O1197" t="s">
        <v>20</v>
      </c>
      <c r="P1197" t="s">
        <v>20</v>
      </c>
      <c r="Q1197" t="s">
        <v>977</v>
      </c>
    </row>
    <row r="1198" spans="1:17" hidden="1" x14ac:dyDescent="0.25">
      <c r="A1198" t="s">
        <v>1129</v>
      </c>
      <c r="B1198" t="s">
        <v>22</v>
      </c>
      <c r="C1198" t="s">
        <v>15</v>
      </c>
      <c r="D1198" t="s">
        <v>58</v>
      </c>
      <c r="E1198">
        <v>3</v>
      </c>
      <c r="F1198">
        <f>MAX(-1,3-Tableau1[[#This Row],[Nb possédé (digital)]])</f>
        <v>0</v>
      </c>
      <c r="G1198">
        <v>3</v>
      </c>
      <c r="H1198">
        <f>MAX(-1,3-Tableau1[[#This Row],[Possédé (physique)]])</f>
        <v>0</v>
      </c>
      <c r="I1198" t="str">
        <f>IF(Tableau1[[#This Row],[Manque (physique)]]&gt;Tableau1[[#This Row],[Manque (digital)]],"POD",IF(Tableau1[[#This Row],[Manque (digital)]]&gt;Tableau1[[#This Row],[Manque (physique)]],"MarketPlace",""))</f>
        <v/>
      </c>
      <c r="J1198" t="s">
        <v>30</v>
      </c>
      <c r="K1198" t="s">
        <v>79</v>
      </c>
      <c r="L1198" t="s">
        <v>23</v>
      </c>
      <c r="M1198" t="s">
        <v>52</v>
      </c>
      <c r="N1198" t="s">
        <v>19</v>
      </c>
      <c r="O1198" t="s">
        <v>23</v>
      </c>
      <c r="P1198" t="s">
        <v>23</v>
      </c>
      <c r="Q1198" t="s">
        <v>1131</v>
      </c>
    </row>
    <row r="1199" spans="1:17" hidden="1" x14ac:dyDescent="0.25">
      <c r="A1199" t="s">
        <v>761</v>
      </c>
      <c r="B1199" t="s">
        <v>22</v>
      </c>
      <c r="C1199" t="s">
        <v>15</v>
      </c>
      <c r="D1199" t="s">
        <v>58</v>
      </c>
      <c r="E1199">
        <v>3</v>
      </c>
      <c r="F1199">
        <f>MAX(-1,3-Tableau1[[#This Row],[Nb possédé (digital)]])</f>
        <v>0</v>
      </c>
      <c r="G1199">
        <v>3</v>
      </c>
      <c r="H1199">
        <f>MAX(-1,3-Tableau1[[#This Row],[Possédé (physique)]])</f>
        <v>0</v>
      </c>
      <c r="I1199" t="str">
        <f>IF(Tableau1[[#This Row],[Manque (physique)]]&gt;Tableau1[[#This Row],[Manque (digital)]],"POD",IF(Tableau1[[#This Row],[Manque (digital)]]&gt;Tableau1[[#This Row],[Manque (physique)]],"MarketPlace",""))</f>
        <v/>
      </c>
      <c r="J1199" t="s">
        <v>30</v>
      </c>
      <c r="K1199" t="s">
        <v>762</v>
      </c>
      <c r="L1199" t="s">
        <v>52</v>
      </c>
      <c r="M1199" t="s">
        <v>23</v>
      </c>
      <c r="N1199" t="s">
        <v>52</v>
      </c>
      <c r="O1199" t="s">
        <v>23</v>
      </c>
      <c r="P1199" t="s">
        <v>52</v>
      </c>
      <c r="Q1199" t="s">
        <v>763</v>
      </c>
    </row>
    <row r="1200" spans="1:17" hidden="1" x14ac:dyDescent="0.25">
      <c r="A1200" t="s">
        <v>918</v>
      </c>
      <c r="B1200" t="s">
        <v>22</v>
      </c>
      <c r="C1200" t="s">
        <v>15</v>
      </c>
      <c r="D1200" t="s">
        <v>58</v>
      </c>
      <c r="E1200">
        <v>3</v>
      </c>
      <c r="F1200">
        <f>MAX(-1,3-Tableau1[[#This Row],[Nb possédé (digital)]])</f>
        <v>0</v>
      </c>
      <c r="G1200">
        <v>3</v>
      </c>
      <c r="H1200">
        <f>MAX(-1,3-Tableau1[[#This Row],[Possédé (physique)]])</f>
        <v>0</v>
      </c>
      <c r="I1200" t="str">
        <f>IF(Tableau1[[#This Row],[Manque (physique)]]&gt;Tableau1[[#This Row],[Manque (digital)]],"POD",IF(Tableau1[[#This Row],[Manque (digital)]]&gt;Tableau1[[#This Row],[Manque (physique)]],"MarketPlace",""))</f>
        <v/>
      </c>
      <c r="J1200" t="s">
        <v>30</v>
      </c>
      <c r="K1200" t="s">
        <v>919</v>
      </c>
      <c r="L1200" t="s">
        <v>52</v>
      </c>
      <c r="M1200" t="s">
        <v>23</v>
      </c>
      <c r="N1200" t="s">
        <v>23</v>
      </c>
      <c r="O1200" t="s">
        <v>89</v>
      </c>
      <c r="P1200" t="s">
        <v>52</v>
      </c>
      <c r="Q1200" t="s">
        <v>921</v>
      </c>
    </row>
    <row r="1201" spans="1:17" hidden="1" x14ac:dyDescent="0.25">
      <c r="A1201" t="s">
        <v>837</v>
      </c>
      <c r="B1201" t="s">
        <v>22</v>
      </c>
      <c r="C1201" t="s">
        <v>15</v>
      </c>
      <c r="D1201" t="s">
        <v>58</v>
      </c>
      <c r="E1201">
        <v>3</v>
      </c>
      <c r="F1201">
        <f>MAX(-1,3-Tableau1[[#This Row],[Nb possédé (digital)]])</f>
        <v>0</v>
      </c>
      <c r="G1201">
        <v>3</v>
      </c>
      <c r="H1201">
        <f>MAX(-1,3-Tableau1[[#This Row],[Possédé (physique)]])</f>
        <v>0</v>
      </c>
      <c r="I1201" t="str">
        <f>IF(Tableau1[[#This Row],[Manque (physique)]]&gt;Tableau1[[#This Row],[Manque (digital)]],"POD",IF(Tableau1[[#This Row],[Manque (digital)]]&gt;Tableau1[[#This Row],[Manque (physique)]],"MarketPlace",""))</f>
        <v/>
      </c>
      <c r="J1201" t="s">
        <v>30</v>
      </c>
      <c r="K1201" t="s">
        <v>838</v>
      </c>
      <c r="L1201" t="s">
        <v>52</v>
      </c>
      <c r="M1201" t="s">
        <v>52</v>
      </c>
      <c r="N1201" t="s">
        <v>19</v>
      </c>
      <c r="O1201" t="s">
        <v>19</v>
      </c>
      <c r="P1201" t="s">
        <v>19</v>
      </c>
      <c r="Q1201" t="s">
        <v>839</v>
      </c>
    </row>
    <row r="1202" spans="1:17" hidden="1" x14ac:dyDescent="0.25">
      <c r="A1202" t="s">
        <v>912</v>
      </c>
      <c r="B1202" t="s">
        <v>22</v>
      </c>
      <c r="C1202" t="s">
        <v>15</v>
      </c>
      <c r="D1202" t="s">
        <v>58</v>
      </c>
      <c r="E1202">
        <v>3</v>
      </c>
      <c r="F1202">
        <f>MAX(-1,3-Tableau1[[#This Row],[Nb possédé (digital)]])</f>
        <v>0</v>
      </c>
      <c r="G1202">
        <v>3</v>
      </c>
      <c r="H1202">
        <f>MAX(-1,3-Tableau1[[#This Row],[Possédé (physique)]])</f>
        <v>0</v>
      </c>
      <c r="I1202" t="str">
        <f>IF(Tableau1[[#This Row],[Manque (physique)]]&gt;Tableau1[[#This Row],[Manque (digital)]],"POD",IF(Tableau1[[#This Row],[Manque (digital)]]&gt;Tableau1[[#This Row],[Manque (physique)]],"MarketPlace",""))</f>
        <v/>
      </c>
      <c r="J1202" t="s">
        <v>30</v>
      </c>
      <c r="K1202" t="s">
        <v>292</v>
      </c>
      <c r="L1202" t="s">
        <v>52</v>
      </c>
      <c r="M1202" t="s">
        <v>52</v>
      </c>
      <c r="N1202" t="s">
        <v>37</v>
      </c>
      <c r="O1202" t="s">
        <v>37</v>
      </c>
      <c r="P1202" t="s">
        <v>37</v>
      </c>
      <c r="Q1202" t="s">
        <v>915</v>
      </c>
    </row>
    <row r="1203" spans="1:17" hidden="1" x14ac:dyDescent="0.25">
      <c r="A1203" t="s">
        <v>933</v>
      </c>
      <c r="B1203" t="s">
        <v>22</v>
      </c>
      <c r="C1203" t="s">
        <v>15</v>
      </c>
      <c r="D1203" t="s">
        <v>58</v>
      </c>
      <c r="E1203">
        <v>3</v>
      </c>
      <c r="F1203">
        <f>MAX(-1,3-Tableau1[[#This Row],[Nb possédé (digital)]])</f>
        <v>0</v>
      </c>
      <c r="G1203">
        <v>3</v>
      </c>
      <c r="H1203">
        <f>MAX(-1,3-Tableau1[[#This Row],[Possédé (physique)]])</f>
        <v>0</v>
      </c>
      <c r="I1203" t="str">
        <f>IF(Tableau1[[#This Row],[Manque (physique)]]&gt;Tableau1[[#This Row],[Manque (digital)]],"POD",IF(Tableau1[[#This Row],[Manque (digital)]]&gt;Tableau1[[#This Row],[Manque (physique)]],"MarketPlace",""))</f>
        <v/>
      </c>
      <c r="J1203" t="s">
        <v>268</v>
      </c>
      <c r="K1203" t="s">
        <v>438</v>
      </c>
      <c r="L1203" t="s">
        <v>52</v>
      </c>
      <c r="M1203" t="s">
        <v>52</v>
      </c>
      <c r="Q1203" t="s">
        <v>935</v>
      </c>
    </row>
    <row r="1204" spans="1:17" hidden="1" x14ac:dyDescent="0.25">
      <c r="A1204" t="s">
        <v>57</v>
      </c>
      <c r="B1204" t="s">
        <v>22</v>
      </c>
      <c r="C1204" t="s">
        <v>15</v>
      </c>
      <c r="D1204" t="s">
        <v>58</v>
      </c>
      <c r="E1204">
        <v>3</v>
      </c>
      <c r="F1204">
        <f>MAX(-1,3-Tableau1[[#This Row],[Nb possédé (digital)]])</f>
        <v>0</v>
      </c>
      <c r="G1204">
        <v>3</v>
      </c>
      <c r="H1204">
        <f>MAX(-1,3-Tableau1[[#This Row],[Possédé (physique)]])</f>
        <v>0</v>
      </c>
      <c r="I1204" t="str">
        <f>IF(Tableau1[[#This Row],[Manque (physique)]]&gt;Tableau1[[#This Row],[Manque (digital)]],"POD",IF(Tableau1[[#This Row],[Manque (digital)]]&gt;Tableau1[[#This Row],[Manque (physique)]],"MarketPlace",""))</f>
        <v/>
      </c>
      <c r="J1204" t="s">
        <v>30</v>
      </c>
      <c r="K1204" t="s">
        <v>59</v>
      </c>
      <c r="L1204" t="s">
        <v>52</v>
      </c>
      <c r="M1204" t="s">
        <v>37</v>
      </c>
      <c r="N1204" t="s">
        <v>23</v>
      </c>
      <c r="O1204" t="s">
        <v>23</v>
      </c>
      <c r="P1204" t="s">
        <v>37</v>
      </c>
      <c r="Q1204" t="s">
        <v>60</v>
      </c>
    </row>
    <row r="1205" spans="1:17" hidden="1" x14ac:dyDescent="0.25">
      <c r="A1205" t="s">
        <v>633</v>
      </c>
      <c r="B1205" t="s">
        <v>22</v>
      </c>
      <c r="C1205" t="s">
        <v>15</v>
      </c>
      <c r="D1205" t="s">
        <v>58</v>
      </c>
      <c r="E1205">
        <v>3</v>
      </c>
      <c r="F1205">
        <f>MAX(-1,3-Tableau1[[#This Row],[Nb possédé (digital)]])</f>
        <v>0</v>
      </c>
      <c r="G1205">
        <v>3</v>
      </c>
      <c r="H1205">
        <f>MAX(-1,3-Tableau1[[#This Row],[Possédé (physique)]])</f>
        <v>0</v>
      </c>
      <c r="I1205" t="str">
        <f>IF(Tableau1[[#This Row],[Manque (physique)]]&gt;Tableau1[[#This Row],[Manque (digital)]],"POD",IF(Tableau1[[#This Row],[Manque (digital)]]&gt;Tableau1[[#This Row],[Manque (physique)]],"MarketPlace",""))</f>
        <v/>
      </c>
      <c r="J1205" t="s">
        <v>30</v>
      </c>
      <c r="K1205" t="s">
        <v>328</v>
      </c>
      <c r="L1205" t="s">
        <v>52</v>
      </c>
      <c r="M1205" t="s">
        <v>37</v>
      </c>
      <c r="N1205" t="s">
        <v>39</v>
      </c>
      <c r="O1205" t="s">
        <v>39</v>
      </c>
      <c r="P1205" t="s">
        <v>39</v>
      </c>
      <c r="Q1205" t="s">
        <v>635</v>
      </c>
    </row>
    <row r="1206" spans="1:17" hidden="1" x14ac:dyDescent="0.25">
      <c r="A1206" t="s">
        <v>716</v>
      </c>
      <c r="B1206" t="s">
        <v>22</v>
      </c>
      <c r="C1206" t="s">
        <v>15</v>
      </c>
      <c r="D1206" t="s">
        <v>58</v>
      </c>
      <c r="E1206">
        <v>3</v>
      </c>
      <c r="F1206">
        <f>MAX(-1,3-Tableau1[[#This Row],[Nb possédé (digital)]])</f>
        <v>0</v>
      </c>
      <c r="G1206">
        <v>3</v>
      </c>
      <c r="H1206">
        <f>MAX(-1,3-Tableau1[[#This Row],[Possédé (physique)]])</f>
        <v>0</v>
      </c>
      <c r="I1206" t="str">
        <f>IF(Tableau1[[#This Row],[Manque (physique)]]&gt;Tableau1[[#This Row],[Manque (digital)]],"POD",IF(Tableau1[[#This Row],[Manque (digital)]]&gt;Tableau1[[#This Row],[Manque (physique)]],"MarketPlace",""))</f>
        <v/>
      </c>
      <c r="J1206" t="s">
        <v>30</v>
      </c>
      <c r="K1206" t="s">
        <v>557</v>
      </c>
      <c r="L1206" t="s">
        <v>37</v>
      </c>
      <c r="M1206" t="s">
        <v>37</v>
      </c>
      <c r="N1206" t="s">
        <v>89</v>
      </c>
      <c r="O1206" t="s">
        <v>37</v>
      </c>
      <c r="P1206" t="s">
        <v>37</v>
      </c>
      <c r="Q1206" t="s">
        <v>717</v>
      </c>
    </row>
    <row r="1207" spans="1:17" hidden="1" x14ac:dyDescent="0.25">
      <c r="A1207" t="s">
        <v>755</v>
      </c>
      <c r="B1207" t="s">
        <v>22</v>
      </c>
      <c r="C1207" t="s">
        <v>15</v>
      </c>
      <c r="D1207" t="s">
        <v>58</v>
      </c>
      <c r="E1207">
        <v>3</v>
      </c>
      <c r="F1207">
        <f>MAX(-1,3-Tableau1[[#This Row],[Nb possédé (digital)]])</f>
        <v>0</v>
      </c>
      <c r="G1207">
        <v>3</v>
      </c>
      <c r="H1207">
        <f>MAX(-1,3-Tableau1[[#This Row],[Possédé (physique)]])</f>
        <v>0</v>
      </c>
      <c r="I1207" t="str">
        <f>IF(Tableau1[[#This Row],[Manque (physique)]]&gt;Tableau1[[#This Row],[Manque (digital)]],"POD",IF(Tableau1[[#This Row],[Manque (digital)]]&gt;Tableau1[[#This Row],[Manque (physique)]],"MarketPlace",""))</f>
        <v/>
      </c>
      <c r="J1207" t="s">
        <v>30</v>
      </c>
      <c r="K1207" t="s">
        <v>378</v>
      </c>
      <c r="L1207" t="s">
        <v>37</v>
      </c>
      <c r="M1207" t="s">
        <v>37</v>
      </c>
      <c r="N1207" t="s">
        <v>20</v>
      </c>
      <c r="O1207" t="s">
        <v>20</v>
      </c>
      <c r="P1207" t="s">
        <v>20</v>
      </c>
      <c r="Q1207" t="s">
        <v>757</v>
      </c>
    </row>
    <row r="1208" spans="1:17" hidden="1" x14ac:dyDescent="0.25">
      <c r="A1208" t="s">
        <v>1154</v>
      </c>
      <c r="B1208" t="s">
        <v>22</v>
      </c>
      <c r="C1208" t="s">
        <v>15</v>
      </c>
      <c r="D1208" t="s">
        <v>58</v>
      </c>
      <c r="E1208">
        <v>3</v>
      </c>
      <c r="F1208">
        <f>MAX(-1,3-Tableau1[[#This Row],[Nb possédé (digital)]])</f>
        <v>0</v>
      </c>
      <c r="G1208">
        <v>3</v>
      </c>
      <c r="H1208">
        <f>MAX(-1,3-Tableau1[[#This Row],[Possédé (physique)]])</f>
        <v>0</v>
      </c>
      <c r="I1208" t="str">
        <f>IF(Tableau1[[#This Row],[Manque (physique)]]&gt;Tableau1[[#This Row],[Manque (digital)]],"POD",IF(Tableau1[[#This Row],[Manque (digital)]]&gt;Tableau1[[#This Row],[Manque (physique)]],"MarketPlace",""))</f>
        <v/>
      </c>
      <c r="J1208" t="s">
        <v>30</v>
      </c>
      <c r="K1208" t="s">
        <v>378</v>
      </c>
      <c r="L1208" t="s">
        <v>380</v>
      </c>
      <c r="M1208" t="s">
        <v>380</v>
      </c>
      <c r="N1208" t="s">
        <v>39</v>
      </c>
      <c r="O1208" t="s">
        <v>37</v>
      </c>
      <c r="P1208" t="s">
        <v>37</v>
      </c>
      <c r="Q1208" t="s">
        <v>381</v>
      </c>
    </row>
    <row r="1209" spans="1:17" hidden="1" x14ac:dyDescent="0.25">
      <c r="A1209" t="s">
        <v>1153</v>
      </c>
      <c r="B1209" t="s">
        <v>22</v>
      </c>
      <c r="C1209" t="s">
        <v>15</v>
      </c>
      <c r="D1209" t="s">
        <v>58</v>
      </c>
      <c r="E1209">
        <v>2</v>
      </c>
      <c r="F1209">
        <f>MAX(-1,3-Tableau1[[#This Row],[Nb possédé (digital)]])</f>
        <v>1</v>
      </c>
      <c r="G1209">
        <v>3</v>
      </c>
      <c r="H1209">
        <f>MAX(-1,3-Tableau1[[#This Row],[Possédé (physique)]])</f>
        <v>0</v>
      </c>
      <c r="I1209" t="str">
        <f>IF(Tableau1[[#This Row],[Manque (physique)]]&gt;Tableau1[[#This Row],[Manque (digital)]],"POD",IF(Tableau1[[#This Row],[Manque (digital)]]&gt;Tableau1[[#This Row],[Manque (physique)]],"MarketPlace",""))</f>
        <v>MarketPlace</v>
      </c>
      <c r="J1209" t="s">
        <v>30</v>
      </c>
      <c r="K1209" t="s">
        <v>51</v>
      </c>
      <c r="L1209" t="s">
        <v>380</v>
      </c>
      <c r="M1209" t="s">
        <v>380</v>
      </c>
      <c r="N1209" t="s">
        <v>23</v>
      </c>
      <c r="O1209" t="s">
        <v>37</v>
      </c>
      <c r="P1209" t="s">
        <v>37</v>
      </c>
      <c r="Q1209" t="s">
        <v>1141</v>
      </c>
    </row>
    <row r="1210" spans="1:17" x14ac:dyDescent="0.25">
      <c r="A1210" t="s">
        <v>1540</v>
      </c>
      <c r="B1210" t="s">
        <v>22</v>
      </c>
      <c r="C1210" t="s">
        <v>15</v>
      </c>
      <c r="D1210" t="s">
        <v>1496</v>
      </c>
      <c r="E1210">
        <v>4</v>
      </c>
      <c r="F1210">
        <f>MAX(-1,3-Tableau1[[#This Row],[Nb possédé (digital)]])</f>
        <v>-1</v>
      </c>
      <c r="G1210">
        <v>4</v>
      </c>
      <c r="H1210">
        <f>MAX(-1,3-Tableau1[[#This Row],[Possédé (physique)]])</f>
        <v>-1</v>
      </c>
      <c r="I1210" t="str">
        <f>IF(Tableau1[[#This Row],[Manque (physique)]]&gt;Tableau1[[#This Row],[Manque (digital)]],"POD",IF(Tableau1[[#This Row],[Manque (digital)]]&gt;Tableau1[[#This Row],[Manque (physique)]],"MarketPlace",""))</f>
        <v/>
      </c>
      <c r="J1210" t="s">
        <v>30</v>
      </c>
      <c r="K1210" t="s">
        <v>705</v>
      </c>
      <c r="L1210" t="s">
        <v>20</v>
      </c>
      <c r="M1210" t="s">
        <v>20</v>
      </c>
      <c r="N1210" t="s">
        <v>20</v>
      </c>
      <c r="O1210" t="s">
        <v>20</v>
      </c>
      <c r="P1210" t="s">
        <v>89</v>
      </c>
      <c r="Q1210" t="s">
        <v>1691</v>
      </c>
    </row>
    <row r="1211" spans="1:17" hidden="1" x14ac:dyDescent="0.25">
      <c r="A1211" t="s">
        <v>1503</v>
      </c>
      <c r="B1211" t="s">
        <v>22</v>
      </c>
      <c r="C1211" t="s">
        <v>15</v>
      </c>
      <c r="D1211" t="s">
        <v>1496</v>
      </c>
      <c r="E1211">
        <v>0</v>
      </c>
      <c r="F1211">
        <f>MAX(-1,3-Tableau1[[#This Row],[Nb possédé (digital)]])</f>
        <v>3</v>
      </c>
      <c r="G1211">
        <v>3</v>
      </c>
      <c r="H1211">
        <f>MAX(-1,3-Tableau1[[#This Row],[Possédé (physique)]])</f>
        <v>0</v>
      </c>
      <c r="I1211" t="str">
        <f>IF(Tableau1[[#This Row],[Manque (physique)]]&gt;Tableau1[[#This Row],[Manque (digital)]],"POD",IF(Tableau1[[#This Row],[Manque (digital)]]&gt;Tableau1[[#This Row],[Manque (physique)]],"MarketPlace",""))</f>
        <v>MarketPlace</v>
      </c>
      <c r="J1211" t="s">
        <v>30</v>
      </c>
      <c r="K1211" t="s">
        <v>358</v>
      </c>
      <c r="L1211" t="s">
        <v>19</v>
      </c>
      <c r="M1211" t="s">
        <v>20</v>
      </c>
      <c r="N1211" t="s">
        <v>19</v>
      </c>
      <c r="O1211" t="s">
        <v>20</v>
      </c>
      <c r="P1211" t="s">
        <v>89</v>
      </c>
      <c r="Q1211" t="s">
        <v>1614</v>
      </c>
    </row>
    <row r="1212" spans="1:17" hidden="1" x14ac:dyDescent="0.25">
      <c r="A1212" t="s">
        <v>1530</v>
      </c>
      <c r="B1212" t="s">
        <v>22</v>
      </c>
      <c r="C1212" t="s">
        <v>15</v>
      </c>
      <c r="D1212" t="s">
        <v>1496</v>
      </c>
      <c r="E1212">
        <v>2</v>
      </c>
      <c r="F1212">
        <f>MAX(-1,3-Tableau1[[#This Row],[Nb possédé (digital)]])</f>
        <v>1</v>
      </c>
      <c r="G1212">
        <v>3</v>
      </c>
      <c r="H1212">
        <f>MAX(-1,3-Tableau1[[#This Row],[Possédé (physique)]])</f>
        <v>0</v>
      </c>
      <c r="I1212" t="str">
        <f>IF(Tableau1[[#This Row],[Manque (physique)]]&gt;Tableau1[[#This Row],[Manque (digital)]],"POD",IF(Tableau1[[#This Row],[Manque (digital)]]&gt;Tableau1[[#This Row],[Manque (physique)]],"MarketPlace",""))</f>
        <v>MarketPlace</v>
      </c>
      <c r="J1212" t="s">
        <v>30</v>
      </c>
      <c r="K1212" t="s">
        <v>1043</v>
      </c>
      <c r="L1212" t="s">
        <v>19</v>
      </c>
      <c r="M1212" t="s">
        <v>20</v>
      </c>
      <c r="N1212" t="s">
        <v>20</v>
      </c>
      <c r="O1212" t="s">
        <v>20</v>
      </c>
      <c r="P1212" t="s">
        <v>89</v>
      </c>
      <c r="Q1212" t="s">
        <v>1672</v>
      </c>
    </row>
    <row r="1213" spans="1:17" hidden="1" x14ac:dyDescent="0.25">
      <c r="A1213" t="s">
        <v>1497</v>
      </c>
      <c r="B1213" t="s">
        <v>22</v>
      </c>
      <c r="C1213" t="s">
        <v>15</v>
      </c>
      <c r="D1213" t="s">
        <v>1496</v>
      </c>
      <c r="E1213">
        <v>0</v>
      </c>
      <c r="F1213">
        <f>MAX(-1,3-Tableau1[[#This Row],[Nb possédé (digital)]])</f>
        <v>3</v>
      </c>
      <c r="G1213">
        <v>3</v>
      </c>
      <c r="H1213">
        <f>MAX(-1,3-Tableau1[[#This Row],[Possédé (physique)]])</f>
        <v>0</v>
      </c>
      <c r="I1213" t="str">
        <f>IF(Tableau1[[#This Row],[Manque (physique)]]&gt;Tableau1[[#This Row],[Manque (digital)]],"POD",IF(Tableau1[[#This Row],[Manque (digital)]]&gt;Tableau1[[#This Row],[Manque (physique)]],"MarketPlace",""))</f>
        <v>MarketPlace</v>
      </c>
      <c r="J1213" t="s">
        <v>268</v>
      </c>
      <c r="K1213" t="s">
        <v>269</v>
      </c>
      <c r="L1213" t="s">
        <v>19</v>
      </c>
      <c r="M1213" t="s">
        <v>19</v>
      </c>
      <c r="Q1213" t="s">
        <v>1599</v>
      </c>
    </row>
    <row r="1214" spans="1:17" hidden="1" x14ac:dyDescent="0.25">
      <c r="A1214" t="s">
        <v>1510</v>
      </c>
      <c r="B1214" t="s">
        <v>22</v>
      </c>
      <c r="C1214" t="s">
        <v>15</v>
      </c>
      <c r="D1214" t="s">
        <v>1496</v>
      </c>
      <c r="E1214">
        <v>3</v>
      </c>
      <c r="F1214">
        <f>MAX(-1,3-Tableau1[[#This Row],[Nb possédé (digital)]])</f>
        <v>0</v>
      </c>
      <c r="G1214">
        <v>3</v>
      </c>
      <c r="H1214">
        <f>MAX(-1,3-Tableau1[[#This Row],[Possédé (physique)]])</f>
        <v>0</v>
      </c>
      <c r="I1214" t="str">
        <f>IF(Tableau1[[#This Row],[Manque (physique)]]&gt;Tableau1[[#This Row],[Manque (digital)]],"POD",IF(Tableau1[[#This Row],[Manque (digital)]]&gt;Tableau1[[#This Row],[Manque (physique)]],"MarketPlace",""))</f>
        <v/>
      </c>
      <c r="J1214" t="s">
        <v>30</v>
      </c>
      <c r="K1214" t="s">
        <v>68</v>
      </c>
      <c r="L1214" t="s">
        <v>19</v>
      </c>
      <c r="M1214" t="s">
        <v>19</v>
      </c>
      <c r="N1214" t="s">
        <v>23</v>
      </c>
      <c r="O1214" t="s">
        <v>19</v>
      </c>
      <c r="P1214" t="s">
        <v>19</v>
      </c>
      <c r="Q1214" t="s">
        <v>1631</v>
      </c>
    </row>
    <row r="1215" spans="1:17" hidden="1" x14ac:dyDescent="0.25">
      <c r="A1215" t="s">
        <v>1529</v>
      </c>
      <c r="B1215" t="s">
        <v>22</v>
      </c>
      <c r="C1215" t="s">
        <v>15</v>
      </c>
      <c r="D1215" t="s">
        <v>1496</v>
      </c>
      <c r="E1215">
        <v>3</v>
      </c>
      <c r="F1215">
        <f>MAX(-1,3-Tableau1[[#This Row],[Nb possédé (digital)]])</f>
        <v>0</v>
      </c>
      <c r="G1215">
        <v>2</v>
      </c>
      <c r="H1215">
        <f>MAX(-1,3-Tableau1[[#This Row],[Possédé (physique)]])</f>
        <v>1</v>
      </c>
      <c r="I1215" t="str">
        <f>IF(Tableau1[[#This Row],[Manque (physique)]]&gt;Tableau1[[#This Row],[Manque (digital)]],"POD",IF(Tableau1[[#This Row],[Manque (digital)]]&gt;Tableau1[[#This Row],[Manque (physique)]],"MarketPlace",""))</f>
        <v>POD</v>
      </c>
      <c r="J1215" t="s">
        <v>30</v>
      </c>
      <c r="K1215" t="s">
        <v>68</v>
      </c>
      <c r="L1215" t="s">
        <v>19</v>
      </c>
      <c r="M1215" t="s">
        <v>19</v>
      </c>
      <c r="N1215" t="s">
        <v>19</v>
      </c>
      <c r="O1215" t="s">
        <v>19</v>
      </c>
      <c r="P1215" t="s">
        <v>23</v>
      </c>
      <c r="Q1215" t="s">
        <v>1670</v>
      </c>
    </row>
    <row r="1216" spans="1:17" hidden="1" x14ac:dyDescent="0.25">
      <c r="A1216" t="s">
        <v>1546</v>
      </c>
      <c r="B1216" t="s">
        <v>22</v>
      </c>
      <c r="C1216" t="s">
        <v>15</v>
      </c>
      <c r="D1216" t="s">
        <v>1496</v>
      </c>
      <c r="E1216">
        <v>0</v>
      </c>
      <c r="F1216">
        <f>MAX(-1,3-Tableau1[[#This Row],[Nb possédé (digital)]])</f>
        <v>3</v>
      </c>
      <c r="G1216">
        <v>3</v>
      </c>
      <c r="H1216">
        <f>MAX(-1,3-Tableau1[[#This Row],[Possédé (physique)]])</f>
        <v>0</v>
      </c>
      <c r="I1216" t="str">
        <f>IF(Tableau1[[#This Row],[Manque (physique)]]&gt;Tableau1[[#This Row],[Manque (digital)]],"POD",IF(Tableau1[[#This Row],[Manque (digital)]]&gt;Tableau1[[#This Row],[Manque (physique)]],"MarketPlace",""))</f>
        <v>MarketPlace</v>
      </c>
      <c r="J1216" t="s">
        <v>17</v>
      </c>
      <c r="K1216" t="s">
        <v>153</v>
      </c>
      <c r="L1216" t="s">
        <v>19</v>
      </c>
      <c r="M1216" t="s">
        <v>19</v>
      </c>
      <c r="Q1216" t="s">
        <v>1704</v>
      </c>
    </row>
    <row r="1217" spans="1:17" hidden="1" x14ac:dyDescent="0.25">
      <c r="A1217" t="s">
        <v>1563</v>
      </c>
      <c r="B1217" t="s">
        <v>22</v>
      </c>
      <c r="C1217" t="s">
        <v>15</v>
      </c>
      <c r="D1217" t="s">
        <v>1496</v>
      </c>
      <c r="E1217">
        <v>2</v>
      </c>
      <c r="F1217">
        <f>MAX(-1,3-Tableau1[[#This Row],[Nb possédé (digital)]])</f>
        <v>1</v>
      </c>
      <c r="G1217">
        <v>3</v>
      </c>
      <c r="H1217">
        <f>MAX(-1,3-Tableau1[[#This Row],[Possédé (physique)]])</f>
        <v>0</v>
      </c>
      <c r="I1217" t="str">
        <f>IF(Tableau1[[#This Row],[Manque (physique)]]&gt;Tableau1[[#This Row],[Manque (digital)]],"POD",IF(Tableau1[[#This Row],[Manque (digital)]]&gt;Tableau1[[#This Row],[Manque (physique)]],"MarketPlace",""))</f>
        <v>MarketPlace</v>
      </c>
      <c r="J1217" t="s">
        <v>30</v>
      </c>
      <c r="K1217" t="s">
        <v>292</v>
      </c>
      <c r="L1217" t="s">
        <v>19</v>
      </c>
      <c r="M1217" t="s">
        <v>19</v>
      </c>
      <c r="N1217" t="s">
        <v>89</v>
      </c>
      <c r="O1217" t="s">
        <v>89</v>
      </c>
      <c r="P1217" t="s">
        <v>23</v>
      </c>
      <c r="Q1217" t="s">
        <v>1743</v>
      </c>
    </row>
    <row r="1218" spans="1:17" hidden="1" x14ac:dyDescent="0.25">
      <c r="A1218" t="s">
        <v>1564</v>
      </c>
      <c r="B1218" t="s">
        <v>22</v>
      </c>
      <c r="C1218" t="s">
        <v>15</v>
      </c>
      <c r="D1218" t="s">
        <v>1496</v>
      </c>
      <c r="E1218">
        <v>1</v>
      </c>
      <c r="F1218">
        <f>MAX(-1,3-Tableau1[[#This Row],[Nb possédé (digital)]])</f>
        <v>2</v>
      </c>
      <c r="G1218">
        <v>3</v>
      </c>
      <c r="H1218">
        <f>MAX(-1,3-Tableau1[[#This Row],[Possédé (physique)]])</f>
        <v>0</v>
      </c>
      <c r="I1218" t="str">
        <f>IF(Tableau1[[#This Row],[Manque (physique)]]&gt;Tableau1[[#This Row],[Manque (digital)]],"POD",IF(Tableau1[[#This Row],[Manque (digital)]]&gt;Tableau1[[#This Row],[Manque (physique)]],"MarketPlace",""))</f>
        <v>MarketPlace</v>
      </c>
      <c r="J1218" t="s">
        <v>30</v>
      </c>
      <c r="K1218" t="s">
        <v>83</v>
      </c>
      <c r="L1218" t="s">
        <v>19</v>
      </c>
      <c r="M1218" t="s">
        <v>19</v>
      </c>
      <c r="N1218" t="s">
        <v>23</v>
      </c>
      <c r="O1218" t="s">
        <v>23</v>
      </c>
      <c r="P1218" t="s">
        <v>23</v>
      </c>
      <c r="Q1218" t="s">
        <v>1745</v>
      </c>
    </row>
    <row r="1219" spans="1:17" hidden="1" x14ac:dyDescent="0.25">
      <c r="A1219" t="s">
        <v>1567</v>
      </c>
      <c r="B1219" t="s">
        <v>22</v>
      </c>
      <c r="C1219" t="s">
        <v>15</v>
      </c>
      <c r="D1219" t="s">
        <v>1496</v>
      </c>
      <c r="E1219">
        <v>1</v>
      </c>
      <c r="F1219">
        <f>MAX(-1,3-Tableau1[[#This Row],[Nb possédé (digital)]])</f>
        <v>2</v>
      </c>
      <c r="G1219">
        <v>3</v>
      </c>
      <c r="H1219">
        <f>MAX(-1,3-Tableau1[[#This Row],[Possédé (physique)]])</f>
        <v>0</v>
      </c>
      <c r="I1219" t="str">
        <f>IF(Tableau1[[#This Row],[Manque (physique)]]&gt;Tableau1[[#This Row],[Manque (digital)]],"POD",IF(Tableau1[[#This Row],[Manque (digital)]]&gt;Tableau1[[#This Row],[Manque (physique)]],"MarketPlace",""))</f>
        <v>MarketPlace</v>
      </c>
      <c r="J1219" t="s">
        <v>30</v>
      </c>
      <c r="K1219" t="s">
        <v>68</v>
      </c>
      <c r="L1219" t="s">
        <v>19</v>
      </c>
      <c r="M1219" t="s">
        <v>19</v>
      </c>
      <c r="N1219" t="s">
        <v>23</v>
      </c>
      <c r="O1219" t="s">
        <v>89</v>
      </c>
      <c r="P1219" t="s">
        <v>23</v>
      </c>
      <c r="Q1219" t="s">
        <v>1751</v>
      </c>
    </row>
    <row r="1220" spans="1:17" hidden="1" x14ac:dyDescent="0.25">
      <c r="A1220" t="s">
        <v>1591</v>
      </c>
      <c r="B1220" t="s">
        <v>22</v>
      </c>
      <c r="C1220" t="s">
        <v>15</v>
      </c>
      <c r="D1220" t="s">
        <v>1496</v>
      </c>
      <c r="E1220">
        <v>1</v>
      </c>
      <c r="F1220">
        <f>MAX(-1,3-Tableau1[[#This Row],[Nb possédé (digital)]])</f>
        <v>2</v>
      </c>
      <c r="G1220">
        <v>3</v>
      </c>
      <c r="H1220">
        <f>MAX(-1,3-Tableau1[[#This Row],[Possédé (physique)]])</f>
        <v>0</v>
      </c>
      <c r="I1220" t="str">
        <f>IF(Tableau1[[#This Row],[Manque (physique)]]&gt;Tableau1[[#This Row],[Manque (digital)]],"POD",IF(Tableau1[[#This Row],[Manque (digital)]]&gt;Tableau1[[#This Row],[Manque (physique)]],"MarketPlace",""))</f>
        <v>MarketPlace</v>
      </c>
      <c r="J1220" t="s">
        <v>30</v>
      </c>
      <c r="K1220" t="s">
        <v>1623</v>
      </c>
      <c r="L1220" t="s">
        <v>19</v>
      </c>
      <c r="M1220" t="s">
        <v>19</v>
      </c>
      <c r="N1220" t="s">
        <v>19</v>
      </c>
      <c r="O1220" t="s">
        <v>19</v>
      </c>
      <c r="P1220" t="s">
        <v>19</v>
      </c>
      <c r="Q1220" t="s">
        <v>1808</v>
      </c>
    </row>
    <row r="1221" spans="1:17" hidden="1" x14ac:dyDescent="0.25">
      <c r="A1221" t="s">
        <v>1508</v>
      </c>
      <c r="B1221" t="s">
        <v>22</v>
      </c>
      <c r="C1221" t="s">
        <v>15</v>
      </c>
      <c r="D1221" t="s">
        <v>1496</v>
      </c>
      <c r="E1221">
        <v>3</v>
      </c>
      <c r="F1221">
        <f>MAX(-1,3-Tableau1[[#This Row],[Nb possédé (digital)]])</f>
        <v>0</v>
      </c>
      <c r="G1221">
        <v>3</v>
      </c>
      <c r="H1221">
        <f>MAX(-1,3-Tableau1[[#This Row],[Possédé (physique)]])</f>
        <v>0</v>
      </c>
      <c r="I1221" t="str">
        <f>IF(Tableau1[[#This Row],[Manque (physique)]]&gt;Tableau1[[#This Row],[Manque (digital)]],"POD",IF(Tableau1[[#This Row],[Manque (digital)]]&gt;Tableau1[[#This Row],[Manque (physique)]],"MarketPlace",""))</f>
        <v/>
      </c>
      <c r="J1221" t="s">
        <v>30</v>
      </c>
      <c r="K1221" t="s">
        <v>1623</v>
      </c>
      <c r="L1221" t="s">
        <v>19</v>
      </c>
      <c r="M1221" t="s">
        <v>23</v>
      </c>
      <c r="N1221" t="s">
        <v>89</v>
      </c>
      <c r="O1221" t="s">
        <v>23</v>
      </c>
      <c r="P1221" t="s">
        <v>23</v>
      </c>
      <c r="Q1221" t="s">
        <v>1627</v>
      </c>
    </row>
    <row r="1222" spans="1:17" hidden="1" x14ac:dyDescent="0.25">
      <c r="A1222" t="s">
        <v>1516</v>
      </c>
      <c r="B1222" t="s">
        <v>22</v>
      </c>
      <c r="C1222" t="s">
        <v>15</v>
      </c>
      <c r="D1222" t="s">
        <v>1496</v>
      </c>
      <c r="E1222">
        <v>1</v>
      </c>
      <c r="F1222">
        <f>MAX(-1,3-Tableau1[[#This Row],[Nb possédé (digital)]])</f>
        <v>2</v>
      </c>
      <c r="G1222">
        <v>3</v>
      </c>
      <c r="H1222">
        <f>MAX(-1,3-Tableau1[[#This Row],[Possédé (physique)]])</f>
        <v>0</v>
      </c>
      <c r="I1222" t="str">
        <f>IF(Tableau1[[#This Row],[Manque (physique)]]&gt;Tableau1[[#This Row],[Manque (digital)]],"POD",IF(Tableau1[[#This Row],[Manque (digital)]]&gt;Tableau1[[#This Row],[Manque (physique)]],"MarketPlace",""))</f>
        <v>MarketPlace</v>
      </c>
      <c r="J1222" t="s">
        <v>30</v>
      </c>
      <c r="K1222" t="s">
        <v>83</v>
      </c>
      <c r="L1222" t="s">
        <v>19</v>
      </c>
      <c r="M1222" t="s">
        <v>23</v>
      </c>
      <c r="N1222" t="s">
        <v>89</v>
      </c>
      <c r="O1222" t="s">
        <v>52</v>
      </c>
      <c r="P1222" t="s">
        <v>52</v>
      </c>
      <c r="Q1222" t="s">
        <v>1641</v>
      </c>
    </row>
    <row r="1223" spans="1:17" hidden="1" x14ac:dyDescent="0.25">
      <c r="A1223" t="s">
        <v>1565</v>
      </c>
      <c r="B1223" t="s">
        <v>22</v>
      </c>
      <c r="C1223" t="s">
        <v>15</v>
      </c>
      <c r="D1223" t="s">
        <v>1496</v>
      </c>
      <c r="E1223">
        <v>1</v>
      </c>
      <c r="F1223">
        <f>MAX(-1,3-Tableau1[[#This Row],[Nb possédé (digital)]])</f>
        <v>2</v>
      </c>
      <c r="G1223">
        <v>3</v>
      </c>
      <c r="H1223">
        <f>MAX(-1,3-Tableau1[[#This Row],[Possédé (physique)]])</f>
        <v>0</v>
      </c>
      <c r="I1223" t="str">
        <f>IF(Tableau1[[#This Row],[Manque (physique)]]&gt;Tableau1[[#This Row],[Manque (digital)]],"POD",IF(Tableau1[[#This Row],[Manque (digital)]]&gt;Tableau1[[#This Row],[Manque (physique)]],"MarketPlace",""))</f>
        <v>MarketPlace</v>
      </c>
      <c r="J1223" t="s">
        <v>17</v>
      </c>
      <c r="K1223" t="s">
        <v>153</v>
      </c>
      <c r="L1223" t="s">
        <v>19</v>
      </c>
      <c r="M1223" t="s">
        <v>52</v>
      </c>
      <c r="Q1223" t="s">
        <v>1748</v>
      </c>
    </row>
    <row r="1224" spans="1:17" hidden="1" x14ac:dyDescent="0.25">
      <c r="A1224" t="s">
        <v>1507</v>
      </c>
      <c r="B1224" t="s">
        <v>22</v>
      </c>
      <c r="C1224" t="s">
        <v>15</v>
      </c>
      <c r="D1224" t="s">
        <v>1496</v>
      </c>
      <c r="E1224">
        <v>0</v>
      </c>
      <c r="F1224">
        <f>MAX(-1,3-Tableau1[[#This Row],[Nb possédé (digital)]])</f>
        <v>3</v>
      </c>
      <c r="G1224">
        <v>3</v>
      </c>
      <c r="H1224">
        <f>MAX(-1,3-Tableau1[[#This Row],[Possédé (physique)]])</f>
        <v>0</v>
      </c>
      <c r="I1224" t="str">
        <f>IF(Tableau1[[#This Row],[Manque (physique)]]&gt;Tableau1[[#This Row],[Manque (digital)]],"POD",IF(Tableau1[[#This Row],[Manque (digital)]]&gt;Tableau1[[#This Row],[Manque (physique)]],"MarketPlace",""))</f>
        <v>MarketPlace</v>
      </c>
      <c r="J1224" t="s">
        <v>30</v>
      </c>
      <c r="K1224" t="s">
        <v>1623</v>
      </c>
      <c r="L1224" t="s">
        <v>23</v>
      </c>
      <c r="M1224" t="s">
        <v>19</v>
      </c>
      <c r="N1224" t="s">
        <v>23</v>
      </c>
      <c r="O1224" t="s">
        <v>23</v>
      </c>
      <c r="P1224" t="s">
        <v>23</v>
      </c>
      <c r="Q1224" t="s">
        <v>1625</v>
      </c>
    </row>
    <row r="1225" spans="1:17" hidden="1" x14ac:dyDescent="0.25">
      <c r="A1225" t="s">
        <v>1531</v>
      </c>
      <c r="B1225" t="s">
        <v>22</v>
      </c>
      <c r="C1225" t="s">
        <v>15</v>
      </c>
      <c r="D1225" t="s">
        <v>1496</v>
      </c>
      <c r="E1225">
        <v>2</v>
      </c>
      <c r="F1225">
        <f>MAX(-1,3-Tableau1[[#This Row],[Nb possédé (digital)]])</f>
        <v>1</v>
      </c>
      <c r="G1225">
        <v>3</v>
      </c>
      <c r="H1225">
        <f>MAX(-1,3-Tableau1[[#This Row],[Possédé (physique)]])</f>
        <v>0</v>
      </c>
      <c r="I1225" t="str">
        <f>IF(Tableau1[[#This Row],[Manque (physique)]]&gt;Tableau1[[#This Row],[Manque (digital)]],"POD",IF(Tableau1[[#This Row],[Manque (digital)]]&gt;Tableau1[[#This Row],[Manque (physique)]],"MarketPlace",""))</f>
        <v>MarketPlace</v>
      </c>
      <c r="J1225" t="s">
        <v>30</v>
      </c>
      <c r="K1225" t="s">
        <v>481</v>
      </c>
      <c r="L1225" t="s">
        <v>23</v>
      </c>
      <c r="M1225" t="s">
        <v>19</v>
      </c>
      <c r="N1225" t="s">
        <v>23</v>
      </c>
      <c r="O1225" t="s">
        <v>19</v>
      </c>
      <c r="P1225" t="s">
        <v>19</v>
      </c>
      <c r="Q1225" t="s">
        <v>1675</v>
      </c>
    </row>
    <row r="1226" spans="1:17" hidden="1" x14ac:dyDescent="0.25">
      <c r="A1226" t="s">
        <v>1554</v>
      </c>
      <c r="B1226" t="s">
        <v>22</v>
      </c>
      <c r="C1226" t="s">
        <v>15</v>
      </c>
      <c r="D1226" t="s">
        <v>1496</v>
      </c>
      <c r="E1226">
        <v>1</v>
      </c>
      <c r="F1226">
        <f>MAX(-1,3-Tableau1[[#This Row],[Nb possédé (digital)]])</f>
        <v>2</v>
      </c>
      <c r="G1226">
        <v>3</v>
      </c>
      <c r="H1226">
        <f>MAX(-1,3-Tableau1[[#This Row],[Possédé (physique)]])</f>
        <v>0</v>
      </c>
      <c r="I1226" t="str">
        <f>IF(Tableau1[[#This Row],[Manque (physique)]]&gt;Tableau1[[#This Row],[Manque (digital)]],"POD",IF(Tableau1[[#This Row],[Manque (digital)]]&gt;Tableau1[[#This Row],[Manque (physique)]],"MarketPlace",""))</f>
        <v>MarketPlace</v>
      </c>
      <c r="J1226" t="s">
        <v>30</v>
      </c>
      <c r="K1226" t="s">
        <v>1721</v>
      </c>
      <c r="L1226" t="s">
        <v>23</v>
      </c>
      <c r="M1226" t="s">
        <v>19</v>
      </c>
      <c r="N1226" t="s">
        <v>19</v>
      </c>
      <c r="O1226" t="s">
        <v>20</v>
      </c>
      <c r="P1226" t="s">
        <v>19</v>
      </c>
      <c r="Q1226" t="s">
        <v>1722</v>
      </c>
    </row>
    <row r="1227" spans="1:17" hidden="1" x14ac:dyDescent="0.25">
      <c r="A1227" t="s">
        <v>1570</v>
      </c>
      <c r="B1227" t="s">
        <v>22</v>
      </c>
      <c r="C1227" t="s">
        <v>15</v>
      </c>
      <c r="D1227" t="s">
        <v>1496</v>
      </c>
      <c r="E1227">
        <v>0</v>
      </c>
      <c r="F1227">
        <f>MAX(-1,3-Tableau1[[#This Row],[Nb possédé (digital)]])</f>
        <v>3</v>
      </c>
      <c r="G1227">
        <v>3</v>
      </c>
      <c r="H1227">
        <f>MAX(-1,3-Tableau1[[#This Row],[Possédé (physique)]])</f>
        <v>0</v>
      </c>
      <c r="I1227" t="str">
        <f>IF(Tableau1[[#This Row],[Manque (physique)]]&gt;Tableau1[[#This Row],[Manque (digital)]],"POD",IF(Tableau1[[#This Row],[Manque (digital)]]&gt;Tableau1[[#This Row],[Manque (physique)]],"MarketPlace",""))</f>
        <v>MarketPlace</v>
      </c>
      <c r="J1227" t="s">
        <v>17</v>
      </c>
      <c r="K1227" t="s">
        <v>1756</v>
      </c>
      <c r="L1227" t="s">
        <v>23</v>
      </c>
      <c r="M1227" t="s">
        <v>19</v>
      </c>
      <c r="Q1227" t="s">
        <v>1758</v>
      </c>
    </row>
    <row r="1228" spans="1:17" hidden="1" x14ac:dyDescent="0.25">
      <c r="A1228" t="s">
        <v>1579</v>
      </c>
      <c r="B1228" t="s">
        <v>22</v>
      </c>
      <c r="C1228" t="s">
        <v>15</v>
      </c>
      <c r="D1228" t="s">
        <v>1496</v>
      </c>
      <c r="E1228">
        <v>1</v>
      </c>
      <c r="F1228">
        <f>MAX(-1,3-Tableau1[[#This Row],[Nb possédé (digital)]])</f>
        <v>2</v>
      </c>
      <c r="G1228">
        <v>3</v>
      </c>
      <c r="H1228">
        <f>MAX(-1,3-Tableau1[[#This Row],[Possédé (physique)]])</f>
        <v>0</v>
      </c>
      <c r="I1228" t="str">
        <f>IF(Tableau1[[#This Row],[Manque (physique)]]&gt;Tableau1[[#This Row],[Manque (digital)]],"POD",IF(Tableau1[[#This Row],[Manque (digital)]]&gt;Tableau1[[#This Row],[Manque (physique)]],"MarketPlace",""))</f>
        <v>MarketPlace</v>
      </c>
      <c r="J1228" t="s">
        <v>30</v>
      </c>
      <c r="K1228" t="s">
        <v>83</v>
      </c>
      <c r="L1228" t="s">
        <v>23</v>
      </c>
      <c r="M1228" t="s">
        <v>19</v>
      </c>
      <c r="N1228" t="s">
        <v>89</v>
      </c>
      <c r="O1228" t="s">
        <v>23</v>
      </c>
      <c r="P1228" t="s">
        <v>89</v>
      </c>
      <c r="Q1228" t="s">
        <v>1781</v>
      </c>
    </row>
    <row r="1229" spans="1:17" hidden="1" x14ac:dyDescent="0.25">
      <c r="A1229" t="s">
        <v>1495</v>
      </c>
      <c r="B1229" t="s">
        <v>22</v>
      </c>
      <c r="C1229" t="s">
        <v>15</v>
      </c>
      <c r="D1229" t="s">
        <v>1496</v>
      </c>
      <c r="E1229">
        <v>2</v>
      </c>
      <c r="F1229">
        <f>MAX(-1,3-Tableau1[[#This Row],[Nb possédé (digital)]])</f>
        <v>1</v>
      </c>
      <c r="G1229">
        <v>3</v>
      </c>
      <c r="H1229">
        <f>MAX(-1,3-Tableau1[[#This Row],[Possédé (physique)]])</f>
        <v>0</v>
      </c>
      <c r="I1229" t="str">
        <f>IF(Tableau1[[#This Row],[Manque (physique)]]&gt;Tableau1[[#This Row],[Manque (digital)]],"POD",IF(Tableau1[[#This Row],[Manque (digital)]]&gt;Tableau1[[#This Row],[Manque (physique)]],"MarketPlace",""))</f>
        <v>MarketPlace</v>
      </c>
      <c r="J1229" t="s">
        <v>30</v>
      </c>
      <c r="K1229" t="s">
        <v>42</v>
      </c>
      <c r="L1229" t="s">
        <v>23</v>
      </c>
      <c r="M1229" t="s">
        <v>23</v>
      </c>
      <c r="N1229" t="s">
        <v>37</v>
      </c>
      <c r="O1229" t="s">
        <v>52</v>
      </c>
      <c r="P1229" t="s">
        <v>37</v>
      </c>
      <c r="Q1229" t="s">
        <v>1597</v>
      </c>
    </row>
    <row r="1230" spans="1:17" hidden="1" x14ac:dyDescent="0.25">
      <c r="A1230" t="s">
        <v>1512</v>
      </c>
      <c r="B1230" t="s">
        <v>22</v>
      </c>
      <c r="C1230" t="s">
        <v>15</v>
      </c>
      <c r="D1230" t="s">
        <v>1496</v>
      </c>
      <c r="E1230">
        <v>3</v>
      </c>
      <c r="F1230">
        <f>MAX(-1,3-Tableau1[[#This Row],[Nb possédé (digital)]])</f>
        <v>0</v>
      </c>
      <c r="G1230">
        <v>3</v>
      </c>
      <c r="H1230">
        <f>MAX(-1,3-Tableau1[[#This Row],[Possédé (physique)]])</f>
        <v>0</v>
      </c>
      <c r="I1230" t="str">
        <f>IF(Tableau1[[#This Row],[Manque (physique)]]&gt;Tableau1[[#This Row],[Manque (digital)]],"POD",IF(Tableau1[[#This Row],[Manque (digital)]]&gt;Tableau1[[#This Row],[Manque (physique)]],"MarketPlace",""))</f>
        <v/>
      </c>
      <c r="J1230" t="s">
        <v>30</v>
      </c>
      <c r="K1230" t="s">
        <v>79</v>
      </c>
      <c r="L1230" t="s">
        <v>23</v>
      </c>
      <c r="M1230" t="s">
        <v>23</v>
      </c>
      <c r="N1230" t="s">
        <v>52</v>
      </c>
      <c r="O1230" t="s">
        <v>23</v>
      </c>
      <c r="P1230" t="s">
        <v>52</v>
      </c>
      <c r="Q1230" t="s">
        <v>1635</v>
      </c>
    </row>
    <row r="1231" spans="1:17" hidden="1" x14ac:dyDescent="0.25">
      <c r="A1231" t="s">
        <v>1520</v>
      </c>
      <c r="B1231" t="s">
        <v>22</v>
      </c>
      <c r="C1231" t="s">
        <v>15</v>
      </c>
      <c r="D1231" t="s">
        <v>1496</v>
      </c>
      <c r="E1231">
        <v>0</v>
      </c>
      <c r="F1231">
        <f>MAX(-1,3-Tableau1[[#This Row],[Nb possédé (digital)]])</f>
        <v>3</v>
      </c>
      <c r="G1231">
        <v>3</v>
      </c>
      <c r="H1231">
        <f>MAX(-1,3-Tableau1[[#This Row],[Possédé (physique)]])</f>
        <v>0</v>
      </c>
      <c r="I1231" t="str">
        <f>IF(Tableau1[[#This Row],[Manque (physique)]]&gt;Tableau1[[#This Row],[Manque (digital)]],"POD",IF(Tableau1[[#This Row],[Manque (digital)]]&gt;Tableau1[[#This Row],[Manque (physique)]],"MarketPlace",""))</f>
        <v>MarketPlace</v>
      </c>
      <c r="J1231" t="s">
        <v>30</v>
      </c>
      <c r="K1231" t="s">
        <v>72</v>
      </c>
      <c r="L1231" t="s">
        <v>23</v>
      </c>
      <c r="M1231" t="s">
        <v>23</v>
      </c>
      <c r="N1231" t="s">
        <v>19</v>
      </c>
      <c r="O1231" t="s">
        <v>23</v>
      </c>
      <c r="P1231" t="s">
        <v>23</v>
      </c>
      <c r="Q1231" t="s">
        <v>1649</v>
      </c>
    </row>
    <row r="1232" spans="1:17" hidden="1" x14ac:dyDescent="0.25">
      <c r="A1232" t="s">
        <v>1522</v>
      </c>
      <c r="B1232" t="s">
        <v>22</v>
      </c>
      <c r="C1232" t="s">
        <v>15</v>
      </c>
      <c r="D1232" t="s">
        <v>1496</v>
      </c>
      <c r="E1232">
        <v>0</v>
      </c>
      <c r="F1232">
        <f>MAX(-1,3-Tableau1[[#This Row],[Nb possédé (digital)]])</f>
        <v>3</v>
      </c>
      <c r="G1232">
        <v>3</v>
      </c>
      <c r="H1232">
        <f>MAX(-1,3-Tableau1[[#This Row],[Possédé (physique)]])</f>
        <v>0</v>
      </c>
      <c r="I1232" t="str">
        <f>IF(Tableau1[[#This Row],[Manque (physique)]]&gt;Tableau1[[#This Row],[Manque (digital)]],"POD",IF(Tableau1[[#This Row],[Manque (digital)]]&gt;Tableau1[[#This Row],[Manque (physique)]],"MarketPlace",""))</f>
        <v>MarketPlace</v>
      </c>
      <c r="J1232" t="s">
        <v>30</v>
      </c>
      <c r="K1232" t="s">
        <v>358</v>
      </c>
      <c r="L1232" t="s">
        <v>23</v>
      </c>
      <c r="M1232" t="s">
        <v>23</v>
      </c>
      <c r="N1232" t="s">
        <v>23</v>
      </c>
      <c r="O1232" t="s">
        <v>23</v>
      </c>
      <c r="P1232" t="s">
        <v>89</v>
      </c>
      <c r="Q1232" t="s">
        <v>1655</v>
      </c>
    </row>
    <row r="1233" spans="1:17" hidden="1" x14ac:dyDescent="0.25">
      <c r="A1233" t="s">
        <v>1525</v>
      </c>
      <c r="B1233" t="s">
        <v>22</v>
      </c>
      <c r="C1233" t="s">
        <v>15</v>
      </c>
      <c r="D1233" t="s">
        <v>1496</v>
      </c>
      <c r="E1233">
        <v>0</v>
      </c>
      <c r="F1233">
        <f>MAX(-1,3-Tableau1[[#This Row],[Nb possédé (digital)]])</f>
        <v>3</v>
      </c>
      <c r="G1233">
        <v>3</v>
      </c>
      <c r="H1233">
        <f>MAX(-1,3-Tableau1[[#This Row],[Possédé (physique)]])</f>
        <v>0</v>
      </c>
      <c r="I1233" t="str">
        <f>IF(Tableau1[[#This Row],[Manque (physique)]]&gt;Tableau1[[#This Row],[Manque (digital)]],"POD",IF(Tableau1[[#This Row],[Manque (digital)]]&gt;Tableau1[[#This Row],[Manque (physique)]],"MarketPlace",""))</f>
        <v>MarketPlace</v>
      </c>
      <c r="J1233" t="s">
        <v>30</v>
      </c>
      <c r="K1233" t="s">
        <v>83</v>
      </c>
      <c r="L1233" t="s">
        <v>23</v>
      </c>
      <c r="M1233" t="s">
        <v>23</v>
      </c>
      <c r="N1233" t="s">
        <v>52</v>
      </c>
      <c r="O1233" t="s">
        <v>52</v>
      </c>
      <c r="P1233" t="s">
        <v>20</v>
      </c>
      <c r="Q1233" t="s">
        <v>1661</v>
      </c>
    </row>
    <row r="1234" spans="1:17" hidden="1" x14ac:dyDescent="0.25">
      <c r="A1234" t="s">
        <v>1532</v>
      </c>
      <c r="B1234" t="s">
        <v>22</v>
      </c>
      <c r="C1234" t="s">
        <v>15</v>
      </c>
      <c r="D1234" t="s">
        <v>1496</v>
      </c>
      <c r="E1234">
        <v>2</v>
      </c>
      <c r="F1234">
        <f>MAX(-1,3-Tableau1[[#This Row],[Nb possédé (digital)]])</f>
        <v>1</v>
      </c>
      <c r="G1234">
        <v>3</v>
      </c>
      <c r="H1234">
        <f>MAX(-1,3-Tableau1[[#This Row],[Possédé (physique)]])</f>
        <v>0</v>
      </c>
      <c r="I1234" t="str">
        <f>IF(Tableau1[[#This Row],[Manque (physique)]]&gt;Tableau1[[#This Row],[Manque (digital)]],"POD",IF(Tableau1[[#This Row],[Manque (digital)]]&gt;Tableau1[[#This Row],[Manque (physique)]],"MarketPlace",""))</f>
        <v>MarketPlace</v>
      </c>
      <c r="J1234" t="s">
        <v>30</v>
      </c>
      <c r="K1234" t="s">
        <v>1601</v>
      </c>
      <c r="L1234" t="s">
        <v>23</v>
      </c>
      <c r="M1234" t="s">
        <v>23</v>
      </c>
      <c r="N1234" t="s">
        <v>23</v>
      </c>
      <c r="O1234" t="s">
        <v>23</v>
      </c>
      <c r="P1234" t="s">
        <v>89</v>
      </c>
      <c r="Q1234" t="s">
        <v>1677</v>
      </c>
    </row>
    <row r="1235" spans="1:17" hidden="1" x14ac:dyDescent="0.25">
      <c r="A1235" t="s">
        <v>1539</v>
      </c>
      <c r="B1235" t="s">
        <v>22</v>
      </c>
      <c r="C1235" t="s">
        <v>15</v>
      </c>
      <c r="D1235" t="s">
        <v>1496</v>
      </c>
      <c r="E1235">
        <v>2</v>
      </c>
      <c r="F1235">
        <f>MAX(-1,3-Tableau1[[#This Row],[Nb possédé (digital)]])</f>
        <v>1</v>
      </c>
      <c r="G1235">
        <v>3</v>
      </c>
      <c r="H1235">
        <f>MAX(-1,3-Tableau1[[#This Row],[Possédé (physique)]])</f>
        <v>0</v>
      </c>
      <c r="I1235" t="str">
        <f>IF(Tableau1[[#This Row],[Manque (physique)]]&gt;Tableau1[[#This Row],[Manque (digital)]],"POD",IF(Tableau1[[#This Row],[Manque (digital)]]&gt;Tableau1[[#This Row],[Manque (physique)]],"MarketPlace",""))</f>
        <v>MarketPlace</v>
      </c>
      <c r="J1235" t="s">
        <v>268</v>
      </c>
      <c r="K1235" t="s">
        <v>269</v>
      </c>
      <c r="L1235" t="s">
        <v>23</v>
      </c>
      <c r="M1235" t="s">
        <v>23</v>
      </c>
      <c r="Q1235" t="s">
        <v>1689</v>
      </c>
    </row>
    <row r="1236" spans="1:17" hidden="1" x14ac:dyDescent="0.25">
      <c r="A1236" t="s">
        <v>1527</v>
      </c>
      <c r="B1236" t="s">
        <v>22</v>
      </c>
      <c r="C1236" t="s">
        <v>15</v>
      </c>
      <c r="D1236" t="s">
        <v>1496</v>
      </c>
      <c r="E1236">
        <v>2</v>
      </c>
      <c r="F1236">
        <f>MAX(-1,3-Tableau1[[#This Row],[Nb possédé (digital)]])</f>
        <v>1</v>
      </c>
      <c r="G1236">
        <v>3</v>
      </c>
      <c r="H1236">
        <f>MAX(-1,3-Tableau1[[#This Row],[Possédé (physique)]])</f>
        <v>0</v>
      </c>
      <c r="I1236" t="str">
        <f>IF(Tableau1[[#This Row],[Manque (physique)]]&gt;Tableau1[[#This Row],[Manque (digital)]],"POD",IF(Tableau1[[#This Row],[Manque (digital)]]&gt;Tableau1[[#This Row],[Manque (physique)]],"MarketPlace",""))</f>
        <v>MarketPlace</v>
      </c>
      <c r="J1236" t="s">
        <v>30</v>
      </c>
      <c r="K1236" t="s">
        <v>1623</v>
      </c>
      <c r="L1236" t="s">
        <v>52</v>
      </c>
      <c r="M1236" t="s">
        <v>23</v>
      </c>
      <c r="N1236" t="s">
        <v>52</v>
      </c>
      <c r="O1236" t="s">
        <v>89</v>
      </c>
      <c r="P1236" t="s">
        <v>52</v>
      </c>
      <c r="Q1236" t="s">
        <v>1667</v>
      </c>
    </row>
    <row r="1237" spans="1:17" hidden="1" x14ac:dyDescent="0.25">
      <c r="A1237" t="s">
        <v>1537</v>
      </c>
      <c r="B1237" t="s">
        <v>22</v>
      </c>
      <c r="C1237" t="s">
        <v>15</v>
      </c>
      <c r="D1237" t="s">
        <v>1496</v>
      </c>
      <c r="E1237">
        <v>1</v>
      </c>
      <c r="F1237">
        <f>MAX(-1,3-Tableau1[[#This Row],[Nb possédé (digital)]])</f>
        <v>2</v>
      </c>
      <c r="G1237">
        <v>3</v>
      </c>
      <c r="H1237">
        <f>MAX(-1,3-Tableau1[[#This Row],[Possédé (physique)]])</f>
        <v>0</v>
      </c>
      <c r="I1237" t="str">
        <f>IF(Tableau1[[#This Row],[Manque (physique)]]&gt;Tableau1[[#This Row],[Manque (digital)]],"POD",IF(Tableau1[[#This Row],[Manque (digital)]]&gt;Tableau1[[#This Row],[Manque (physique)]],"MarketPlace",""))</f>
        <v>MarketPlace</v>
      </c>
      <c r="J1237" t="s">
        <v>268</v>
      </c>
      <c r="K1237" t="s">
        <v>269</v>
      </c>
      <c r="L1237" t="s">
        <v>52</v>
      </c>
      <c r="M1237" t="s">
        <v>52</v>
      </c>
      <c r="Q1237" t="s">
        <v>1686</v>
      </c>
    </row>
    <row r="1238" spans="1:17" hidden="1" x14ac:dyDescent="0.25">
      <c r="A1238" t="s">
        <v>1561</v>
      </c>
      <c r="B1238" t="s">
        <v>22</v>
      </c>
      <c r="C1238" t="s">
        <v>15</v>
      </c>
      <c r="D1238" t="s">
        <v>1496</v>
      </c>
      <c r="E1238">
        <v>0</v>
      </c>
      <c r="F1238">
        <f>MAX(-1,3-Tableau1[[#This Row],[Nb possédé (digital)]])</f>
        <v>3</v>
      </c>
      <c r="G1238">
        <v>3</v>
      </c>
      <c r="H1238">
        <f>MAX(-1,3-Tableau1[[#This Row],[Possédé (physique)]])</f>
        <v>0</v>
      </c>
      <c r="I1238" t="str">
        <f>IF(Tableau1[[#This Row],[Manque (physique)]]&gt;Tableau1[[#This Row],[Manque (digital)]],"POD",IF(Tableau1[[#This Row],[Manque (digital)]]&gt;Tableau1[[#This Row],[Manque (physique)]],"MarketPlace",""))</f>
        <v>MarketPlace</v>
      </c>
      <c r="J1238" t="s">
        <v>30</v>
      </c>
      <c r="K1238" t="s">
        <v>481</v>
      </c>
      <c r="L1238" t="s">
        <v>52</v>
      </c>
      <c r="M1238" t="s">
        <v>52</v>
      </c>
      <c r="N1238" t="s">
        <v>37</v>
      </c>
      <c r="O1238" t="s">
        <v>37</v>
      </c>
      <c r="P1238" t="s">
        <v>37</v>
      </c>
      <c r="Q1238" t="s">
        <v>1741</v>
      </c>
    </row>
    <row r="1239" spans="1:17" hidden="1" x14ac:dyDescent="0.25">
      <c r="A1239" t="s">
        <v>1498</v>
      </c>
      <c r="B1239" t="s">
        <v>22</v>
      </c>
      <c r="C1239" t="s">
        <v>15</v>
      </c>
      <c r="D1239" t="s">
        <v>1496</v>
      </c>
      <c r="E1239">
        <v>1</v>
      </c>
      <c r="F1239">
        <f>MAX(-1,3-Tableau1[[#This Row],[Nb possédé (digital)]])</f>
        <v>2</v>
      </c>
      <c r="G1239">
        <v>3</v>
      </c>
      <c r="H1239">
        <f>MAX(-1,3-Tableau1[[#This Row],[Possédé (physique)]])</f>
        <v>0</v>
      </c>
      <c r="I1239" t="str">
        <f>IF(Tableau1[[#This Row],[Manque (physique)]]&gt;Tableau1[[#This Row],[Manque (digital)]],"POD",IF(Tableau1[[#This Row],[Manque (digital)]]&gt;Tableau1[[#This Row],[Manque (physique)]],"MarketPlace",""))</f>
        <v>MarketPlace</v>
      </c>
      <c r="J1239" t="s">
        <v>30</v>
      </c>
      <c r="K1239" t="s">
        <v>1601</v>
      </c>
      <c r="L1239" t="s">
        <v>37</v>
      </c>
      <c r="M1239" t="s">
        <v>23</v>
      </c>
      <c r="N1239" t="s">
        <v>23</v>
      </c>
      <c r="O1239" t="s">
        <v>52</v>
      </c>
      <c r="P1239" t="s">
        <v>23</v>
      </c>
      <c r="Q1239" t="s">
        <v>1603</v>
      </c>
    </row>
    <row r="1240" spans="1:17" hidden="1" x14ac:dyDescent="0.25">
      <c r="A1240" t="s">
        <v>1521</v>
      </c>
      <c r="B1240" t="s">
        <v>22</v>
      </c>
      <c r="C1240" t="s">
        <v>15</v>
      </c>
      <c r="D1240" t="s">
        <v>1496</v>
      </c>
      <c r="E1240">
        <v>2</v>
      </c>
      <c r="F1240">
        <f>MAX(-1,3-Tableau1[[#This Row],[Nb possédé (digital)]])</f>
        <v>1</v>
      </c>
      <c r="G1240">
        <v>3</v>
      </c>
      <c r="H1240">
        <f>MAX(-1,3-Tableau1[[#This Row],[Possédé (physique)]])</f>
        <v>0</v>
      </c>
      <c r="I1240" t="str">
        <f>IF(Tableau1[[#This Row],[Manque (physique)]]&gt;Tableau1[[#This Row],[Manque (digital)]],"POD",IF(Tableau1[[#This Row],[Manque (digital)]]&gt;Tableau1[[#This Row],[Manque (physique)]],"MarketPlace",""))</f>
        <v>MarketPlace</v>
      </c>
      <c r="J1240" t="s">
        <v>30</v>
      </c>
      <c r="K1240" t="s">
        <v>72</v>
      </c>
      <c r="L1240" t="s">
        <v>37</v>
      </c>
      <c r="M1240" t="s">
        <v>37</v>
      </c>
      <c r="N1240" t="s">
        <v>23</v>
      </c>
      <c r="O1240" t="s">
        <v>23</v>
      </c>
      <c r="P1240" t="s">
        <v>23</v>
      </c>
      <c r="Q1240" t="s">
        <v>1653</v>
      </c>
    </row>
    <row r="1241" spans="1:17" hidden="1" x14ac:dyDescent="0.25">
      <c r="A1241" t="s">
        <v>1825</v>
      </c>
      <c r="B1241" t="s">
        <v>1819</v>
      </c>
      <c r="C1241" t="s">
        <v>15</v>
      </c>
      <c r="D1241" t="s">
        <v>1496</v>
      </c>
      <c r="E1241">
        <v>2</v>
      </c>
      <c r="F1241">
        <f>MAX(-1,3-Tableau1[[#This Row],[Nb possédé (digital)]])</f>
        <v>1</v>
      </c>
      <c r="G1241">
        <v>2</v>
      </c>
      <c r="H1241">
        <f>MAX(-1,3-Tableau1[[#This Row],[Possédé (physique)]])</f>
        <v>1</v>
      </c>
      <c r="I1241" t="str">
        <f>IF(Tableau1[[#This Row],[Manque (physique)]]&gt;Tableau1[[#This Row],[Manque (digital)]],"POD",IF(Tableau1[[#This Row],[Manque (digital)]]&gt;Tableau1[[#This Row],[Manque (physique)]],"MarketPlace",""))</f>
        <v/>
      </c>
      <c r="J1241" t="s">
        <v>30</v>
      </c>
      <c r="K1241" t="s">
        <v>1826</v>
      </c>
      <c r="L1241">
        <v>7</v>
      </c>
      <c r="M1241">
        <v>7</v>
      </c>
      <c r="N1241">
        <v>5</v>
      </c>
      <c r="O1241">
        <v>5</v>
      </c>
      <c r="P1241">
        <v>5</v>
      </c>
      <c r="Q1241" t="s">
        <v>1827</v>
      </c>
    </row>
    <row r="1242" spans="1:17" hidden="1" x14ac:dyDescent="0.25">
      <c r="A1242" t="s">
        <v>1544</v>
      </c>
      <c r="B1242" t="s">
        <v>22</v>
      </c>
      <c r="C1242" t="s">
        <v>15</v>
      </c>
      <c r="D1242" t="s">
        <v>1496</v>
      </c>
      <c r="E1242">
        <v>2</v>
      </c>
      <c r="F1242">
        <f>MAX(-1,3-Tableau1[[#This Row],[Nb possédé (digital)]])</f>
        <v>1</v>
      </c>
      <c r="G1242">
        <v>3</v>
      </c>
      <c r="H1242">
        <f>MAX(-1,3-Tableau1[[#This Row],[Possédé (physique)]])</f>
        <v>0</v>
      </c>
      <c r="I1242" t="str">
        <f>IF(Tableau1[[#This Row],[Manque (physique)]]&gt;Tableau1[[#This Row],[Manque (digital)]],"POD",IF(Tableau1[[#This Row],[Manque (digital)]]&gt;Tableau1[[#This Row],[Manque (physique)]],"MarketPlace",""))</f>
        <v>MarketPlace</v>
      </c>
      <c r="J1242" t="s">
        <v>268</v>
      </c>
      <c r="K1242" t="s">
        <v>269</v>
      </c>
      <c r="L1242" t="s">
        <v>101</v>
      </c>
      <c r="M1242" t="s">
        <v>101</v>
      </c>
      <c r="Q1242" t="s">
        <v>1700</v>
      </c>
    </row>
    <row r="1243" spans="1:17" hidden="1" x14ac:dyDescent="0.25">
      <c r="A1243" t="s">
        <v>469</v>
      </c>
      <c r="B1243" t="s">
        <v>22</v>
      </c>
      <c r="C1243" t="s">
        <v>15</v>
      </c>
      <c r="D1243" t="s">
        <v>29</v>
      </c>
      <c r="E1243">
        <v>1</v>
      </c>
      <c r="F1243">
        <f>MAX(-1,3-Tableau1[[#This Row],[Nb possédé (digital)]])</f>
        <v>2</v>
      </c>
      <c r="G1243">
        <v>3</v>
      </c>
      <c r="H1243">
        <f>MAX(-1,3-Tableau1[[#This Row],[Possédé (physique)]])</f>
        <v>0</v>
      </c>
      <c r="I1243" t="str">
        <f>IF(Tableau1[[#This Row],[Manque (physique)]]&gt;Tableau1[[#This Row],[Manque (digital)]],"POD",IF(Tableau1[[#This Row],[Manque (digital)]]&gt;Tableau1[[#This Row],[Manque (physique)]],"MarketPlace",""))</f>
        <v>MarketPlace</v>
      </c>
      <c r="J1243" t="s">
        <v>30</v>
      </c>
      <c r="K1243" t="s">
        <v>179</v>
      </c>
      <c r="L1243" t="s">
        <v>20</v>
      </c>
      <c r="M1243" t="s">
        <v>20</v>
      </c>
      <c r="N1243" t="s">
        <v>20</v>
      </c>
      <c r="O1243" t="s">
        <v>89</v>
      </c>
      <c r="P1243" t="s">
        <v>89</v>
      </c>
      <c r="Q1243" t="s">
        <v>470</v>
      </c>
    </row>
    <row r="1244" spans="1:17" hidden="1" x14ac:dyDescent="0.25">
      <c r="A1244" t="s">
        <v>178</v>
      </c>
      <c r="B1244" t="s">
        <v>22</v>
      </c>
      <c r="C1244" t="s">
        <v>15</v>
      </c>
      <c r="D1244" t="s">
        <v>29</v>
      </c>
      <c r="E1244">
        <v>1</v>
      </c>
      <c r="F1244">
        <f>MAX(-1,3-Tableau1[[#This Row],[Nb possédé (digital)]])</f>
        <v>2</v>
      </c>
      <c r="G1244">
        <v>3</v>
      </c>
      <c r="H1244">
        <f>MAX(-1,3-Tableau1[[#This Row],[Possédé (physique)]])</f>
        <v>0</v>
      </c>
      <c r="I1244" t="str">
        <f>IF(Tableau1[[#This Row],[Manque (physique)]]&gt;Tableau1[[#This Row],[Manque (digital)]],"POD",IF(Tableau1[[#This Row],[Manque (digital)]]&gt;Tableau1[[#This Row],[Manque (physique)]],"MarketPlace",""))</f>
        <v>MarketPlace</v>
      </c>
      <c r="J1244" t="s">
        <v>30</v>
      </c>
      <c r="K1244" t="s">
        <v>179</v>
      </c>
      <c r="L1244" t="s">
        <v>20</v>
      </c>
      <c r="M1244" t="s">
        <v>23</v>
      </c>
      <c r="N1244" t="s">
        <v>20</v>
      </c>
      <c r="O1244" t="s">
        <v>20</v>
      </c>
      <c r="P1244" t="s">
        <v>20</v>
      </c>
      <c r="Q1244" t="s">
        <v>180</v>
      </c>
    </row>
    <row r="1245" spans="1:17" hidden="1" x14ac:dyDescent="0.25">
      <c r="A1245" t="s">
        <v>289</v>
      </c>
      <c r="B1245" t="s">
        <v>22</v>
      </c>
      <c r="C1245" t="s">
        <v>15</v>
      </c>
      <c r="D1245" t="s">
        <v>29</v>
      </c>
      <c r="E1245">
        <v>1</v>
      </c>
      <c r="F1245">
        <f>MAX(-1,3-Tableau1[[#This Row],[Nb possédé (digital)]])</f>
        <v>2</v>
      </c>
      <c r="G1245">
        <v>3</v>
      </c>
      <c r="H1245">
        <f>MAX(-1,3-Tableau1[[#This Row],[Possédé (physique)]])</f>
        <v>0</v>
      </c>
      <c r="I1245" t="str">
        <f>IF(Tableau1[[#This Row],[Manque (physique)]]&gt;Tableau1[[#This Row],[Manque (digital)]],"POD",IF(Tableau1[[#This Row],[Manque (digital)]]&gt;Tableau1[[#This Row],[Manque (physique)]],"MarketPlace",""))</f>
        <v>MarketPlace</v>
      </c>
      <c r="J1245" t="s">
        <v>30</v>
      </c>
      <c r="K1245" t="s">
        <v>171</v>
      </c>
      <c r="L1245" t="s">
        <v>19</v>
      </c>
      <c r="M1245" t="s">
        <v>19</v>
      </c>
      <c r="N1245" t="s">
        <v>23</v>
      </c>
      <c r="O1245" t="s">
        <v>19</v>
      </c>
      <c r="P1245" t="s">
        <v>89</v>
      </c>
    </row>
    <row r="1246" spans="1:17" hidden="1" x14ac:dyDescent="0.25">
      <c r="A1246" t="s">
        <v>294</v>
      </c>
      <c r="B1246" t="s">
        <v>22</v>
      </c>
      <c r="C1246" t="s">
        <v>15</v>
      </c>
      <c r="D1246" t="s">
        <v>29</v>
      </c>
      <c r="E1246">
        <v>1</v>
      </c>
      <c r="F1246">
        <f>MAX(-1,3-Tableau1[[#This Row],[Nb possédé (digital)]])</f>
        <v>2</v>
      </c>
      <c r="G1246">
        <v>3</v>
      </c>
      <c r="H1246">
        <f>MAX(-1,3-Tableau1[[#This Row],[Possédé (physique)]])</f>
        <v>0</v>
      </c>
      <c r="I1246" t="str">
        <f>IF(Tableau1[[#This Row],[Manque (physique)]]&gt;Tableau1[[#This Row],[Manque (digital)]],"POD",IF(Tableau1[[#This Row],[Manque (digital)]]&gt;Tableau1[[#This Row],[Manque (physique)]],"MarketPlace",""))</f>
        <v>MarketPlace</v>
      </c>
      <c r="J1246" t="s">
        <v>30</v>
      </c>
      <c r="K1246" t="s">
        <v>79</v>
      </c>
      <c r="L1246" t="s">
        <v>19</v>
      </c>
      <c r="M1246" t="s">
        <v>19</v>
      </c>
      <c r="N1246" t="s">
        <v>19</v>
      </c>
      <c r="O1246" t="s">
        <v>20</v>
      </c>
      <c r="P1246" t="s">
        <v>20</v>
      </c>
      <c r="Q1246" t="s">
        <v>297</v>
      </c>
    </row>
    <row r="1247" spans="1:17" hidden="1" x14ac:dyDescent="0.25">
      <c r="A1247" t="s">
        <v>324</v>
      </c>
      <c r="B1247" t="s">
        <v>22</v>
      </c>
      <c r="C1247" t="s">
        <v>15</v>
      </c>
      <c r="D1247" t="s">
        <v>29</v>
      </c>
      <c r="E1247">
        <v>1</v>
      </c>
      <c r="F1247">
        <f>MAX(-1,3-Tableau1[[#This Row],[Nb possédé (digital)]])</f>
        <v>2</v>
      </c>
      <c r="G1247">
        <v>3</v>
      </c>
      <c r="H1247">
        <f>MAX(-1,3-Tableau1[[#This Row],[Possédé (physique)]])</f>
        <v>0</v>
      </c>
      <c r="I1247" t="str">
        <f>IF(Tableau1[[#This Row],[Manque (physique)]]&gt;Tableau1[[#This Row],[Manque (digital)]],"POD",IF(Tableau1[[#This Row],[Manque (digital)]]&gt;Tableau1[[#This Row],[Manque (physique)]],"MarketPlace",""))</f>
        <v>MarketPlace</v>
      </c>
      <c r="J1247" t="s">
        <v>17</v>
      </c>
      <c r="K1247" t="s">
        <v>18</v>
      </c>
      <c r="L1247" t="s">
        <v>19</v>
      </c>
      <c r="M1247" t="s">
        <v>19</v>
      </c>
      <c r="Q1247" t="s">
        <v>326</v>
      </c>
    </row>
    <row r="1248" spans="1:17" hidden="1" x14ac:dyDescent="0.25">
      <c r="A1248" t="s">
        <v>364</v>
      </c>
      <c r="B1248" t="s">
        <v>22</v>
      </c>
      <c r="C1248" t="s">
        <v>15</v>
      </c>
      <c r="D1248" t="s">
        <v>29</v>
      </c>
      <c r="E1248">
        <v>2</v>
      </c>
      <c r="F1248">
        <f>MAX(-1,3-Tableau1[[#This Row],[Nb possédé (digital)]])</f>
        <v>1</v>
      </c>
      <c r="G1248">
        <v>3</v>
      </c>
      <c r="H1248">
        <f>MAX(-1,3-Tableau1[[#This Row],[Possédé (physique)]])</f>
        <v>0</v>
      </c>
      <c r="I1248" t="str">
        <f>IF(Tableau1[[#This Row],[Manque (physique)]]&gt;Tableau1[[#This Row],[Manque (digital)]],"POD",IF(Tableau1[[#This Row],[Manque (digital)]]&gt;Tableau1[[#This Row],[Manque (physique)]],"MarketPlace",""))</f>
        <v>MarketPlace</v>
      </c>
      <c r="J1248" t="s">
        <v>17</v>
      </c>
      <c r="K1248" t="s">
        <v>189</v>
      </c>
      <c r="L1248" t="s">
        <v>19</v>
      </c>
      <c r="M1248" t="s">
        <v>19</v>
      </c>
      <c r="Q1248" t="s">
        <v>366</v>
      </c>
    </row>
    <row r="1249" spans="1:17" hidden="1" x14ac:dyDescent="0.25">
      <c r="A1249" t="s">
        <v>468</v>
      </c>
      <c r="B1249" t="s">
        <v>22</v>
      </c>
      <c r="C1249" t="s">
        <v>15</v>
      </c>
      <c r="D1249" t="s">
        <v>29</v>
      </c>
      <c r="E1249">
        <v>0</v>
      </c>
      <c r="F1249">
        <f>MAX(-1,3-Tableau1[[#This Row],[Nb possédé (digital)]])</f>
        <v>3</v>
      </c>
      <c r="G1249">
        <v>3</v>
      </c>
      <c r="H1249">
        <f>MAX(-1,3-Tableau1[[#This Row],[Possédé (physique)]])</f>
        <v>0</v>
      </c>
      <c r="I1249" t="str">
        <f>IF(Tableau1[[#This Row],[Manque (physique)]]&gt;Tableau1[[#This Row],[Manque (digital)]],"POD",IF(Tableau1[[#This Row],[Manque (digital)]]&gt;Tableau1[[#This Row],[Manque (physique)]],"MarketPlace",""))</f>
        <v>MarketPlace</v>
      </c>
      <c r="J1249" t="s">
        <v>30</v>
      </c>
      <c r="K1249" t="s">
        <v>358</v>
      </c>
      <c r="L1249" t="s">
        <v>19</v>
      </c>
      <c r="M1249" t="s">
        <v>19</v>
      </c>
      <c r="N1249" t="s">
        <v>23</v>
      </c>
      <c r="O1249" t="s">
        <v>23</v>
      </c>
      <c r="P1249" t="s">
        <v>89</v>
      </c>
    </row>
    <row r="1250" spans="1:17" hidden="1" x14ac:dyDescent="0.25">
      <c r="A1250" t="s">
        <v>636</v>
      </c>
      <c r="B1250" t="s">
        <v>22</v>
      </c>
      <c r="C1250" t="s">
        <v>15</v>
      </c>
      <c r="D1250" t="s">
        <v>29</v>
      </c>
      <c r="E1250">
        <v>1</v>
      </c>
      <c r="F1250">
        <f>MAX(-1,3-Tableau1[[#This Row],[Nb possédé (digital)]])</f>
        <v>2</v>
      </c>
      <c r="G1250">
        <v>3</v>
      </c>
      <c r="H1250">
        <f>MAX(-1,3-Tableau1[[#This Row],[Possédé (physique)]])</f>
        <v>0</v>
      </c>
      <c r="I1250" t="str">
        <f>IF(Tableau1[[#This Row],[Manque (physique)]]&gt;Tableau1[[#This Row],[Manque (digital)]],"POD",IF(Tableau1[[#This Row],[Manque (digital)]]&gt;Tableau1[[#This Row],[Manque (physique)]],"MarketPlace",""))</f>
        <v>MarketPlace</v>
      </c>
      <c r="J1250" t="s">
        <v>268</v>
      </c>
      <c r="K1250" t="s">
        <v>438</v>
      </c>
      <c r="L1250" t="s">
        <v>19</v>
      </c>
      <c r="M1250" t="s">
        <v>19</v>
      </c>
      <c r="Q1250" t="s">
        <v>638</v>
      </c>
    </row>
    <row r="1251" spans="1:17" hidden="1" x14ac:dyDescent="0.25">
      <c r="A1251" t="s">
        <v>718</v>
      </c>
      <c r="B1251" t="s">
        <v>22</v>
      </c>
      <c r="C1251" t="s">
        <v>15</v>
      </c>
      <c r="D1251" t="s">
        <v>29</v>
      </c>
      <c r="E1251">
        <v>1</v>
      </c>
      <c r="F1251">
        <f>MAX(-1,3-Tableau1[[#This Row],[Nb possédé (digital)]])</f>
        <v>2</v>
      </c>
      <c r="G1251">
        <v>3</v>
      </c>
      <c r="H1251">
        <f>MAX(-1,3-Tableau1[[#This Row],[Possédé (physique)]])</f>
        <v>0</v>
      </c>
      <c r="I1251" t="str">
        <f>IF(Tableau1[[#This Row],[Manque (physique)]]&gt;Tableau1[[#This Row],[Manque (digital)]],"POD",IF(Tableau1[[#This Row],[Manque (digital)]]&gt;Tableau1[[#This Row],[Manque (physique)]],"MarketPlace",""))</f>
        <v>MarketPlace</v>
      </c>
      <c r="J1251" t="s">
        <v>116</v>
      </c>
      <c r="K1251" t="s">
        <v>117</v>
      </c>
      <c r="L1251" t="s">
        <v>19</v>
      </c>
      <c r="M1251" t="s">
        <v>19</v>
      </c>
      <c r="Q1251" t="s">
        <v>719</v>
      </c>
    </row>
    <row r="1252" spans="1:17" hidden="1" x14ac:dyDescent="0.25">
      <c r="A1252" t="s">
        <v>723</v>
      </c>
      <c r="B1252" t="s">
        <v>22</v>
      </c>
      <c r="C1252" t="s">
        <v>15</v>
      </c>
      <c r="D1252" t="s">
        <v>29</v>
      </c>
      <c r="E1252">
        <v>1</v>
      </c>
      <c r="F1252">
        <f>MAX(-1,3-Tableau1[[#This Row],[Nb possédé (digital)]])</f>
        <v>2</v>
      </c>
      <c r="G1252">
        <v>3</v>
      </c>
      <c r="H1252">
        <f>MAX(-1,3-Tableau1[[#This Row],[Possédé (physique)]])</f>
        <v>0</v>
      </c>
      <c r="I1252" t="str">
        <f>IF(Tableau1[[#This Row],[Manque (physique)]]&gt;Tableau1[[#This Row],[Manque (digital)]],"POD",IF(Tableau1[[#This Row],[Manque (digital)]]&gt;Tableau1[[#This Row],[Manque (physique)]],"MarketPlace",""))</f>
        <v>MarketPlace</v>
      </c>
      <c r="J1252" t="s">
        <v>268</v>
      </c>
      <c r="K1252" t="s">
        <v>269</v>
      </c>
      <c r="L1252" t="s">
        <v>19</v>
      </c>
      <c r="M1252" t="s">
        <v>19</v>
      </c>
      <c r="Q1252" t="s">
        <v>725</v>
      </c>
    </row>
    <row r="1253" spans="1:17" hidden="1" x14ac:dyDescent="0.25">
      <c r="A1253" t="s">
        <v>854</v>
      </c>
      <c r="B1253" t="s">
        <v>22</v>
      </c>
      <c r="C1253" t="s">
        <v>15</v>
      </c>
      <c r="D1253" t="s">
        <v>29</v>
      </c>
      <c r="E1253">
        <v>2</v>
      </c>
      <c r="F1253">
        <f>MAX(-1,3-Tableau1[[#This Row],[Nb possédé (digital)]])</f>
        <v>1</v>
      </c>
      <c r="G1253">
        <v>2</v>
      </c>
      <c r="H1253">
        <f>MAX(-1,3-Tableau1[[#This Row],[Possédé (physique)]])</f>
        <v>1</v>
      </c>
      <c r="I1253" t="str">
        <f>IF(Tableau1[[#This Row],[Manque (physique)]]&gt;Tableau1[[#This Row],[Manque (digital)]],"POD",IF(Tableau1[[#This Row],[Manque (digital)]]&gt;Tableau1[[#This Row],[Manque (physique)]],"MarketPlace",""))</f>
        <v/>
      </c>
      <c r="J1253" t="s">
        <v>30</v>
      </c>
      <c r="K1253" t="s">
        <v>846</v>
      </c>
      <c r="L1253" t="s">
        <v>19</v>
      </c>
      <c r="M1253" t="s">
        <v>19</v>
      </c>
      <c r="N1253" t="s">
        <v>89</v>
      </c>
      <c r="O1253" t="s">
        <v>89</v>
      </c>
      <c r="P1253" t="s">
        <v>89</v>
      </c>
      <c r="Q1253" t="s">
        <v>856</v>
      </c>
    </row>
    <row r="1254" spans="1:17" hidden="1" x14ac:dyDescent="0.25">
      <c r="A1254" t="s">
        <v>857</v>
      </c>
      <c r="B1254" t="s">
        <v>22</v>
      </c>
      <c r="C1254" t="s">
        <v>15</v>
      </c>
      <c r="D1254" t="s">
        <v>29</v>
      </c>
      <c r="E1254">
        <v>0</v>
      </c>
      <c r="F1254">
        <f>MAX(-1,3-Tableau1[[#This Row],[Nb possédé (digital)]])</f>
        <v>3</v>
      </c>
      <c r="G1254">
        <v>3</v>
      </c>
      <c r="H1254">
        <f>MAX(-1,3-Tableau1[[#This Row],[Possédé (physique)]])</f>
        <v>0</v>
      </c>
      <c r="I1254" t="str">
        <f>IF(Tableau1[[#This Row],[Manque (physique)]]&gt;Tableau1[[#This Row],[Manque (digital)]],"POD",IF(Tableau1[[#This Row],[Manque (digital)]]&gt;Tableau1[[#This Row],[Manque (physique)]],"MarketPlace",""))</f>
        <v>MarketPlace</v>
      </c>
      <c r="J1254" t="s">
        <v>30</v>
      </c>
      <c r="K1254" t="s">
        <v>83</v>
      </c>
      <c r="L1254" t="s">
        <v>19</v>
      </c>
      <c r="M1254" t="s">
        <v>19</v>
      </c>
      <c r="N1254" t="s">
        <v>20</v>
      </c>
      <c r="O1254" t="s">
        <v>20</v>
      </c>
      <c r="P1254" t="s">
        <v>20</v>
      </c>
      <c r="Q1254" t="s">
        <v>860</v>
      </c>
    </row>
    <row r="1255" spans="1:17" hidden="1" x14ac:dyDescent="0.25">
      <c r="A1255" t="s">
        <v>939</v>
      </c>
      <c r="B1255" t="s">
        <v>22</v>
      </c>
      <c r="C1255" t="s">
        <v>15</v>
      </c>
      <c r="D1255" t="s">
        <v>29</v>
      </c>
      <c r="E1255">
        <v>1</v>
      </c>
      <c r="F1255">
        <f>MAX(-1,3-Tableau1[[#This Row],[Nb possédé (digital)]])</f>
        <v>2</v>
      </c>
      <c r="G1255">
        <v>3</v>
      </c>
      <c r="H1255">
        <f>MAX(-1,3-Tableau1[[#This Row],[Possédé (physique)]])</f>
        <v>0</v>
      </c>
      <c r="I1255" t="str">
        <f>IF(Tableau1[[#This Row],[Manque (physique)]]&gt;Tableau1[[#This Row],[Manque (digital)]],"POD",IF(Tableau1[[#This Row],[Manque (digital)]]&gt;Tableau1[[#This Row],[Manque (physique)]],"MarketPlace",""))</f>
        <v>MarketPlace</v>
      </c>
      <c r="J1255" t="s">
        <v>30</v>
      </c>
      <c r="K1255" t="s">
        <v>79</v>
      </c>
      <c r="L1255" t="s">
        <v>19</v>
      </c>
      <c r="M1255" t="s">
        <v>19</v>
      </c>
      <c r="N1255" t="s">
        <v>23</v>
      </c>
      <c r="O1255" t="s">
        <v>20</v>
      </c>
      <c r="P1255" t="s">
        <v>23</v>
      </c>
      <c r="Q1255" t="s">
        <v>941</v>
      </c>
    </row>
    <row r="1256" spans="1:17" hidden="1" x14ac:dyDescent="0.25">
      <c r="A1256" t="s">
        <v>278</v>
      </c>
      <c r="B1256" t="s">
        <v>22</v>
      </c>
      <c r="C1256" t="s">
        <v>15</v>
      </c>
      <c r="D1256" t="s">
        <v>29</v>
      </c>
      <c r="E1256">
        <v>3</v>
      </c>
      <c r="F1256">
        <f>MAX(-1,3-Tableau1[[#This Row],[Nb possédé (digital)]])</f>
        <v>0</v>
      </c>
      <c r="G1256">
        <v>3</v>
      </c>
      <c r="H1256">
        <f>MAX(-1,3-Tableau1[[#This Row],[Possédé (physique)]])</f>
        <v>0</v>
      </c>
      <c r="I1256" t="str">
        <f>IF(Tableau1[[#This Row],[Manque (physique)]]&gt;Tableau1[[#This Row],[Manque (digital)]],"POD",IF(Tableau1[[#This Row],[Manque (digital)]]&gt;Tableau1[[#This Row],[Manque (physique)]],"MarketPlace",""))</f>
        <v/>
      </c>
      <c r="J1256" t="s">
        <v>30</v>
      </c>
      <c r="K1256" t="s">
        <v>107</v>
      </c>
      <c r="L1256" t="s">
        <v>19</v>
      </c>
      <c r="M1256" t="s">
        <v>23</v>
      </c>
      <c r="N1256" t="s">
        <v>19</v>
      </c>
      <c r="O1256" t="s">
        <v>19</v>
      </c>
      <c r="P1256" t="s">
        <v>19</v>
      </c>
      <c r="Q1256" t="s">
        <v>280</v>
      </c>
    </row>
    <row r="1257" spans="1:17" hidden="1" x14ac:dyDescent="0.25">
      <c r="A1257" t="s">
        <v>892</v>
      </c>
      <c r="B1257" t="s">
        <v>22</v>
      </c>
      <c r="C1257" t="s">
        <v>15</v>
      </c>
      <c r="D1257" t="s">
        <v>29</v>
      </c>
      <c r="E1257">
        <v>0</v>
      </c>
      <c r="F1257">
        <f>MAX(-1,3-Tableau1[[#This Row],[Nb possédé (digital)]])</f>
        <v>3</v>
      </c>
      <c r="G1257">
        <v>3</v>
      </c>
      <c r="H1257">
        <f>MAX(-1,3-Tableau1[[#This Row],[Possédé (physique)]])</f>
        <v>0</v>
      </c>
      <c r="I1257" t="str">
        <f>IF(Tableau1[[#This Row],[Manque (physique)]]&gt;Tableau1[[#This Row],[Manque (digital)]],"POD",IF(Tableau1[[#This Row],[Manque (digital)]]&gt;Tableau1[[#This Row],[Manque (physique)]],"MarketPlace",""))</f>
        <v>MarketPlace</v>
      </c>
      <c r="J1257" t="s">
        <v>30</v>
      </c>
      <c r="K1257" t="s">
        <v>83</v>
      </c>
      <c r="L1257" t="s">
        <v>19</v>
      </c>
      <c r="M1257" t="s">
        <v>23</v>
      </c>
      <c r="N1257" t="s">
        <v>20</v>
      </c>
      <c r="O1257" t="s">
        <v>19</v>
      </c>
      <c r="P1257" t="s">
        <v>20</v>
      </c>
      <c r="Q1257" t="s">
        <v>895</v>
      </c>
    </row>
    <row r="1258" spans="1:17" hidden="1" x14ac:dyDescent="0.25">
      <c r="A1258" t="s">
        <v>948</v>
      </c>
      <c r="B1258" t="s">
        <v>22</v>
      </c>
      <c r="C1258" t="s">
        <v>15</v>
      </c>
      <c r="D1258" t="s">
        <v>29</v>
      </c>
      <c r="E1258">
        <v>0</v>
      </c>
      <c r="F1258">
        <f>MAX(-1,3-Tableau1[[#This Row],[Nb possédé (digital)]])</f>
        <v>3</v>
      </c>
      <c r="G1258">
        <v>3</v>
      </c>
      <c r="H1258">
        <f>MAX(-1,3-Tableau1[[#This Row],[Possédé (physique)]])</f>
        <v>0</v>
      </c>
      <c r="I1258" t="str">
        <f>IF(Tableau1[[#This Row],[Manque (physique)]]&gt;Tableau1[[#This Row],[Manque (digital)]],"POD",IF(Tableau1[[#This Row],[Manque (digital)]]&gt;Tableau1[[#This Row],[Manque (physique)]],"MarketPlace",""))</f>
        <v>MarketPlace</v>
      </c>
      <c r="J1258" t="s">
        <v>17</v>
      </c>
      <c r="K1258" t="s">
        <v>949</v>
      </c>
      <c r="L1258" t="s">
        <v>19</v>
      </c>
      <c r="M1258" t="s">
        <v>23</v>
      </c>
      <c r="Q1258" t="s">
        <v>951</v>
      </c>
    </row>
    <row r="1259" spans="1:17" hidden="1" x14ac:dyDescent="0.25">
      <c r="A1259" t="s">
        <v>642</v>
      </c>
      <c r="B1259" t="s">
        <v>22</v>
      </c>
      <c r="C1259" t="s">
        <v>15</v>
      </c>
      <c r="D1259" t="s">
        <v>29</v>
      </c>
      <c r="E1259">
        <v>1</v>
      </c>
      <c r="F1259">
        <f>MAX(-1,3-Tableau1[[#This Row],[Nb possédé (digital)]])</f>
        <v>2</v>
      </c>
      <c r="G1259">
        <v>3</v>
      </c>
      <c r="H1259">
        <f>MAX(-1,3-Tableau1[[#This Row],[Possédé (physique)]])</f>
        <v>0</v>
      </c>
      <c r="I1259" t="str">
        <f>IF(Tableau1[[#This Row],[Manque (physique)]]&gt;Tableau1[[#This Row],[Manque (digital)]],"POD",IF(Tableau1[[#This Row],[Manque (digital)]]&gt;Tableau1[[#This Row],[Manque (physique)]],"MarketPlace",""))</f>
        <v>MarketPlace</v>
      </c>
      <c r="J1259" t="s">
        <v>268</v>
      </c>
      <c r="K1259" t="s">
        <v>269</v>
      </c>
      <c r="L1259" t="s">
        <v>23</v>
      </c>
      <c r="M1259" t="s">
        <v>23</v>
      </c>
      <c r="Q1259" t="s">
        <v>644</v>
      </c>
    </row>
    <row r="1260" spans="1:17" hidden="1" x14ac:dyDescent="0.25">
      <c r="A1260" t="s">
        <v>650</v>
      </c>
      <c r="B1260" t="s">
        <v>22</v>
      </c>
      <c r="C1260" t="s">
        <v>15</v>
      </c>
      <c r="D1260" t="s">
        <v>29</v>
      </c>
      <c r="E1260">
        <v>1</v>
      </c>
      <c r="F1260">
        <f>MAX(-1,3-Tableau1[[#This Row],[Nb possédé (digital)]])</f>
        <v>2</v>
      </c>
      <c r="G1260">
        <v>3</v>
      </c>
      <c r="H1260">
        <f>MAX(-1,3-Tableau1[[#This Row],[Possédé (physique)]])</f>
        <v>0</v>
      </c>
      <c r="I1260" t="str">
        <f>IF(Tableau1[[#This Row],[Manque (physique)]]&gt;Tableau1[[#This Row],[Manque (digital)]],"POD",IF(Tableau1[[#This Row],[Manque (digital)]]&gt;Tableau1[[#This Row],[Manque (physique)]],"MarketPlace",""))</f>
        <v>MarketPlace</v>
      </c>
      <c r="J1260" t="s">
        <v>30</v>
      </c>
      <c r="K1260" t="s">
        <v>79</v>
      </c>
      <c r="L1260" t="s">
        <v>23</v>
      </c>
      <c r="M1260" t="s">
        <v>23</v>
      </c>
      <c r="N1260" t="s">
        <v>23</v>
      </c>
      <c r="O1260" t="s">
        <v>23</v>
      </c>
      <c r="P1260" t="s">
        <v>19</v>
      </c>
      <c r="Q1260" t="s">
        <v>652</v>
      </c>
    </row>
    <row r="1261" spans="1:17" hidden="1" x14ac:dyDescent="0.25">
      <c r="A1261" t="s">
        <v>737</v>
      </c>
      <c r="B1261" t="s">
        <v>22</v>
      </c>
      <c r="C1261" t="s">
        <v>15</v>
      </c>
      <c r="D1261" t="s">
        <v>29</v>
      </c>
      <c r="E1261">
        <v>1</v>
      </c>
      <c r="F1261">
        <f>MAX(-1,3-Tableau1[[#This Row],[Nb possédé (digital)]])</f>
        <v>2</v>
      </c>
      <c r="G1261">
        <v>3</v>
      </c>
      <c r="H1261">
        <f>MAX(-1,3-Tableau1[[#This Row],[Possédé (physique)]])</f>
        <v>0</v>
      </c>
      <c r="I1261" t="str">
        <f>IF(Tableau1[[#This Row],[Manque (physique)]]&gt;Tableau1[[#This Row],[Manque (digital)]],"POD",IF(Tableau1[[#This Row],[Manque (digital)]]&gt;Tableau1[[#This Row],[Manque (physique)]],"MarketPlace",""))</f>
        <v>MarketPlace</v>
      </c>
      <c r="J1261" t="s">
        <v>30</v>
      </c>
      <c r="K1261" t="s">
        <v>738</v>
      </c>
      <c r="L1261" t="s">
        <v>23</v>
      </c>
      <c r="M1261" t="s">
        <v>23</v>
      </c>
      <c r="N1261" t="s">
        <v>23</v>
      </c>
      <c r="O1261" t="s">
        <v>19</v>
      </c>
      <c r="P1261" t="s">
        <v>23</v>
      </c>
      <c r="Q1261" t="s">
        <v>740</v>
      </c>
    </row>
    <row r="1262" spans="1:17" hidden="1" x14ac:dyDescent="0.25">
      <c r="A1262" t="s">
        <v>784</v>
      </c>
      <c r="B1262" t="s">
        <v>22</v>
      </c>
      <c r="C1262" t="s">
        <v>15</v>
      </c>
      <c r="D1262" t="s">
        <v>29</v>
      </c>
      <c r="E1262">
        <v>2</v>
      </c>
      <c r="F1262">
        <f>MAX(-1,3-Tableau1[[#This Row],[Nb possédé (digital)]])</f>
        <v>1</v>
      </c>
      <c r="G1262">
        <v>3</v>
      </c>
      <c r="H1262">
        <f>MAX(-1,3-Tableau1[[#This Row],[Possédé (physique)]])</f>
        <v>0</v>
      </c>
      <c r="I1262" t="str">
        <f>IF(Tableau1[[#This Row],[Manque (physique)]]&gt;Tableau1[[#This Row],[Manque (digital)]],"POD",IF(Tableau1[[#This Row],[Manque (digital)]]&gt;Tableau1[[#This Row],[Manque (physique)]],"MarketPlace",""))</f>
        <v>MarketPlace</v>
      </c>
      <c r="J1262" t="s">
        <v>17</v>
      </c>
      <c r="K1262" t="s">
        <v>153</v>
      </c>
      <c r="L1262" t="s">
        <v>23</v>
      </c>
      <c r="M1262" t="s">
        <v>23</v>
      </c>
      <c r="Q1262" t="s">
        <v>786</v>
      </c>
    </row>
    <row r="1263" spans="1:17" hidden="1" x14ac:dyDescent="0.25">
      <c r="A1263" t="s">
        <v>819</v>
      </c>
      <c r="B1263" t="s">
        <v>22</v>
      </c>
      <c r="C1263" t="s">
        <v>15</v>
      </c>
      <c r="D1263" t="s">
        <v>29</v>
      </c>
      <c r="E1263">
        <v>1</v>
      </c>
      <c r="F1263">
        <f>MAX(-1,3-Tableau1[[#This Row],[Nb possédé (digital)]])</f>
        <v>2</v>
      </c>
      <c r="G1263">
        <v>3</v>
      </c>
      <c r="H1263">
        <f>MAX(-1,3-Tableau1[[#This Row],[Possédé (physique)]])</f>
        <v>0</v>
      </c>
      <c r="I1263" t="str">
        <f>IF(Tableau1[[#This Row],[Manque (physique)]]&gt;Tableau1[[#This Row],[Manque (digital)]],"POD",IF(Tableau1[[#This Row],[Manque (digital)]]&gt;Tableau1[[#This Row],[Manque (physique)]],"MarketPlace",""))</f>
        <v>MarketPlace</v>
      </c>
      <c r="J1263" t="s">
        <v>17</v>
      </c>
      <c r="K1263" t="s">
        <v>97</v>
      </c>
      <c r="L1263" t="s">
        <v>23</v>
      </c>
      <c r="M1263" t="s">
        <v>23</v>
      </c>
      <c r="Q1263" t="s">
        <v>822</v>
      </c>
    </row>
    <row r="1264" spans="1:17" hidden="1" x14ac:dyDescent="0.25">
      <c r="A1264" t="s">
        <v>1010</v>
      </c>
      <c r="B1264" t="s">
        <v>22</v>
      </c>
      <c r="C1264" t="s">
        <v>15</v>
      </c>
      <c r="D1264" t="s">
        <v>29</v>
      </c>
      <c r="E1264">
        <v>0</v>
      </c>
      <c r="F1264">
        <f>MAX(-1,3-Tableau1[[#This Row],[Nb possédé (digital)]])</f>
        <v>3</v>
      </c>
      <c r="G1264">
        <v>3</v>
      </c>
      <c r="H1264">
        <f>MAX(-1,3-Tableau1[[#This Row],[Possédé (physique)]])</f>
        <v>0</v>
      </c>
      <c r="I1264" t="str">
        <f>IF(Tableau1[[#This Row],[Manque (physique)]]&gt;Tableau1[[#This Row],[Manque (digital)]],"POD",IF(Tableau1[[#This Row],[Manque (digital)]]&gt;Tableau1[[#This Row],[Manque (physique)]],"MarketPlace",""))</f>
        <v>MarketPlace</v>
      </c>
      <c r="J1264" t="s">
        <v>30</v>
      </c>
      <c r="K1264" t="s">
        <v>557</v>
      </c>
      <c r="L1264" t="s">
        <v>23</v>
      </c>
      <c r="M1264" t="s">
        <v>23</v>
      </c>
      <c r="N1264" t="s">
        <v>23</v>
      </c>
      <c r="O1264" t="s">
        <v>19</v>
      </c>
      <c r="P1264" t="s">
        <v>19</v>
      </c>
      <c r="Q1264" t="s">
        <v>1012</v>
      </c>
    </row>
    <row r="1265" spans="1:17" hidden="1" x14ac:dyDescent="0.25">
      <c r="A1265" t="s">
        <v>102</v>
      </c>
      <c r="B1265" t="s">
        <v>22</v>
      </c>
      <c r="C1265" t="s">
        <v>15</v>
      </c>
      <c r="D1265" t="s">
        <v>29</v>
      </c>
      <c r="E1265">
        <v>1</v>
      </c>
      <c r="F1265">
        <f>MAX(-1,3-Tableau1[[#This Row],[Nb possédé (digital)]])</f>
        <v>2</v>
      </c>
      <c r="G1265">
        <v>3</v>
      </c>
      <c r="H1265">
        <f>MAX(-1,3-Tableau1[[#This Row],[Possédé (physique)]])</f>
        <v>0</v>
      </c>
      <c r="I1265" t="str">
        <f>IF(Tableau1[[#This Row],[Manque (physique)]]&gt;Tableau1[[#This Row],[Manque (digital)]],"POD",IF(Tableau1[[#This Row],[Manque (digital)]]&gt;Tableau1[[#This Row],[Manque (physique)]],"MarketPlace",""))</f>
        <v>MarketPlace</v>
      </c>
      <c r="J1265" t="s">
        <v>30</v>
      </c>
      <c r="K1265" t="s">
        <v>103</v>
      </c>
      <c r="L1265" t="s">
        <v>52</v>
      </c>
      <c r="M1265" t="s">
        <v>52</v>
      </c>
      <c r="N1265" t="s">
        <v>52</v>
      </c>
      <c r="O1265" t="s">
        <v>52</v>
      </c>
      <c r="P1265" t="s">
        <v>37</v>
      </c>
      <c r="Q1265" t="s">
        <v>104</v>
      </c>
    </row>
    <row r="1266" spans="1:17" hidden="1" x14ac:dyDescent="0.25">
      <c r="A1266" t="s">
        <v>110</v>
      </c>
      <c r="B1266" t="s">
        <v>22</v>
      </c>
      <c r="C1266" t="s">
        <v>15</v>
      </c>
      <c r="D1266" t="s">
        <v>29</v>
      </c>
      <c r="E1266">
        <v>1</v>
      </c>
      <c r="F1266">
        <f>MAX(-1,3-Tableau1[[#This Row],[Nb possédé (digital)]])</f>
        <v>2</v>
      </c>
      <c r="G1266">
        <v>3</v>
      </c>
      <c r="H1266">
        <f>MAX(-1,3-Tableau1[[#This Row],[Possédé (physique)]])</f>
        <v>0</v>
      </c>
      <c r="I1266" t="str">
        <f>IF(Tableau1[[#This Row],[Manque (physique)]]&gt;Tableau1[[#This Row],[Manque (digital)]],"POD",IF(Tableau1[[#This Row],[Manque (digital)]]&gt;Tableau1[[#This Row],[Manque (physique)]],"MarketPlace",""))</f>
        <v>MarketPlace</v>
      </c>
      <c r="J1266" t="s">
        <v>30</v>
      </c>
      <c r="K1266" t="s">
        <v>111</v>
      </c>
      <c r="L1266" t="s">
        <v>52</v>
      </c>
      <c r="M1266" t="s">
        <v>52</v>
      </c>
      <c r="N1266" t="s">
        <v>23</v>
      </c>
      <c r="O1266" t="s">
        <v>23</v>
      </c>
      <c r="P1266" t="s">
        <v>23</v>
      </c>
      <c r="Q1266" t="s">
        <v>112</v>
      </c>
    </row>
    <row r="1267" spans="1:17" hidden="1" x14ac:dyDescent="0.25">
      <c r="A1267" t="s">
        <v>426</v>
      </c>
      <c r="B1267" t="s">
        <v>22</v>
      </c>
      <c r="C1267" t="s">
        <v>15</v>
      </c>
      <c r="D1267" t="s">
        <v>29</v>
      </c>
      <c r="E1267">
        <v>1</v>
      </c>
      <c r="F1267">
        <f>MAX(-1,3-Tableau1[[#This Row],[Nb possédé (digital)]])</f>
        <v>2</v>
      </c>
      <c r="G1267">
        <v>3</v>
      </c>
      <c r="H1267">
        <f>MAX(-1,3-Tableau1[[#This Row],[Possédé (physique)]])</f>
        <v>0</v>
      </c>
      <c r="I1267" t="str">
        <f>IF(Tableau1[[#This Row],[Manque (physique)]]&gt;Tableau1[[#This Row],[Manque (digital)]],"POD",IF(Tableau1[[#This Row],[Manque (digital)]]&gt;Tableau1[[#This Row],[Manque (physique)]],"MarketPlace",""))</f>
        <v>MarketPlace</v>
      </c>
      <c r="J1267" t="s">
        <v>30</v>
      </c>
      <c r="K1267" t="s">
        <v>179</v>
      </c>
      <c r="L1267" t="s">
        <v>52</v>
      </c>
      <c r="M1267" t="s">
        <v>52</v>
      </c>
      <c r="N1267" t="s">
        <v>89</v>
      </c>
      <c r="O1267" t="s">
        <v>23</v>
      </c>
      <c r="P1267" t="s">
        <v>23</v>
      </c>
      <c r="Q1267" t="s">
        <v>428</v>
      </c>
    </row>
    <row r="1268" spans="1:17" hidden="1" x14ac:dyDescent="0.25">
      <c r="A1268" t="s">
        <v>510</v>
      </c>
      <c r="B1268" t="s">
        <v>22</v>
      </c>
      <c r="C1268" t="s">
        <v>15</v>
      </c>
      <c r="D1268" t="s">
        <v>29</v>
      </c>
      <c r="E1268">
        <v>1</v>
      </c>
      <c r="F1268">
        <f>MAX(-1,3-Tableau1[[#This Row],[Nb possédé (digital)]])</f>
        <v>2</v>
      </c>
      <c r="G1268">
        <v>3</v>
      </c>
      <c r="H1268">
        <f>MAX(-1,3-Tableau1[[#This Row],[Possédé (physique)]])</f>
        <v>0</v>
      </c>
      <c r="I1268" t="str">
        <f>IF(Tableau1[[#This Row],[Manque (physique)]]&gt;Tableau1[[#This Row],[Manque (digital)]],"POD",IF(Tableau1[[#This Row],[Manque (digital)]]&gt;Tableau1[[#This Row],[Manque (physique)]],"MarketPlace",""))</f>
        <v>MarketPlace</v>
      </c>
      <c r="J1268" t="s">
        <v>30</v>
      </c>
      <c r="K1268" t="s">
        <v>51</v>
      </c>
      <c r="L1268" t="s">
        <v>52</v>
      </c>
      <c r="M1268" t="s">
        <v>37</v>
      </c>
      <c r="N1268" t="s">
        <v>23</v>
      </c>
      <c r="O1268" t="s">
        <v>23</v>
      </c>
      <c r="P1268" t="s">
        <v>19</v>
      </c>
      <c r="Q1268" t="s">
        <v>512</v>
      </c>
    </row>
    <row r="1269" spans="1:17" hidden="1" x14ac:dyDescent="0.25">
      <c r="A1269" t="s">
        <v>93</v>
      </c>
      <c r="B1269" t="s">
        <v>22</v>
      </c>
      <c r="C1269" t="s">
        <v>15</v>
      </c>
      <c r="D1269" t="s">
        <v>29</v>
      </c>
      <c r="E1269">
        <v>0</v>
      </c>
      <c r="F1269">
        <f>MAX(-1,3-Tableau1[[#This Row],[Nb possédé (digital)]])</f>
        <v>3</v>
      </c>
      <c r="G1269">
        <v>3</v>
      </c>
      <c r="H1269">
        <f>MAX(-1,3-Tableau1[[#This Row],[Possédé (physique)]])</f>
        <v>0</v>
      </c>
      <c r="I1269" t="str">
        <f>IF(Tableau1[[#This Row],[Manque (physique)]]&gt;Tableau1[[#This Row],[Manque (digital)]],"POD",IF(Tableau1[[#This Row],[Manque (digital)]]&gt;Tableau1[[#This Row],[Manque (physique)]],"MarketPlace",""))</f>
        <v>MarketPlace</v>
      </c>
      <c r="J1269" t="s">
        <v>30</v>
      </c>
      <c r="K1269" t="s">
        <v>94</v>
      </c>
      <c r="L1269" t="s">
        <v>37</v>
      </c>
      <c r="M1269" t="s">
        <v>37</v>
      </c>
      <c r="N1269" t="s">
        <v>37</v>
      </c>
      <c r="O1269" t="s">
        <v>52</v>
      </c>
      <c r="P1269" t="s">
        <v>37</v>
      </c>
      <c r="Q1269" t="s">
        <v>95</v>
      </c>
    </row>
    <row r="1270" spans="1:17" hidden="1" x14ac:dyDescent="0.25">
      <c r="A1270" t="s">
        <v>704</v>
      </c>
      <c r="B1270" t="s">
        <v>22</v>
      </c>
      <c r="C1270" t="s">
        <v>15</v>
      </c>
      <c r="D1270" t="s">
        <v>29</v>
      </c>
      <c r="E1270">
        <v>1</v>
      </c>
      <c r="F1270">
        <f>MAX(-1,3-Tableau1[[#This Row],[Nb possédé (digital)]])</f>
        <v>2</v>
      </c>
      <c r="G1270">
        <v>3</v>
      </c>
      <c r="H1270">
        <f>MAX(-1,3-Tableau1[[#This Row],[Possédé (physique)]])</f>
        <v>0</v>
      </c>
      <c r="I1270" t="str">
        <f>IF(Tableau1[[#This Row],[Manque (physique)]]&gt;Tableau1[[#This Row],[Manque (digital)]],"POD",IF(Tableau1[[#This Row],[Manque (digital)]]&gt;Tableau1[[#This Row],[Manque (physique)]],"MarketPlace",""))</f>
        <v>MarketPlace</v>
      </c>
      <c r="J1270" t="s">
        <v>30</v>
      </c>
      <c r="K1270" t="s">
        <v>705</v>
      </c>
      <c r="L1270" t="s">
        <v>39</v>
      </c>
      <c r="M1270" t="s">
        <v>39</v>
      </c>
      <c r="N1270" t="s">
        <v>37</v>
      </c>
      <c r="O1270" t="s">
        <v>37</v>
      </c>
      <c r="P1270" t="s">
        <v>37</v>
      </c>
      <c r="Q1270" t="s">
        <v>708</v>
      </c>
    </row>
    <row r="1271" spans="1:17" hidden="1" x14ac:dyDescent="0.25">
      <c r="A1271" t="s">
        <v>1002</v>
      </c>
      <c r="B1271" t="s">
        <v>22</v>
      </c>
      <c r="C1271" t="s">
        <v>15</v>
      </c>
      <c r="D1271" t="s">
        <v>29</v>
      </c>
      <c r="E1271">
        <v>1</v>
      </c>
      <c r="F1271">
        <f>MAX(-1,3-Tableau1[[#This Row],[Nb possédé (digital)]])</f>
        <v>2</v>
      </c>
      <c r="G1271">
        <v>3</v>
      </c>
      <c r="H1271">
        <f>MAX(-1,3-Tableau1[[#This Row],[Possédé (physique)]])</f>
        <v>0</v>
      </c>
      <c r="I1271" t="str">
        <f>IF(Tableau1[[#This Row],[Manque (physique)]]&gt;Tableau1[[#This Row],[Manque (digital)]],"POD",IF(Tableau1[[#This Row],[Manque (digital)]]&gt;Tableau1[[#This Row],[Manque (physique)]],"MarketPlace",""))</f>
        <v>MarketPlace</v>
      </c>
      <c r="J1271" t="s">
        <v>30</v>
      </c>
      <c r="K1271" t="s">
        <v>79</v>
      </c>
      <c r="L1271" t="s">
        <v>380</v>
      </c>
      <c r="M1271" t="s">
        <v>380</v>
      </c>
      <c r="N1271" t="s">
        <v>52</v>
      </c>
      <c r="O1271" t="s">
        <v>52</v>
      </c>
      <c r="P1271" t="s">
        <v>52</v>
      </c>
      <c r="Q1271" t="s">
        <v>1004</v>
      </c>
    </row>
    <row r="1272" spans="1:17" hidden="1" x14ac:dyDescent="0.25">
      <c r="A1272" t="s">
        <v>1072</v>
      </c>
      <c r="B1272" t="s">
        <v>22</v>
      </c>
      <c r="C1272" t="s">
        <v>15</v>
      </c>
      <c r="D1272" t="s">
        <v>29</v>
      </c>
      <c r="E1272">
        <v>2</v>
      </c>
      <c r="F1272">
        <f>MAX(-1,3-Tableau1[[#This Row],[Nb possédé (digital)]])</f>
        <v>1</v>
      </c>
      <c r="G1272">
        <v>3</v>
      </c>
      <c r="H1272">
        <f>MAX(-1,3-Tableau1[[#This Row],[Possédé (physique)]])</f>
        <v>0</v>
      </c>
      <c r="I1272" t="str">
        <f>IF(Tableau1[[#This Row],[Manque (physique)]]&gt;Tableau1[[#This Row],[Manque (digital)]],"POD",IF(Tableau1[[#This Row],[Manque (digital)]]&gt;Tableau1[[#This Row],[Manque (physique)]],"MarketPlace",""))</f>
        <v>MarketPlace</v>
      </c>
      <c r="J1272" t="s">
        <v>30</v>
      </c>
      <c r="K1272" t="s">
        <v>83</v>
      </c>
      <c r="L1272" t="s">
        <v>101</v>
      </c>
      <c r="M1272" t="s">
        <v>101</v>
      </c>
      <c r="N1272" t="s">
        <v>39</v>
      </c>
      <c r="O1272" t="s">
        <v>39</v>
      </c>
      <c r="P1272" t="s">
        <v>39</v>
      </c>
      <c r="Q1272" t="s">
        <v>1073</v>
      </c>
    </row>
    <row r="1273" spans="1:17" hidden="1" x14ac:dyDescent="0.25">
      <c r="A1273" t="s">
        <v>1183</v>
      </c>
      <c r="B1273" t="s">
        <v>22</v>
      </c>
      <c r="C1273" t="s">
        <v>15</v>
      </c>
      <c r="D1273" t="s">
        <v>1156</v>
      </c>
      <c r="E1273">
        <v>2</v>
      </c>
      <c r="F1273">
        <f>MAX(-1,3-Tableau1[[#This Row],[Nb possédé (digital)]])</f>
        <v>1</v>
      </c>
      <c r="G1273">
        <v>3</v>
      </c>
      <c r="H1273">
        <f>MAX(-1,3-Tableau1[[#This Row],[Possédé (physique)]])</f>
        <v>0</v>
      </c>
      <c r="I1273" t="str">
        <f>IF(Tableau1[[#This Row],[Manque (physique)]]&gt;Tableau1[[#This Row],[Manque (digital)]],"POD",IF(Tableau1[[#This Row],[Manque (digital)]]&gt;Tableau1[[#This Row],[Manque (physique)]],"MarketPlace",""))</f>
        <v>MarketPlace</v>
      </c>
      <c r="J1273" t="s">
        <v>17</v>
      </c>
      <c r="K1273" t="s">
        <v>201</v>
      </c>
      <c r="L1273" t="s">
        <v>20</v>
      </c>
      <c r="M1273" t="s">
        <v>20</v>
      </c>
      <c r="Q1273" t="s">
        <v>1325</v>
      </c>
    </row>
    <row r="1274" spans="1:17" hidden="1" x14ac:dyDescent="0.25">
      <c r="A1274" t="s">
        <v>1212</v>
      </c>
      <c r="B1274" t="s">
        <v>22</v>
      </c>
      <c r="C1274" t="s">
        <v>15</v>
      </c>
      <c r="D1274" t="s">
        <v>1156</v>
      </c>
      <c r="E1274">
        <v>1</v>
      </c>
      <c r="F1274">
        <f>MAX(-1,3-Tableau1[[#This Row],[Nb possédé (digital)]])</f>
        <v>2</v>
      </c>
      <c r="G1274">
        <v>3</v>
      </c>
      <c r="H1274">
        <f>MAX(-1,3-Tableau1[[#This Row],[Possédé (physique)]])</f>
        <v>0</v>
      </c>
      <c r="I1274" t="str">
        <f>IF(Tableau1[[#This Row],[Manque (physique)]]&gt;Tableau1[[#This Row],[Manque (digital)]],"POD",IF(Tableau1[[#This Row],[Manque (digital)]]&gt;Tableau1[[#This Row],[Manque (physique)]],"MarketPlace",""))</f>
        <v>MarketPlace</v>
      </c>
      <c r="J1274" t="s">
        <v>30</v>
      </c>
      <c r="K1274" t="s">
        <v>79</v>
      </c>
      <c r="L1274" t="s">
        <v>20</v>
      </c>
      <c r="M1274" t="s">
        <v>20</v>
      </c>
      <c r="N1274" t="s">
        <v>20</v>
      </c>
      <c r="O1274" t="s">
        <v>89</v>
      </c>
      <c r="P1274" t="s">
        <v>20</v>
      </c>
      <c r="Q1274" t="s">
        <v>1383</v>
      </c>
    </row>
    <row r="1275" spans="1:17" hidden="1" x14ac:dyDescent="0.25">
      <c r="A1275" t="s">
        <v>1203</v>
      </c>
      <c r="B1275" t="s">
        <v>22</v>
      </c>
      <c r="C1275" t="s">
        <v>15</v>
      </c>
      <c r="D1275" t="s">
        <v>1156</v>
      </c>
      <c r="E1275">
        <v>1</v>
      </c>
      <c r="F1275">
        <f>MAX(-1,3-Tableau1[[#This Row],[Nb possédé (digital)]])</f>
        <v>2</v>
      </c>
      <c r="G1275">
        <v>3</v>
      </c>
      <c r="H1275">
        <f>MAX(-1,3-Tableau1[[#This Row],[Possédé (physique)]])</f>
        <v>0</v>
      </c>
      <c r="I1275" t="str">
        <f>IF(Tableau1[[#This Row],[Manque (physique)]]&gt;Tableau1[[#This Row],[Manque (digital)]],"POD",IF(Tableau1[[#This Row],[Manque (digital)]]&gt;Tableau1[[#This Row],[Manque (physique)]],"MarketPlace",""))</f>
        <v>MarketPlace</v>
      </c>
      <c r="J1275" t="s">
        <v>17</v>
      </c>
      <c r="K1275" t="s">
        <v>201</v>
      </c>
      <c r="L1275" t="s">
        <v>20</v>
      </c>
      <c r="M1275" t="s">
        <v>20</v>
      </c>
      <c r="Q1275" t="s">
        <v>1366</v>
      </c>
    </row>
    <row r="1276" spans="1:17" hidden="1" x14ac:dyDescent="0.25">
      <c r="A1276" t="s">
        <v>1240</v>
      </c>
      <c r="B1276" t="s">
        <v>22</v>
      </c>
      <c r="C1276" t="s">
        <v>15</v>
      </c>
      <c r="D1276" t="s">
        <v>1156</v>
      </c>
      <c r="E1276">
        <v>1</v>
      </c>
      <c r="F1276">
        <f>MAX(-1,3-Tableau1[[#This Row],[Nb possédé (digital)]])</f>
        <v>2</v>
      </c>
      <c r="G1276">
        <v>3</v>
      </c>
      <c r="H1276">
        <f>MAX(-1,3-Tableau1[[#This Row],[Possédé (physique)]])</f>
        <v>0</v>
      </c>
      <c r="I1276" t="str">
        <f>IF(Tableau1[[#This Row],[Manque (physique)]]&gt;Tableau1[[#This Row],[Manque (digital)]],"POD",IF(Tableau1[[#This Row],[Manque (digital)]]&gt;Tableau1[[#This Row],[Manque (physique)]],"MarketPlace",""))</f>
        <v>MarketPlace</v>
      </c>
      <c r="J1276" t="s">
        <v>30</v>
      </c>
      <c r="K1276" t="s">
        <v>79</v>
      </c>
      <c r="L1276" t="s">
        <v>20</v>
      </c>
      <c r="M1276" t="s">
        <v>20</v>
      </c>
      <c r="N1276" t="s">
        <v>20</v>
      </c>
      <c r="O1276" t="s">
        <v>89</v>
      </c>
      <c r="P1276" t="s">
        <v>89</v>
      </c>
      <c r="Q1276" t="s">
        <v>1447</v>
      </c>
    </row>
    <row r="1277" spans="1:17" hidden="1" x14ac:dyDescent="0.25">
      <c r="A1277" t="s">
        <v>1165</v>
      </c>
      <c r="B1277" t="s">
        <v>22</v>
      </c>
      <c r="C1277" t="s">
        <v>15</v>
      </c>
      <c r="D1277" t="s">
        <v>1156</v>
      </c>
      <c r="E1277">
        <v>2</v>
      </c>
      <c r="F1277">
        <f>MAX(-1,3-Tableau1[[#This Row],[Nb possédé (digital)]])</f>
        <v>1</v>
      </c>
      <c r="G1277">
        <v>3</v>
      </c>
      <c r="H1277">
        <f>MAX(-1,3-Tableau1[[#This Row],[Possédé (physique)]])</f>
        <v>0</v>
      </c>
      <c r="I1277" t="str">
        <f>IF(Tableau1[[#This Row],[Manque (physique)]]&gt;Tableau1[[#This Row],[Manque (digital)]],"POD",IF(Tableau1[[#This Row],[Manque (digital)]]&gt;Tableau1[[#This Row],[Manque (physique)]],"MarketPlace",""))</f>
        <v>MarketPlace</v>
      </c>
      <c r="J1277" t="s">
        <v>30</v>
      </c>
      <c r="K1277" t="s">
        <v>79</v>
      </c>
      <c r="L1277" t="s">
        <v>19</v>
      </c>
      <c r="M1277" t="s">
        <v>20</v>
      </c>
      <c r="N1277" t="s">
        <v>20</v>
      </c>
      <c r="O1277" t="s">
        <v>20</v>
      </c>
      <c r="P1277" t="s">
        <v>19</v>
      </c>
      <c r="Q1277" t="s">
        <v>1285</v>
      </c>
    </row>
    <row r="1278" spans="1:17" hidden="1" x14ac:dyDescent="0.25">
      <c r="A1278" t="s">
        <v>1167</v>
      </c>
      <c r="B1278" t="s">
        <v>22</v>
      </c>
      <c r="C1278" t="s">
        <v>15</v>
      </c>
      <c r="D1278" t="s">
        <v>1156</v>
      </c>
      <c r="E1278">
        <v>1</v>
      </c>
      <c r="F1278">
        <f>MAX(-1,3-Tableau1[[#This Row],[Nb possédé (digital)]])</f>
        <v>2</v>
      </c>
      <c r="G1278">
        <v>3</v>
      </c>
      <c r="H1278">
        <f>MAX(-1,3-Tableau1[[#This Row],[Possédé (physique)]])</f>
        <v>0</v>
      </c>
      <c r="I1278" t="str">
        <f>IF(Tableau1[[#This Row],[Manque (physique)]]&gt;Tableau1[[#This Row],[Manque (digital)]],"POD",IF(Tableau1[[#This Row],[Manque (digital)]]&gt;Tableau1[[#This Row],[Manque (physique)]],"MarketPlace",""))</f>
        <v>MarketPlace</v>
      </c>
      <c r="J1278" t="s">
        <v>30</v>
      </c>
      <c r="K1278" t="s">
        <v>171</v>
      </c>
      <c r="L1278" t="s">
        <v>19</v>
      </c>
      <c r="M1278" t="s">
        <v>19</v>
      </c>
      <c r="N1278" t="s">
        <v>19</v>
      </c>
      <c r="O1278" t="s">
        <v>89</v>
      </c>
      <c r="P1278" t="s">
        <v>19</v>
      </c>
      <c r="Q1278" t="s">
        <v>1290</v>
      </c>
    </row>
    <row r="1279" spans="1:17" hidden="1" x14ac:dyDescent="0.25">
      <c r="A1279" t="s">
        <v>1168</v>
      </c>
      <c r="B1279" t="s">
        <v>22</v>
      </c>
      <c r="C1279" t="s">
        <v>15</v>
      </c>
      <c r="D1279" t="s">
        <v>1156</v>
      </c>
      <c r="E1279">
        <v>1</v>
      </c>
      <c r="F1279">
        <f>MAX(-1,3-Tableau1[[#This Row],[Nb possédé (digital)]])</f>
        <v>2</v>
      </c>
      <c r="G1279">
        <v>3</v>
      </c>
      <c r="H1279">
        <f>MAX(-1,3-Tableau1[[#This Row],[Possédé (physique)]])</f>
        <v>0</v>
      </c>
      <c r="I1279" t="str">
        <f>IF(Tableau1[[#This Row],[Manque (physique)]]&gt;Tableau1[[#This Row],[Manque (digital)]],"POD",IF(Tableau1[[#This Row],[Manque (digital)]]&gt;Tableau1[[#This Row],[Manque (physique)]],"MarketPlace",""))</f>
        <v>MarketPlace</v>
      </c>
      <c r="J1279" t="s">
        <v>268</v>
      </c>
      <c r="K1279" t="s">
        <v>269</v>
      </c>
      <c r="L1279" t="s">
        <v>19</v>
      </c>
      <c r="M1279" t="s">
        <v>19</v>
      </c>
      <c r="Q1279" t="s">
        <v>1292</v>
      </c>
    </row>
    <row r="1280" spans="1:17" hidden="1" x14ac:dyDescent="0.25">
      <c r="A1280" t="s">
        <v>1169</v>
      </c>
      <c r="B1280" t="s">
        <v>22</v>
      </c>
      <c r="C1280" t="s">
        <v>15</v>
      </c>
      <c r="D1280" t="s">
        <v>1156</v>
      </c>
      <c r="E1280">
        <v>1</v>
      </c>
      <c r="F1280">
        <f>MAX(-1,3-Tableau1[[#This Row],[Nb possédé (digital)]])</f>
        <v>2</v>
      </c>
      <c r="G1280">
        <v>3</v>
      </c>
      <c r="H1280">
        <f>MAX(-1,3-Tableau1[[#This Row],[Possédé (physique)]])</f>
        <v>0</v>
      </c>
      <c r="I1280" t="str">
        <f>IF(Tableau1[[#This Row],[Manque (physique)]]&gt;Tableau1[[#This Row],[Manque (digital)]],"POD",IF(Tableau1[[#This Row],[Manque (digital)]]&gt;Tableau1[[#This Row],[Manque (physique)]],"MarketPlace",""))</f>
        <v>MarketPlace</v>
      </c>
      <c r="J1280" t="s">
        <v>30</v>
      </c>
      <c r="K1280" t="s">
        <v>72</v>
      </c>
      <c r="L1280" t="s">
        <v>19</v>
      </c>
      <c r="M1280" t="s">
        <v>19</v>
      </c>
      <c r="N1280" t="s">
        <v>19</v>
      </c>
      <c r="O1280" t="s">
        <v>89</v>
      </c>
      <c r="P1280" t="s">
        <v>89</v>
      </c>
      <c r="Q1280" t="s">
        <v>1293</v>
      </c>
    </row>
    <row r="1281" spans="1:17" hidden="1" x14ac:dyDescent="0.25">
      <c r="A1281" t="s">
        <v>1178</v>
      </c>
      <c r="B1281" t="s">
        <v>22</v>
      </c>
      <c r="C1281" t="s">
        <v>15</v>
      </c>
      <c r="D1281" t="s">
        <v>1156</v>
      </c>
      <c r="E1281">
        <v>1</v>
      </c>
      <c r="F1281">
        <f>MAX(-1,3-Tableau1[[#This Row],[Nb possédé (digital)]])</f>
        <v>2</v>
      </c>
      <c r="G1281">
        <v>3</v>
      </c>
      <c r="H1281">
        <f>MAX(-1,3-Tableau1[[#This Row],[Possédé (physique)]])</f>
        <v>0</v>
      </c>
      <c r="I1281" t="str">
        <f>IF(Tableau1[[#This Row],[Manque (physique)]]&gt;Tableau1[[#This Row],[Manque (digital)]],"POD",IF(Tableau1[[#This Row],[Manque (digital)]]&gt;Tableau1[[#This Row],[Manque (physique)]],"MarketPlace",""))</f>
        <v>MarketPlace</v>
      </c>
      <c r="J1281" t="s">
        <v>30</v>
      </c>
      <c r="K1281" t="s">
        <v>79</v>
      </c>
      <c r="L1281" t="s">
        <v>19</v>
      </c>
      <c r="M1281" t="s">
        <v>19</v>
      </c>
      <c r="N1281" t="s">
        <v>19</v>
      </c>
      <c r="O1281" t="s">
        <v>19</v>
      </c>
      <c r="P1281" t="s">
        <v>19</v>
      </c>
      <c r="Q1281" t="s">
        <v>1316</v>
      </c>
    </row>
    <row r="1282" spans="1:17" hidden="1" x14ac:dyDescent="0.25">
      <c r="A1282" t="s">
        <v>1264</v>
      </c>
      <c r="B1282" t="s">
        <v>22</v>
      </c>
      <c r="C1282" t="s">
        <v>15</v>
      </c>
      <c r="D1282" t="s">
        <v>1156</v>
      </c>
      <c r="E1282">
        <v>1</v>
      </c>
      <c r="F1282">
        <f>MAX(-1,3-Tableau1[[#This Row],[Nb possédé (digital)]])</f>
        <v>2</v>
      </c>
      <c r="G1282">
        <v>3</v>
      </c>
      <c r="H1282">
        <f>MAX(-1,3-Tableau1[[#This Row],[Possédé (physique)]])</f>
        <v>0</v>
      </c>
      <c r="I1282" t="str">
        <f>IF(Tableau1[[#This Row],[Manque (physique)]]&gt;Tableau1[[#This Row],[Manque (digital)]],"POD",IF(Tableau1[[#This Row],[Manque (digital)]]&gt;Tableau1[[#This Row],[Manque (physique)]],"MarketPlace",""))</f>
        <v>MarketPlace</v>
      </c>
      <c r="J1282" t="s">
        <v>30</v>
      </c>
      <c r="K1282" t="s">
        <v>557</v>
      </c>
      <c r="L1282" t="s">
        <v>19</v>
      </c>
      <c r="M1282" t="s">
        <v>19</v>
      </c>
      <c r="N1282" t="s">
        <v>19</v>
      </c>
      <c r="O1282" t="s">
        <v>19</v>
      </c>
      <c r="P1282" t="s">
        <v>19</v>
      </c>
      <c r="Q1282" t="s">
        <v>1492</v>
      </c>
    </row>
    <row r="1283" spans="1:17" hidden="1" x14ac:dyDescent="0.25">
      <c r="A1283" t="s">
        <v>1188</v>
      </c>
      <c r="B1283" t="s">
        <v>22</v>
      </c>
      <c r="C1283" t="s">
        <v>15</v>
      </c>
      <c r="D1283" t="s">
        <v>1156</v>
      </c>
      <c r="E1283">
        <v>1</v>
      </c>
      <c r="F1283">
        <f>MAX(-1,3-Tableau1[[#This Row],[Nb possédé (digital)]])</f>
        <v>2</v>
      </c>
      <c r="G1283">
        <v>3</v>
      </c>
      <c r="H1283">
        <f>MAX(-1,3-Tableau1[[#This Row],[Possédé (physique)]])</f>
        <v>0</v>
      </c>
      <c r="I1283" t="str">
        <f>IF(Tableau1[[#This Row],[Manque (physique)]]&gt;Tableau1[[#This Row],[Manque (digital)]],"POD",IF(Tableau1[[#This Row],[Manque (digital)]]&gt;Tableau1[[#This Row],[Manque (physique)]],"MarketPlace",""))</f>
        <v>MarketPlace</v>
      </c>
      <c r="J1283" t="s">
        <v>30</v>
      </c>
      <c r="K1283" t="s">
        <v>328</v>
      </c>
      <c r="L1283" t="s">
        <v>19</v>
      </c>
      <c r="M1283" t="s">
        <v>19</v>
      </c>
      <c r="N1283" t="s">
        <v>23</v>
      </c>
      <c r="O1283" t="s">
        <v>23</v>
      </c>
      <c r="P1283" t="s">
        <v>89</v>
      </c>
      <c r="Q1283" t="s">
        <v>1335</v>
      </c>
    </row>
    <row r="1284" spans="1:17" hidden="1" x14ac:dyDescent="0.25">
      <c r="A1284" t="s">
        <v>1191</v>
      </c>
      <c r="B1284" t="s">
        <v>22</v>
      </c>
      <c r="C1284" t="s">
        <v>15</v>
      </c>
      <c r="D1284" t="s">
        <v>1156</v>
      </c>
      <c r="E1284">
        <v>2</v>
      </c>
      <c r="F1284">
        <f>MAX(-1,3-Tableau1[[#This Row],[Nb possédé (digital)]])</f>
        <v>1</v>
      </c>
      <c r="G1284">
        <v>3</v>
      </c>
      <c r="H1284">
        <f>MAX(-1,3-Tableau1[[#This Row],[Possédé (physique)]])</f>
        <v>0</v>
      </c>
      <c r="I1284" t="str">
        <f>IF(Tableau1[[#This Row],[Manque (physique)]]&gt;Tableau1[[#This Row],[Manque (digital)]],"POD",IF(Tableau1[[#This Row],[Manque (digital)]]&gt;Tableau1[[#This Row],[Manque (physique)]],"MarketPlace",""))</f>
        <v>MarketPlace</v>
      </c>
      <c r="J1284" t="s">
        <v>30</v>
      </c>
      <c r="K1284" t="s">
        <v>79</v>
      </c>
      <c r="L1284" t="s">
        <v>19</v>
      </c>
      <c r="M1284" t="s">
        <v>19</v>
      </c>
      <c r="N1284" t="s">
        <v>19</v>
      </c>
      <c r="O1284" t="s">
        <v>19</v>
      </c>
      <c r="P1284" t="s">
        <v>19</v>
      </c>
      <c r="Q1284" t="s">
        <v>1342</v>
      </c>
    </row>
    <row r="1285" spans="1:17" hidden="1" x14ac:dyDescent="0.25">
      <c r="A1285" t="s">
        <v>1214</v>
      </c>
      <c r="B1285" t="s">
        <v>22</v>
      </c>
      <c r="C1285" t="s">
        <v>15</v>
      </c>
      <c r="D1285" t="s">
        <v>1156</v>
      </c>
      <c r="E1285">
        <v>1</v>
      </c>
      <c r="F1285">
        <f>MAX(-1,3-Tableau1[[#This Row],[Nb possédé (digital)]])</f>
        <v>2</v>
      </c>
      <c r="G1285">
        <v>3</v>
      </c>
      <c r="H1285">
        <f>MAX(-1,3-Tableau1[[#This Row],[Possédé (physique)]])</f>
        <v>0</v>
      </c>
      <c r="I1285" t="str">
        <f>IF(Tableau1[[#This Row],[Manque (physique)]]&gt;Tableau1[[#This Row],[Manque (digital)]],"POD",IF(Tableau1[[#This Row],[Manque (digital)]]&gt;Tableau1[[#This Row],[Manque (physique)]],"MarketPlace",""))</f>
        <v>MarketPlace</v>
      </c>
      <c r="J1285" t="s">
        <v>268</v>
      </c>
      <c r="K1285" t="s">
        <v>438</v>
      </c>
      <c r="L1285" t="s">
        <v>19</v>
      </c>
      <c r="M1285" t="s">
        <v>19</v>
      </c>
      <c r="Q1285" t="s">
        <v>1387</v>
      </c>
    </row>
    <row r="1286" spans="1:17" hidden="1" x14ac:dyDescent="0.25">
      <c r="A1286" t="s">
        <v>1224</v>
      </c>
      <c r="B1286" t="s">
        <v>22</v>
      </c>
      <c r="C1286" t="s">
        <v>15</v>
      </c>
      <c r="D1286" t="s">
        <v>1156</v>
      </c>
      <c r="E1286">
        <v>1</v>
      </c>
      <c r="F1286">
        <f>MAX(-1,3-Tableau1[[#This Row],[Nb possédé (digital)]])</f>
        <v>2</v>
      </c>
      <c r="G1286">
        <v>3</v>
      </c>
      <c r="H1286">
        <f>MAX(-1,3-Tableau1[[#This Row],[Possédé (physique)]])</f>
        <v>0</v>
      </c>
      <c r="I1286" t="str">
        <f>IF(Tableau1[[#This Row],[Manque (physique)]]&gt;Tableau1[[#This Row],[Manque (digital)]],"POD",IF(Tableau1[[#This Row],[Manque (digital)]]&gt;Tableau1[[#This Row],[Manque (physique)]],"MarketPlace",""))</f>
        <v>MarketPlace</v>
      </c>
      <c r="J1286" t="s">
        <v>30</v>
      </c>
      <c r="K1286" t="s">
        <v>481</v>
      </c>
      <c r="L1286" t="s">
        <v>19</v>
      </c>
      <c r="M1286" t="s">
        <v>19</v>
      </c>
      <c r="N1286" t="s">
        <v>23</v>
      </c>
      <c r="O1286" t="s">
        <v>89</v>
      </c>
      <c r="P1286" t="s">
        <v>89</v>
      </c>
      <c r="Q1286" t="s">
        <v>1411</v>
      </c>
    </row>
    <row r="1287" spans="1:17" hidden="1" x14ac:dyDescent="0.25">
      <c r="A1287" t="s">
        <v>1231</v>
      </c>
      <c r="B1287" t="s">
        <v>22</v>
      </c>
      <c r="C1287" t="s">
        <v>15</v>
      </c>
      <c r="D1287" t="s">
        <v>1156</v>
      </c>
      <c r="E1287">
        <v>1</v>
      </c>
      <c r="F1287">
        <f>MAX(-1,3-Tableau1[[#This Row],[Nb possédé (digital)]])</f>
        <v>2</v>
      </c>
      <c r="G1287">
        <v>3</v>
      </c>
      <c r="H1287">
        <f>MAX(-1,3-Tableau1[[#This Row],[Possédé (physique)]])</f>
        <v>0</v>
      </c>
      <c r="I1287" t="str">
        <f>IF(Tableau1[[#This Row],[Manque (physique)]]&gt;Tableau1[[#This Row],[Manque (digital)]],"POD",IF(Tableau1[[#This Row],[Manque (digital)]]&gt;Tableau1[[#This Row],[Manque (physique)]],"MarketPlace",""))</f>
        <v>MarketPlace</v>
      </c>
      <c r="J1287" t="s">
        <v>30</v>
      </c>
      <c r="K1287" t="s">
        <v>358</v>
      </c>
      <c r="L1287" t="s">
        <v>19</v>
      </c>
      <c r="M1287" t="s">
        <v>19</v>
      </c>
      <c r="N1287" t="s">
        <v>19</v>
      </c>
      <c r="O1287" t="s">
        <v>20</v>
      </c>
      <c r="P1287" t="s">
        <v>20</v>
      </c>
      <c r="Q1287" t="s">
        <v>1426</v>
      </c>
    </row>
    <row r="1288" spans="1:17" hidden="1" x14ac:dyDescent="0.25">
      <c r="A1288" t="s">
        <v>1238</v>
      </c>
      <c r="B1288" t="s">
        <v>22</v>
      </c>
      <c r="C1288" t="s">
        <v>15</v>
      </c>
      <c r="D1288" t="s">
        <v>1156</v>
      </c>
      <c r="E1288">
        <v>0</v>
      </c>
      <c r="F1288">
        <f>MAX(-1,3-Tableau1[[#This Row],[Nb possédé (digital)]])</f>
        <v>3</v>
      </c>
      <c r="G1288">
        <v>3</v>
      </c>
      <c r="H1288">
        <f>MAX(-1,3-Tableau1[[#This Row],[Possédé (physique)]])</f>
        <v>0</v>
      </c>
      <c r="I1288" t="str">
        <f>IF(Tableau1[[#This Row],[Manque (physique)]]&gt;Tableau1[[#This Row],[Manque (digital)]],"POD",IF(Tableau1[[#This Row],[Manque (digital)]]&gt;Tableau1[[#This Row],[Manque (physique)]],"MarketPlace",""))</f>
        <v>MarketPlace</v>
      </c>
      <c r="J1288" t="s">
        <v>30</v>
      </c>
      <c r="K1288" t="s">
        <v>79</v>
      </c>
      <c r="L1288" t="s">
        <v>19</v>
      </c>
      <c r="M1288" t="s">
        <v>19</v>
      </c>
      <c r="N1288" t="s">
        <v>19</v>
      </c>
      <c r="O1288" t="s">
        <v>20</v>
      </c>
      <c r="P1288" t="s">
        <v>19</v>
      </c>
      <c r="Q1288" t="s">
        <v>1440</v>
      </c>
    </row>
    <row r="1289" spans="1:17" hidden="1" x14ac:dyDescent="0.25">
      <c r="A1289" t="s">
        <v>1256</v>
      </c>
      <c r="B1289" t="s">
        <v>22</v>
      </c>
      <c r="C1289" t="s">
        <v>15</v>
      </c>
      <c r="D1289" t="s">
        <v>1156</v>
      </c>
      <c r="E1289">
        <v>1</v>
      </c>
      <c r="F1289">
        <f>MAX(-1,3-Tableau1[[#This Row],[Nb possédé (digital)]])</f>
        <v>2</v>
      </c>
      <c r="G1289">
        <v>3</v>
      </c>
      <c r="H1289">
        <f>MAX(-1,3-Tableau1[[#This Row],[Possédé (physique)]])</f>
        <v>0</v>
      </c>
      <c r="I1289" t="str">
        <f>IF(Tableau1[[#This Row],[Manque (physique)]]&gt;Tableau1[[#This Row],[Manque (digital)]],"POD",IF(Tableau1[[#This Row],[Manque (digital)]]&gt;Tableau1[[#This Row],[Manque (physique)]],"MarketPlace",""))</f>
        <v>MarketPlace</v>
      </c>
      <c r="J1289" t="s">
        <v>30</v>
      </c>
      <c r="K1289" t="s">
        <v>36</v>
      </c>
      <c r="L1289" t="s">
        <v>19</v>
      </c>
      <c r="M1289" t="s">
        <v>19</v>
      </c>
      <c r="N1289" t="s">
        <v>19</v>
      </c>
      <c r="O1289" t="s">
        <v>19</v>
      </c>
      <c r="P1289" t="s">
        <v>19</v>
      </c>
      <c r="Q1289" t="s">
        <v>1478</v>
      </c>
    </row>
    <row r="1290" spans="1:17" hidden="1" x14ac:dyDescent="0.25">
      <c r="A1290" t="s">
        <v>1164</v>
      </c>
      <c r="B1290" t="s">
        <v>22</v>
      </c>
      <c r="C1290" t="s">
        <v>15</v>
      </c>
      <c r="D1290" t="s">
        <v>1156</v>
      </c>
      <c r="E1290">
        <v>1</v>
      </c>
      <c r="F1290">
        <f>MAX(-1,3-Tableau1[[#This Row],[Nb possédé (digital)]])</f>
        <v>2</v>
      </c>
      <c r="G1290">
        <v>3</v>
      </c>
      <c r="H1290">
        <f>MAX(-1,3-Tableau1[[#This Row],[Possédé (physique)]])</f>
        <v>0</v>
      </c>
      <c r="I1290" t="str">
        <f>IF(Tableau1[[#This Row],[Manque (physique)]]&gt;Tableau1[[#This Row],[Manque (digital)]],"POD",IF(Tableau1[[#This Row],[Manque (digital)]]&gt;Tableau1[[#This Row],[Manque (physique)]],"MarketPlace",""))</f>
        <v>MarketPlace</v>
      </c>
      <c r="J1290" t="s">
        <v>17</v>
      </c>
      <c r="K1290" t="s">
        <v>18</v>
      </c>
      <c r="L1290" t="s">
        <v>19</v>
      </c>
      <c r="M1290" t="s">
        <v>23</v>
      </c>
      <c r="Q1290" t="s">
        <v>1284</v>
      </c>
    </row>
    <row r="1291" spans="1:17" hidden="1" x14ac:dyDescent="0.25">
      <c r="A1291" t="s">
        <v>1160</v>
      </c>
      <c r="B1291" t="s">
        <v>22</v>
      </c>
      <c r="C1291" t="s">
        <v>15</v>
      </c>
      <c r="D1291" t="s">
        <v>1156</v>
      </c>
      <c r="E1291">
        <v>1</v>
      </c>
      <c r="F1291">
        <f>MAX(-1,3-Tableau1[[#This Row],[Nb possédé (digital)]])</f>
        <v>2</v>
      </c>
      <c r="G1291">
        <v>3</v>
      </c>
      <c r="H1291">
        <f>MAX(-1,3-Tableau1[[#This Row],[Possédé (physique)]])</f>
        <v>0</v>
      </c>
      <c r="I1291" t="str">
        <f>IF(Tableau1[[#This Row],[Manque (physique)]]&gt;Tableau1[[#This Row],[Manque (digital)]],"POD",IF(Tableau1[[#This Row],[Manque (digital)]]&gt;Tableau1[[#This Row],[Manque (physique)]],"MarketPlace",""))</f>
        <v>MarketPlace</v>
      </c>
      <c r="J1291" t="s">
        <v>17</v>
      </c>
      <c r="K1291" t="s">
        <v>201</v>
      </c>
      <c r="L1291" t="s">
        <v>23</v>
      </c>
      <c r="M1291" t="s">
        <v>23</v>
      </c>
      <c r="Q1291" t="s">
        <v>1275</v>
      </c>
    </row>
    <row r="1292" spans="1:17" hidden="1" x14ac:dyDescent="0.25">
      <c r="A1292" t="s">
        <v>1172</v>
      </c>
      <c r="B1292" t="s">
        <v>22</v>
      </c>
      <c r="C1292" t="s">
        <v>15</v>
      </c>
      <c r="D1292" t="s">
        <v>1156</v>
      </c>
      <c r="E1292">
        <v>1</v>
      </c>
      <c r="F1292">
        <f>MAX(-1,3-Tableau1[[#This Row],[Nb possédé (digital)]])</f>
        <v>2</v>
      </c>
      <c r="G1292">
        <v>3</v>
      </c>
      <c r="H1292">
        <f>MAX(-1,3-Tableau1[[#This Row],[Possédé (physique)]])</f>
        <v>0</v>
      </c>
      <c r="I1292" t="str">
        <f>IF(Tableau1[[#This Row],[Manque (physique)]]&gt;Tableau1[[#This Row],[Manque (digital)]],"POD",IF(Tableau1[[#This Row],[Manque (digital)]]&gt;Tableau1[[#This Row],[Manque (physique)]],"MarketPlace",""))</f>
        <v>MarketPlace</v>
      </c>
      <c r="J1292" t="s">
        <v>17</v>
      </c>
      <c r="K1292" t="s">
        <v>201</v>
      </c>
      <c r="L1292" t="s">
        <v>23</v>
      </c>
      <c r="M1292" t="s">
        <v>23</v>
      </c>
      <c r="Q1292" t="s">
        <v>1302</v>
      </c>
    </row>
    <row r="1293" spans="1:17" hidden="1" x14ac:dyDescent="0.25">
      <c r="A1293" t="s">
        <v>1173</v>
      </c>
      <c r="B1293" t="s">
        <v>22</v>
      </c>
      <c r="C1293" t="s">
        <v>15</v>
      </c>
      <c r="D1293" t="s">
        <v>1156</v>
      </c>
      <c r="E1293">
        <v>1</v>
      </c>
      <c r="F1293">
        <f>MAX(-1,3-Tableau1[[#This Row],[Nb possédé (digital)]])</f>
        <v>2</v>
      </c>
      <c r="G1293">
        <v>3</v>
      </c>
      <c r="H1293">
        <f>MAX(-1,3-Tableau1[[#This Row],[Possédé (physique)]])</f>
        <v>0</v>
      </c>
      <c r="I1293" t="str">
        <f>IF(Tableau1[[#This Row],[Manque (physique)]]&gt;Tableau1[[#This Row],[Manque (digital)]],"POD",IF(Tableau1[[#This Row],[Manque (digital)]]&gt;Tableau1[[#This Row],[Manque (physique)]],"MarketPlace",""))</f>
        <v>MarketPlace</v>
      </c>
      <c r="J1293" t="s">
        <v>30</v>
      </c>
      <c r="K1293" t="s">
        <v>79</v>
      </c>
      <c r="L1293" t="s">
        <v>23</v>
      </c>
      <c r="M1293" t="s">
        <v>23</v>
      </c>
      <c r="N1293" t="s">
        <v>20</v>
      </c>
      <c r="O1293" t="s">
        <v>20</v>
      </c>
      <c r="P1293" t="s">
        <v>20</v>
      </c>
      <c r="Q1293" t="s">
        <v>1304</v>
      </c>
    </row>
    <row r="1294" spans="1:17" hidden="1" x14ac:dyDescent="0.25">
      <c r="A1294" t="s">
        <v>1175</v>
      </c>
      <c r="B1294" t="s">
        <v>22</v>
      </c>
      <c r="C1294" t="s">
        <v>15</v>
      </c>
      <c r="D1294" t="s">
        <v>1156</v>
      </c>
      <c r="E1294">
        <v>0</v>
      </c>
      <c r="F1294">
        <f>MAX(-1,3-Tableau1[[#This Row],[Nb possédé (digital)]])</f>
        <v>3</v>
      </c>
      <c r="G1294">
        <v>3</v>
      </c>
      <c r="H1294">
        <f>MAX(-1,3-Tableau1[[#This Row],[Possédé (physique)]])</f>
        <v>0</v>
      </c>
      <c r="I1294" t="str">
        <f>IF(Tableau1[[#This Row],[Manque (physique)]]&gt;Tableau1[[#This Row],[Manque (digital)]],"POD",IF(Tableau1[[#This Row],[Manque (digital)]]&gt;Tableau1[[#This Row],[Manque (physique)]],"MarketPlace",""))</f>
        <v>MarketPlace</v>
      </c>
      <c r="J1294" t="s">
        <v>30</v>
      </c>
      <c r="K1294" t="s">
        <v>51</v>
      </c>
      <c r="L1294" t="s">
        <v>23</v>
      </c>
      <c r="M1294" t="s">
        <v>23</v>
      </c>
      <c r="N1294" t="s">
        <v>37</v>
      </c>
      <c r="O1294" t="s">
        <v>37</v>
      </c>
      <c r="P1294" t="s">
        <v>37</v>
      </c>
      <c r="Q1294" t="s">
        <v>1309</v>
      </c>
    </row>
    <row r="1295" spans="1:17" hidden="1" x14ac:dyDescent="0.25">
      <c r="A1295" t="s">
        <v>1184</v>
      </c>
      <c r="B1295" t="s">
        <v>22</v>
      </c>
      <c r="C1295" t="s">
        <v>15</v>
      </c>
      <c r="D1295" t="s">
        <v>1156</v>
      </c>
      <c r="E1295">
        <v>2</v>
      </c>
      <c r="F1295">
        <f>MAX(-1,3-Tableau1[[#This Row],[Nb possédé (digital)]])</f>
        <v>1</v>
      </c>
      <c r="G1295">
        <v>3</v>
      </c>
      <c r="H1295">
        <f>MAX(-1,3-Tableau1[[#This Row],[Possédé (physique)]])</f>
        <v>0</v>
      </c>
      <c r="I1295" t="str">
        <f>IF(Tableau1[[#This Row],[Manque (physique)]]&gt;Tableau1[[#This Row],[Manque (digital)]],"POD",IF(Tableau1[[#This Row],[Manque (digital)]]&gt;Tableau1[[#This Row],[Manque (physique)]],"MarketPlace",""))</f>
        <v>MarketPlace</v>
      </c>
      <c r="J1295" t="s">
        <v>30</v>
      </c>
      <c r="K1295" t="s">
        <v>358</v>
      </c>
      <c r="L1295" t="s">
        <v>23</v>
      </c>
      <c r="M1295" t="s">
        <v>23</v>
      </c>
      <c r="N1295" t="s">
        <v>52</v>
      </c>
      <c r="O1295" t="s">
        <v>19</v>
      </c>
      <c r="P1295" t="s">
        <v>19</v>
      </c>
      <c r="Q1295" t="s">
        <v>1326</v>
      </c>
    </row>
    <row r="1296" spans="1:17" hidden="1" x14ac:dyDescent="0.25">
      <c r="A1296" t="s">
        <v>1228</v>
      </c>
      <c r="B1296" t="s">
        <v>22</v>
      </c>
      <c r="C1296" t="s">
        <v>15</v>
      </c>
      <c r="D1296" t="s">
        <v>1156</v>
      </c>
      <c r="E1296">
        <v>1</v>
      </c>
      <c r="F1296">
        <f>MAX(-1,3-Tableau1[[#This Row],[Nb possédé (digital)]])</f>
        <v>2</v>
      </c>
      <c r="G1296">
        <v>3</v>
      </c>
      <c r="H1296">
        <f>MAX(-1,3-Tableau1[[#This Row],[Possédé (physique)]])</f>
        <v>0</v>
      </c>
      <c r="I1296" t="str">
        <f>IF(Tableau1[[#This Row],[Manque (physique)]]&gt;Tableau1[[#This Row],[Manque (digital)]],"POD",IF(Tableau1[[#This Row],[Manque (digital)]]&gt;Tableau1[[#This Row],[Manque (physique)]],"MarketPlace",""))</f>
        <v>MarketPlace</v>
      </c>
      <c r="J1296" t="s">
        <v>30</v>
      </c>
      <c r="K1296" t="s">
        <v>79</v>
      </c>
      <c r="L1296" t="s">
        <v>23</v>
      </c>
      <c r="M1296" t="s">
        <v>23</v>
      </c>
      <c r="N1296" t="s">
        <v>52</v>
      </c>
      <c r="O1296" t="s">
        <v>37</v>
      </c>
      <c r="P1296" t="s">
        <v>37</v>
      </c>
      <c r="Q1296" t="s">
        <v>1421</v>
      </c>
    </row>
    <row r="1297" spans="1:17" hidden="1" x14ac:dyDescent="0.25">
      <c r="A1297" t="s">
        <v>1246</v>
      </c>
      <c r="B1297" t="s">
        <v>22</v>
      </c>
      <c r="C1297" t="s">
        <v>15</v>
      </c>
      <c r="D1297" t="s">
        <v>1156</v>
      </c>
      <c r="E1297">
        <v>0</v>
      </c>
      <c r="F1297">
        <f>MAX(-1,3-Tableau1[[#This Row],[Nb possédé (digital)]])</f>
        <v>3</v>
      </c>
      <c r="G1297">
        <v>3</v>
      </c>
      <c r="H1297">
        <f>MAX(-1,3-Tableau1[[#This Row],[Possédé (physique)]])</f>
        <v>0</v>
      </c>
      <c r="I1297" t="str">
        <f>IF(Tableau1[[#This Row],[Manque (physique)]]&gt;Tableau1[[#This Row],[Manque (digital)]],"POD",IF(Tableau1[[#This Row],[Manque (digital)]]&gt;Tableau1[[#This Row],[Manque (physique)]],"MarketPlace",""))</f>
        <v>MarketPlace</v>
      </c>
      <c r="J1297" t="s">
        <v>17</v>
      </c>
      <c r="K1297" t="s">
        <v>97</v>
      </c>
      <c r="L1297" t="s">
        <v>23</v>
      </c>
      <c r="M1297" t="s">
        <v>23</v>
      </c>
      <c r="Q1297" t="s">
        <v>1460</v>
      </c>
    </row>
    <row r="1298" spans="1:17" hidden="1" x14ac:dyDescent="0.25">
      <c r="A1298" t="s">
        <v>1247</v>
      </c>
      <c r="B1298" t="s">
        <v>22</v>
      </c>
      <c r="C1298" t="s">
        <v>15</v>
      </c>
      <c r="D1298" t="s">
        <v>1156</v>
      </c>
      <c r="E1298">
        <v>1</v>
      </c>
      <c r="F1298">
        <f>MAX(-1,3-Tableau1[[#This Row],[Nb possédé (digital)]])</f>
        <v>2</v>
      </c>
      <c r="G1298">
        <v>3</v>
      </c>
      <c r="H1298">
        <f>MAX(-1,3-Tableau1[[#This Row],[Possédé (physique)]])</f>
        <v>0</v>
      </c>
      <c r="I1298" t="str">
        <f>IF(Tableau1[[#This Row],[Manque (physique)]]&gt;Tableau1[[#This Row],[Manque (digital)]],"POD",IF(Tableau1[[#This Row],[Manque (digital)]]&gt;Tableau1[[#This Row],[Manque (physique)]],"MarketPlace",""))</f>
        <v>MarketPlace</v>
      </c>
      <c r="J1298" t="s">
        <v>17</v>
      </c>
      <c r="K1298" t="s">
        <v>97</v>
      </c>
      <c r="L1298" t="s">
        <v>23</v>
      </c>
      <c r="M1298" t="s">
        <v>23</v>
      </c>
      <c r="Q1298" t="s">
        <v>1462</v>
      </c>
    </row>
    <row r="1299" spans="1:17" hidden="1" x14ac:dyDescent="0.25">
      <c r="A1299" t="s">
        <v>1260</v>
      </c>
      <c r="B1299" t="s">
        <v>22</v>
      </c>
      <c r="C1299" t="s">
        <v>15</v>
      </c>
      <c r="D1299" t="s">
        <v>1156</v>
      </c>
      <c r="E1299">
        <v>1</v>
      </c>
      <c r="F1299">
        <f>MAX(-1,3-Tableau1[[#This Row],[Nb possédé (digital)]])</f>
        <v>2</v>
      </c>
      <c r="G1299">
        <v>3</v>
      </c>
      <c r="H1299">
        <f>MAX(-1,3-Tableau1[[#This Row],[Possédé (physique)]])</f>
        <v>0</v>
      </c>
      <c r="I1299" t="str">
        <f>IF(Tableau1[[#This Row],[Manque (physique)]]&gt;Tableau1[[#This Row],[Manque (digital)]],"POD",IF(Tableau1[[#This Row],[Manque (digital)]]&gt;Tableau1[[#This Row],[Manque (physique)]],"MarketPlace",""))</f>
        <v>MarketPlace</v>
      </c>
      <c r="J1299" t="s">
        <v>30</v>
      </c>
      <c r="K1299" t="s">
        <v>552</v>
      </c>
      <c r="L1299" t="s">
        <v>52</v>
      </c>
      <c r="M1299" t="s">
        <v>23</v>
      </c>
      <c r="N1299" t="s">
        <v>23</v>
      </c>
      <c r="O1299" t="s">
        <v>23</v>
      </c>
      <c r="P1299" t="s">
        <v>52</v>
      </c>
      <c r="Q1299" t="s">
        <v>1485</v>
      </c>
    </row>
    <row r="1300" spans="1:17" hidden="1" x14ac:dyDescent="0.25">
      <c r="A1300" t="s">
        <v>1198</v>
      </c>
      <c r="B1300" t="s">
        <v>22</v>
      </c>
      <c r="C1300" t="s">
        <v>15</v>
      </c>
      <c r="D1300" t="s">
        <v>1156</v>
      </c>
      <c r="E1300">
        <v>2</v>
      </c>
      <c r="F1300">
        <f>MAX(-1,3-Tableau1[[#This Row],[Nb possédé (digital)]])</f>
        <v>1</v>
      </c>
      <c r="G1300">
        <v>3</v>
      </c>
      <c r="H1300">
        <f>MAX(-1,3-Tableau1[[#This Row],[Possédé (physique)]])</f>
        <v>0</v>
      </c>
      <c r="I1300" t="str">
        <f>IF(Tableau1[[#This Row],[Manque (physique)]]&gt;Tableau1[[#This Row],[Manque (digital)]],"POD",IF(Tableau1[[#This Row],[Manque (digital)]]&gt;Tableau1[[#This Row],[Manque (physique)]],"MarketPlace",""))</f>
        <v>MarketPlace</v>
      </c>
      <c r="J1300" t="s">
        <v>17</v>
      </c>
      <c r="K1300" t="s">
        <v>153</v>
      </c>
      <c r="L1300" t="s">
        <v>52</v>
      </c>
      <c r="M1300" t="s">
        <v>52</v>
      </c>
      <c r="Q1300" t="s">
        <v>1354</v>
      </c>
    </row>
    <row r="1301" spans="1:17" hidden="1" x14ac:dyDescent="0.25">
      <c r="A1301" t="s">
        <v>1209</v>
      </c>
      <c r="B1301" t="s">
        <v>22</v>
      </c>
      <c r="C1301" t="s">
        <v>15</v>
      </c>
      <c r="D1301" t="s">
        <v>1156</v>
      </c>
      <c r="E1301">
        <v>1</v>
      </c>
      <c r="F1301">
        <f>MAX(-1,3-Tableau1[[#This Row],[Nb possédé (digital)]])</f>
        <v>2</v>
      </c>
      <c r="G1301">
        <v>3</v>
      </c>
      <c r="H1301">
        <f>MAX(-1,3-Tableau1[[#This Row],[Possédé (physique)]])</f>
        <v>0</v>
      </c>
      <c r="I1301" t="str">
        <f>IF(Tableau1[[#This Row],[Manque (physique)]]&gt;Tableau1[[#This Row],[Manque (digital)]],"POD",IF(Tableau1[[#This Row],[Manque (digital)]]&gt;Tableau1[[#This Row],[Manque (physique)]],"MarketPlace",""))</f>
        <v>MarketPlace</v>
      </c>
      <c r="J1301" t="s">
        <v>17</v>
      </c>
      <c r="K1301" t="s">
        <v>153</v>
      </c>
      <c r="L1301" t="s">
        <v>52</v>
      </c>
      <c r="M1301" t="s">
        <v>52</v>
      </c>
      <c r="Q1301" t="s">
        <v>1378</v>
      </c>
    </row>
    <row r="1302" spans="1:17" hidden="1" x14ac:dyDescent="0.25">
      <c r="A1302" t="s">
        <v>1262</v>
      </c>
      <c r="B1302" t="s">
        <v>22</v>
      </c>
      <c r="C1302" t="s">
        <v>15</v>
      </c>
      <c r="D1302" t="s">
        <v>1156</v>
      </c>
      <c r="E1302">
        <v>2</v>
      </c>
      <c r="F1302">
        <f>MAX(-1,3-Tableau1[[#This Row],[Nb possédé (digital)]])</f>
        <v>1</v>
      </c>
      <c r="G1302">
        <v>3</v>
      </c>
      <c r="H1302">
        <f>MAX(-1,3-Tableau1[[#This Row],[Possédé (physique)]])</f>
        <v>0</v>
      </c>
      <c r="I1302" t="str">
        <f>IF(Tableau1[[#This Row],[Manque (physique)]]&gt;Tableau1[[#This Row],[Manque (digital)]],"POD",IF(Tableau1[[#This Row],[Manque (digital)]]&gt;Tableau1[[#This Row],[Manque (physique)]],"MarketPlace",""))</f>
        <v>MarketPlace</v>
      </c>
      <c r="J1302" t="s">
        <v>30</v>
      </c>
      <c r="K1302" t="s">
        <v>601</v>
      </c>
      <c r="L1302" t="s">
        <v>37</v>
      </c>
      <c r="M1302" t="s">
        <v>37</v>
      </c>
      <c r="N1302" t="s">
        <v>20</v>
      </c>
      <c r="O1302" t="s">
        <v>20</v>
      </c>
      <c r="P1302" t="s">
        <v>20</v>
      </c>
      <c r="Q1302" t="s">
        <v>1489</v>
      </c>
    </row>
    <row r="1303" spans="1:17" hidden="1" x14ac:dyDescent="0.25">
      <c r="A1303" t="s">
        <v>1257</v>
      </c>
      <c r="B1303" t="s">
        <v>22</v>
      </c>
      <c r="C1303" t="s">
        <v>15</v>
      </c>
      <c r="D1303" t="s">
        <v>1156</v>
      </c>
      <c r="E1303">
        <v>2</v>
      </c>
      <c r="F1303">
        <f>MAX(-1,3-Tableau1[[#This Row],[Nb possédé (digital)]])</f>
        <v>1</v>
      </c>
      <c r="G1303">
        <v>3</v>
      </c>
      <c r="H1303">
        <f>MAX(-1,3-Tableau1[[#This Row],[Possédé (physique)]])</f>
        <v>0</v>
      </c>
      <c r="I1303" t="str">
        <f>IF(Tableau1[[#This Row],[Manque (physique)]]&gt;Tableau1[[#This Row],[Manque (digital)]],"POD",IF(Tableau1[[#This Row],[Manque (digital)]]&gt;Tableau1[[#This Row],[Manque (physique)]],"MarketPlace",""))</f>
        <v>MarketPlace</v>
      </c>
      <c r="J1303" t="s">
        <v>30</v>
      </c>
      <c r="K1303" t="s">
        <v>236</v>
      </c>
      <c r="L1303" t="s">
        <v>39</v>
      </c>
      <c r="M1303" t="s">
        <v>39</v>
      </c>
      <c r="N1303" t="s">
        <v>37</v>
      </c>
      <c r="O1303" t="s">
        <v>37</v>
      </c>
      <c r="P1303" t="s">
        <v>37</v>
      </c>
      <c r="Q1303" t="s">
        <v>1480</v>
      </c>
    </row>
    <row r="1304" spans="1:17" hidden="1" x14ac:dyDescent="0.25">
      <c r="A1304" t="s">
        <v>1195</v>
      </c>
      <c r="B1304" t="s">
        <v>22</v>
      </c>
      <c r="C1304" t="s">
        <v>15</v>
      </c>
      <c r="D1304" t="s">
        <v>1156</v>
      </c>
      <c r="E1304">
        <v>1</v>
      </c>
      <c r="F1304">
        <f>MAX(-1,3-Tableau1[[#This Row],[Nb possédé (digital)]])</f>
        <v>2</v>
      </c>
      <c r="G1304">
        <v>3</v>
      </c>
      <c r="H1304">
        <f>MAX(-1,3-Tableau1[[#This Row],[Possédé (physique)]])</f>
        <v>0</v>
      </c>
      <c r="I1304" t="str">
        <f>IF(Tableau1[[#This Row],[Manque (physique)]]&gt;Tableau1[[#This Row],[Manque (digital)]],"POD",IF(Tableau1[[#This Row],[Manque (digital)]]&gt;Tableau1[[#This Row],[Manque (physique)]],"MarketPlace",""))</f>
        <v>MarketPlace</v>
      </c>
      <c r="J1304" t="s">
        <v>30</v>
      </c>
      <c r="K1304" t="s">
        <v>601</v>
      </c>
      <c r="L1304" t="s">
        <v>380</v>
      </c>
      <c r="M1304" t="s">
        <v>380</v>
      </c>
      <c r="N1304" t="s">
        <v>37</v>
      </c>
      <c r="O1304" t="s">
        <v>37</v>
      </c>
      <c r="P1304" t="s">
        <v>37</v>
      </c>
      <c r="Q1304" t="s">
        <v>1349</v>
      </c>
    </row>
    <row r="1305" spans="1:17" hidden="1" x14ac:dyDescent="0.25">
      <c r="A1305" t="s">
        <v>1222</v>
      </c>
      <c r="B1305" t="s">
        <v>22</v>
      </c>
      <c r="C1305" t="s">
        <v>15</v>
      </c>
      <c r="D1305" t="s">
        <v>1156</v>
      </c>
      <c r="E1305">
        <v>1</v>
      </c>
      <c r="F1305">
        <f>MAX(-1,3-Tableau1[[#This Row],[Nb possédé (digital)]])</f>
        <v>2</v>
      </c>
      <c r="G1305">
        <v>3</v>
      </c>
      <c r="H1305">
        <f>MAX(-1,3-Tableau1[[#This Row],[Possédé (physique)]])</f>
        <v>0</v>
      </c>
      <c r="I1305" t="str">
        <f>IF(Tableau1[[#This Row],[Manque (physique)]]&gt;Tableau1[[#This Row],[Manque (digital)]],"POD",IF(Tableau1[[#This Row],[Manque (digital)]]&gt;Tableau1[[#This Row],[Manque (physique)]],"MarketPlace",""))</f>
        <v>MarketPlace</v>
      </c>
      <c r="J1305" t="s">
        <v>30</v>
      </c>
      <c r="K1305" t="s">
        <v>51</v>
      </c>
      <c r="L1305" t="s">
        <v>380</v>
      </c>
      <c r="M1305" t="s">
        <v>380</v>
      </c>
      <c r="N1305" t="s">
        <v>52</v>
      </c>
      <c r="O1305" t="s">
        <v>52</v>
      </c>
      <c r="P1305" t="s">
        <v>52</v>
      </c>
      <c r="Q1305" t="s">
        <v>1405</v>
      </c>
    </row>
    <row r="1306" spans="1:17" hidden="1" x14ac:dyDescent="0.25">
      <c r="A1306" t="s">
        <v>1176</v>
      </c>
      <c r="B1306" t="s">
        <v>22</v>
      </c>
      <c r="C1306" t="s">
        <v>15</v>
      </c>
      <c r="D1306" t="s">
        <v>1156</v>
      </c>
      <c r="E1306">
        <v>2</v>
      </c>
      <c r="F1306">
        <f>MAX(-1,3-Tableau1[[#This Row],[Nb possédé (digital)]])</f>
        <v>1</v>
      </c>
      <c r="G1306">
        <v>3</v>
      </c>
      <c r="H1306">
        <f>MAX(-1,3-Tableau1[[#This Row],[Possédé (physique)]])</f>
        <v>0</v>
      </c>
      <c r="I1306" t="str">
        <f>IF(Tableau1[[#This Row],[Manque (physique)]]&gt;Tableau1[[#This Row],[Manque (digital)]],"POD",IF(Tableau1[[#This Row],[Manque (digital)]]&gt;Tableau1[[#This Row],[Manque (physique)]],"MarketPlace",""))</f>
        <v>MarketPlace</v>
      </c>
      <c r="J1306" t="s">
        <v>17</v>
      </c>
      <c r="K1306" t="s">
        <v>97</v>
      </c>
      <c r="L1306" t="s">
        <v>101</v>
      </c>
      <c r="M1306" t="s">
        <v>101</v>
      </c>
      <c r="Q1306" t="s">
        <v>1312</v>
      </c>
    </row>
    <row r="1307" spans="1:17" hidden="1" x14ac:dyDescent="0.25">
      <c r="A1307" t="s">
        <v>556</v>
      </c>
      <c r="B1307" t="s">
        <v>22</v>
      </c>
      <c r="C1307" t="s">
        <v>25</v>
      </c>
      <c r="D1307" t="s">
        <v>16</v>
      </c>
      <c r="E1307">
        <v>3</v>
      </c>
      <c r="F1307">
        <f>MAX(-1,3-Tableau1[[#This Row],[Nb possédé (digital)]])</f>
        <v>0</v>
      </c>
      <c r="G1307">
        <v>3</v>
      </c>
      <c r="H1307">
        <f>MAX(-1,3-Tableau1[[#This Row],[Possédé (physique)]])</f>
        <v>0</v>
      </c>
      <c r="I1307" t="str">
        <f>IF(Tableau1[[#This Row],[Manque (physique)]]&gt;Tableau1[[#This Row],[Manque (digital)]],"POD",IF(Tableau1[[#This Row],[Manque (digital)]]&gt;Tableau1[[#This Row],[Manque (physique)]],"MarketPlace",""))</f>
        <v/>
      </c>
      <c r="J1307" t="s">
        <v>30</v>
      </c>
      <c r="K1307" t="s">
        <v>557</v>
      </c>
      <c r="L1307" t="s">
        <v>20</v>
      </c>
      <c r="M1307" t="s">
        <v>20</v>
      </c>
      <c r="N1307" t="s">
        <v>89</v>
      </c>
      <c r="O1307" t="s">
        <v>20</v>
      </c>
      <c r="P1307" t="s">
        <v>19</v>
      </c>
      <c r="Q1307" t="s">
        <v>558</v>
      </c>
    </row>
    <row r="1308" spans="1:17" hidden="1" x14ac:dyDescent="0.25">
      <c r="A1308" t="s">
        <v>721</v>
      </c>
      <c r="B1308" t="s">
        <v>22</v>
      </c>
      <c r="C1308" t="s">
        <v>25</v>
      </c>
      <c r="D1308" t="s">
        <v>16</v>
      </c>
      <c r="E1308">
        <v>3</v>
      </c>
      <c r="F1308">
        <f>MAX(-1,3-Tableau1[[#This Row],[Nb possédé (digital)]])</f>
        <v>0</v>
      </c>
      <c r="G1308">
        <v>3</v>
      </c>
      <c r="H1308">
        <f>MAX(-1,3-Tableau1[[#This Row],[Possédé (physique)]])</f>
        <v>0</v>
      </c>
      <c r="I1308" t="str">
        <f>IF(Tableau1[[#This Row],[Manque (physique)]]&gt;Tableau1[[#This Row],[Manque (digital)]],"POD",IF(Tableau1[[#This Row],[Manque (digital)]]&gt;Tableau1[[#This Row],[Manque (physique)]],"MarketPlace",""))</f>
        <v/>
      </c>
      <c r="J1308" t="s">
        <v>30</v>
      </c>
      <c r="K1308" t="s">
        <v>111</v>
      </c>
      <c r="L1308" t="s">
        <v>20</v>
      </c>
      <c r="M1308" t="s">
        <v>20</v>
      </c>
      <c r="N1308" t="s">
        <v>19</v>
      </c>
      <c r="O1308" t="s">
        <v>89</v>
      </c>
      <c r="P1308" t="s">
        <v>19</v>
      </c>
    </row>
    <row r="1309" spans="1:17" hidden="1" x14ac:dyDescent="0.25">
      <c r="A1309" t="s">
        <v>806</v>
      </c>
      <c r="B1309" t="s">
        <v>22</v>
      </c>
      <c r="C1309" t="s">
        <v>25</v>
      </c>
      <c r="D1309" t="s">
        <v>16</v>
      </c>
      <c r="E1309">
        <v>3</v>
      </c>
      <c r="F1309">
        <f>MAX(-1,3-Tableau1[[#This Row],[Nb possédé (digital)]])</f>
        <v>0</v>
      </c>
      <c r="G1309">
        <v>3</v>
      </c>
      <c r="H1309">
        <f>MAX(-1,3-Tableau1[[#This Row],[Possédé (physique)]])</f>
        <v>0</v>
      </c>
      <c r="I1309" t="str">
        <f>IF(Tableau1[[#This Row],[Manque (physique)]]&gt;Tableau1[[#This Row],[Manque (digital)]],"POD",IF(Tableau1[[#This Row],[Manque (digital)]]&gt;Tableau1[[#This Row],[Manque (physique)]],"MarketPlace",""))</f>
        <v/>
      </c>
      <c r="J1309" t="s">
        <v>30</v>
      </c>
      <c r="K1309" t="s">
        <v>42</v>
      </c>
      <c r="L1309" t="s">
        <v>20</v>
      </c>
      <c r="M1309" t="s">
        <v>20</v>
      </c>
      <c r="N1309" t="s">
        <v>20</v>
      </c>
      <c r="O1309" t="s">
        <v>20</v>
      </c>
      <c r="P1309" t="s">
        <v>19</v>
      </c>
      <c r="Q1309" t="s">
        <v>722</v>
      </c>
    </row>
    <row r="1310" spans="1:17" hidden="1" x14ac:dyDescent="0.25">
      <c r="A1310" t="s">
        <v>1095</v>
      </c>
      <c r="B1310" t="s">
        <v>22</v>
      </c>
      <c r="C1310" t="s">
        <v>25</v>
      </c>
      <c r="D1310" t="s">
        <v>16</v>
      </c>
      <c r="E1310">
        <v>3</v>
      </c>
      <c r="F1310">
        <f>MAX(-1,3-Tableau1[[#This Row],[Nb possédé (digital)]])</f>
        <v>0</v>
      </c>
      <c r="G1310">
        <v>3</v>
      </c>
      <c r="H1310">
        <f>MAX(-1,3-Tableau1[[#This Row],[Possédé (physique)]])</f>
        <v>0</v>
      </c>
      <c r="I1310" t="str">
        <f>IF(Tableau1[[#This Row],[Manque (physique)]]&gt;Tableau1[[#This Row],[Manque (digital)]],"POD",IF(Tableau1[[#This Row],[Manque (digital)]]&gt;Tableau1[[#This Row],[Manque (physique)]],"MarketPlace",""))</f>
        <v/>
      </c>
      <c r="J1310" t="s">
        <v>30</v>
      </c>
      <c r="K1310" t="s">
        <v>36</v>
      </c>
      <c r="L1310" t="s">
        <v>20</v>
      </c>
      <c r="M1310" t="s">
        <v>20</v>
      </c>
      <c r="N1310" t="s">
        <v>20</v>
      </c>
      <c r="O1310" t="s">
        <v>19</v>
      </c>
      <c r="P1310" t="s">
        <v>19</v>
      </c>
    </row>
    <row r="1311" spans="1:17" hidden="1" x14ac:dyDescent="0.25">
      <c r="A1311" t="s">
        <v>927</v>
      </c>
      <c r="B1311" t="s">
        <v>22</v>
      </c>
      <c r="C1311" t="s">
        <v>25</v>
      </c>
      <c r="D1311" t="s">
        <v>16</v>
      </c>
      <c r="E1311">
        <v>3</v>
      </c>
      <c r="F1311">
        <f>MAX(-1,3-Tableau1[[#This Row],[Nb possédé (digital)]])</f>
        <v>0</v>
      </c>
      <c r="G1311">
        <v>3</v>
      </c>
      <c r="H1311">
        <f>MAX(-1,3-Tableau1[[#This Row],[Possédé (physique)]])</f>
        <v>0</v>
      </c>
      <c r="I1311" t="str">
        <f>IF(Tableau1[[#This Row],[Manque (physique)]]&gt;Tableau1[[#This Row],[Manque (digital)]],"POD",IF(Tableau1[[#This Row],[Manque (digital)]]&gt;Tableau1[[#This Row],[Manque (physique)]],"MarketPlace",""))</f>
        <v/>
      </c>
      <c r="J1311" t="s">
        <v>30</v>
      </c>
      <c r="K1311" t="s">
        <v>557</v>
      </c>
      <c r="L1311" t="s">
        <v>20</v>
      </c>
      <c r="M1311" t="s">
        <v>23</v>
      </c>
      <c r="N1311" t="s">
        <v>20</v>
      </c>
      <c r="O1311" t="s">
        <v>20</v>
      </c>
      <c r="P1311" t="s">
        <v>20</v>
      </c>
      <c r="Q1311" t="s">
        <v>929</v>
      </c>
    </row>
    <row r="1312" spans="1:17" hidden="1" x14ac:dyDescent="0.25">
      <c r="A1312" t="s">
        <v>13</v>
      </c>
      <c r="B1312" t="s">
        <v>22</v>
      </c>
      <c r="C1312" t="s">
        <v>25</v>
      </c>
      <c r="D1312" t="s">
        <v>16</v>
      </c>
      <c r="E1312">
        <v>3</v>
      </c>
      <c r="F1312">
        <f>MAX(-1,3-Tableau1[[#This Row],[Nb possédé (digital)]])</f>
        <v>0</v>
      </c>
      <c r="G1312">
        <v>3</v>
      </c>
      <c r="H1312">
        <f>MAX(-1,3-Tableau1[[#This Row],[Possédé (physique)]])</f>
        <v>0</v>
      </c>
      <c r="I1312" t="str">
        <f>IF(Tableau1[[#This Row],[Manque (physique)]]&gt;Tableau1[[#This Row],[Manque (digital)]],"POD",IF(Tableau1[[#This Row],[Manque (digital)]]&gt;Tableau1[[#This Row],[Manque (physique)]],"MarketPlace",""))</f>
        <v/>
      </c>
      <c r="J1312" t="s">
        <v>17</v>
      </c>
      <c r="K1312" t="s">
        <v>18</v>
      </c>
      <c r="L1312" t="s">
        <v>19</v>
      </c>
      <c r="M1312" t="s">
        <v>20</v>
      </c>
      <c r="Q1312" t="s">
        <v>26</v>
      </c>
    </row>
    <row r="1313" spans="1:17" hidden="1" x14ac:dyDescent="0.25">
      <c r="A1313" t="s">
        <v>106</v>
      </c>
      <c r="B1313" t="s">
        <v>22</v>
      </c>
      <c r="C1313" t="s">
        <v>25</v>
      </c>
      <c r="D1313" t="s">
        <v>16</v>
      </c>
      <c r="E1313">
        <v>3</v>
      </c>
      <c r="F1313">
        <f>MAX(-1,3-Tableau1[[#This Row],[Nb possédé (digital)]])</f>
        <v>0</v>
      </c>
      <c r="G1313">
        <v>3</v>
      </c>
      <c r="H1313">
        <f>MAX(-1,3-Tableau1[[#This Row],[Possédé (physique)]])</f>
        <v>0</v>
      </c>
      <c r="I1313" t="str">
        <f>IF(Tableau1[[#This Row],[Manque (physique)]]&gt;Tableau1[[#This Row],[Manque (digital)]],"POD",IF(Tableau1[[#This Row],[Manque (digital)]]&gt;Tableau1[[#This Row],[Manque (physique)]],"MarketPlace",""))</f>
        <v/>
      </c>
      <c r="J1313" t="s">
        <v>30</v>
      </c>
      <c r="K1313" t="s">
        <v>107</v>
      </c>
      <c r="L1313" t="s">
        <v>19</v>
      </c>
      <c r="M1313" t="s">
        <v>19</v>
      </c>
      <c r="N1313" t="s">
        <v>23</v>
      </c>
      <c r="O1313" t="s">
        <v>23</v>
      </c>
      <c r="P1313" t="s">
        <v>23</v>
      </c>
      <c r="Q1313" t="s">
        <v>109</v>
      </c>
    </row>
    <row r="1314" spans="1:17" hidden="1" x14ac:dyDescent="0.25">
      <c r="A1314" t="s">
        <v>216</v>
      </c>
      <c r="B1314" t="s">
        <v>22</v>
      </c>
      <c r="C1314" t="s">
        <v>25</v>
      </c>
      <c r="D1314" t="s">
        <v>16</v>
      </c>
      <c r="E1314">
        <v>3</v>
      </c>
      <c r="F1314">
        <f>MAX(-1,3-Tableau1[[#This Row],[Nb possédé (digital)]])</f>
        <v>0</v>
      </c>
      <c r="G1314">
        <v>3</v>
      </c>
      <c r="H1314">
        <f>MAX(-1,3-Tableau1[[#This Row],[Possédé (physique)]])</f>
        <v>0</v>
      </c>
      <c r="I1314" t="str">
        <f>IF(Tableau1[[#This Row],[Manque (physique)]]&gt;Tableau1[[#This Row],[Manque (digital)]],"POD",IF(Tableau1[[#This Row],[Manque (digital)]]&gt;Tableau1[[#This Row],[Manque (physique)]],"MarketPlace",""))</f>
        <v/>
      </c>
      <c r="J1314" t="s">
        <v>217</v>
      </c>
      <c r="K1314" t="s">
        <v>218</v>
      </c>
      <c r="L1314" t="s">
        <v>19</v>
      </c>
      <c r="M1314" t="s">
        <v>19</v>
      </c>
      <c r="Q1314" t="s">
        <v>220</v>
      </c>
    </row>
    <row r="1315" spans="1:17" hidden="1" x14ac:dyDescent="0.25">
      <c r="A1315" t="s">
        <v>225</v>
      </c>
      <c r="B1315" t="s">
        <v>22</v>
      </c>
      <c r="C1315" t="s">
        <v>25</v>
      </c>
      <c r="D1315" t="s">
        <v>16</v>
      </c>
      <c r="E1315">
        <v>3</v>
      </c>
      <c r="F1315">
        <f>MAX(-1,3-Tableau1[[#This Row],[Nb possédé (digital)]])</f>
        <v>0</v>
      </c>
      <c r="G1315">
        <v>3</v>
      </c>
      <c r="H1315">
        <f>MAX(-1,3-Tableau1[[#This Row],[Possédé (physique)]])</f>
        <v>0</v>
      </c>
      <c r="I1315" t="str">
        <f>IF(Tableau1[[#This Row],[Manque (physique)]]&gt;Tableau1[[#This Row],[Manque (digital)]],"POD",IF(Tableau1[[#This Row],[Manque (digital)]]&gt;Tableau1[[#This Row],[Manque (physique)]],"MarketPlace",""))</f>
        <v/>
      </c>
      <c r="J1315" t="s">
        <v>30</v>
      </c>
      <c r="K1315" t="s">
        <v>226</v>
      </c>
      <c r="L1315" t="s">
        <v>19</v>
      </c>
      <c r="M1315" t="s">
        <v>19</v>
      </c>
      <c r="N1315" t="s">
        <v>20</v>
      </c>
      <c r="O1315" t="s">
        <v>20</v>
      </c>
      <c r="P1315" t="s">
        <v>20</v>
      </c>
      <c r="Q1315" t="s">
        <v>227</v>
      </c>
    </row>
    <row r="1316" spans="1:17" hidden="1" x14ac:dyDescent="0.25">
      <c r="A1316" t="s">
        <v>331</v>
      </c>
      <c r="B1316" t="s">
        <v>22</v>
      </c>
      <c r="C1316" t="s">
        <v>25</v>
      </c>
      <c r="D1316" t="s">
        <v>16</v>
      </c>
      <c r="E1316">
        <v>3</v>
      </c>
      <c r="F1316">
        <f>MAX(-1,3-Tableau1[[#This Row],[Nb possédé (digital)]])</f>
        <v>0</v>
      </c>
      <c r="G1316">
        <v>3</v>
      </c>
      <c r="H1316">
        <f>MAX(-1,3-Tableau1[[#This Row],[Possédé (physique)]])</f>
        <v>0</v>
      </c>
      <c r="I1316" t="str">
        <f>IF(Tableau1[[#This Row],[Manque (physique)]]&gt;Tableau1[[#This Row],[Manque (digital)]],"POD",IF(Tableau1[[#This Row],[Manque (digital)]]&gt;Tableau1[[#This Row],[Manque (physique)]],"MarketPlace",""))</f>
        <v/>
      </c>
      <c r="J1316" t="s">
        <v>17</v>
      </c>
      <c r="K1316" t="s">
        <v>97</v>
      </c>
      <c r="L1316" t="s">
        <v>19</v>
      </c>
      <c r="M1316" t="s">
        <v>19</v>
      </c>
      <c r="Q1316" t="s">
        <v>332</v>
      </c>
    </row>
    <row r="1317" spans="1:17" hidden="1" x14ac:dyDescent="0.25">
      <c r="A1317" t="s">
        <v>546</v>
      </c>
      <c r="B1317" t="s">
        <v>22</v>
      </c>
      <c r="C1317" t="s">
        <v>25</v>
      </c>
      <c r="D1317" t="s">
        <v>16</v>
      </c>
      <c r="E1317">
        <v>3</v>
      </c>
      <c r="F1317">
        <f>MAX(-1,3-Tableau1[[#This Row],[Nb possédé (digital)]])</f>
        <v>0</v>
      </c>
      <c r="G1317">
        <v>3</v>
      </c>
      <c r="H1317">
        <f>MAX(-1,3-Tableau1[[#This Row],[Possédé (physique)]])</f>
        <v>0</v>
      </c>
      <c r="I1317" t="str">
        <f>IF(Tableau1[[#This Row],[Manque (physique)]]&gt;Tableau1[[#This Row],[Manque (digital)]],"POD",IF(Tableau1[[#This Row],[Manque (digital)]]&gt;Tableau1[[#This Row],[Manque (physique)]],"MarketPlace",""))</f>
        <v/>
      </c>
      <c r="J1317" t="s">
        <v>217</v>
      </c>
      <c r="K1317" t="s">
        <v>218</v>
      </c>
      <c r="L1317" t="s">
        <v>19</v>
      </c>
      <c r="M1317" t="s">
        <v>19</v>
      </c>
      <c r="Q1317" t="s">
        <v>547</v>
      </c>
    </row>
    <row r="1318" spans="1:17" hidden="1" x14ac:dyDescent="0.25">
      <c r="A1318" t="s">
        <v>576</v>
      </c>
      <c r="B1318" t="s">
        <v>22</v>
      </c>
      <c r="C1318" t="s">
        <v>25</v>
      </c>
      <c r="D1318" t="s">
        <v>16</v>
      </c>
      <c r="E1318">
        <v>3</v>
      </c>
      <c r="F1318">
        <f>MAX(-1,3-Tableau1[[#This Row],[Nb possédé (digital)]])</f>
        <v>0</v>
      </c>
      <c r="G1318">
        <v>3</v>
      </c>
      <c r="H1318">
        <f>MAX(-1,3-Tableau1[[#This Row],[Possédé (physique)]])</f>
        <v>0</v>
      </c>
      <c r="I1318" t="str">
        <f>IF(Tableau1[[#This Row],[Manque (physique)]]&gt;Tableau1[[#This Row],[Manque (digital)]],"POD",IF(Tableau1[[#This Row],[Manque (digital)]]&gt;Tableau1[[#This Row],[Manque (physique)]],"MarketPlace",""))</f>
        <v/>
      </c>
      <c r="J1318" t="s">
        <v>30</v>
      </c>
      <c r="K1318" t="s">
        <v>42</v>
      </c>
      <c r="L1318" t="s">
        <v>19</v>
      </c>
      <c r="M1318" t="s">
        <v>19</v>
      </c>
      <c r="N1318" t="s">
        <v>19</v>
      </c>
      <c r="O1318" t="s">
        <v>19</v>
      </c>
      <c r="P1318" t="s">
        <v>20</v>
      </c>
      <c r="Q1318" t="s">
        <v>578</v>
      </c>
    </row>
    <row r="1319" spans="1:17" hidden="1" x14ac:dyDescent="0.25">
      <c r="A1319" t="s">
        <v>596</v>
      </c>
      <c r="B1319" t="s">
        <v>22</v>
      </c>
      <c r="C1319" t="s">
        <v>25</v>
      </c>
      <c r="D1319" t="s">
        <v>16</v>
      </c>
      <c r="E1319">
        <v>3</v>
      </c>
      <c r="F1319">
        <f>MAX(-1,3-Tableau1[[#This Row],[Nb possédé (digital)]])</f>
        <v>0</v>
      </c>
      <c r="G1319">
        <v>3</v>
      </c>
      <c r="H1319">
        <f>MAX(-1,3-Tableau1[[#This Row],[Possédé (physique)]])</f>
        <v>0</v>
      </c>
      <c r="I1319" t="str">
        <f>IF(Tableau1[[#This Row],[Manque (physique)]]&gt;Tableau1[[#This Row],[Manque (digital)]],"POD",IF(Tableau1[[#This Row],[Manque (digital)]]&gt;Tableau1[[#This Row],[Manque (physique)]],"MarketPlace",""))</f>
        <v/>
      </c>
      <c r="J1319" t="s">
        <v>30</v>
      </c>
      <c r="K1319" t="s">
        <v>42</v>
      </c>
      <c r="L1319" t="s">
        <v>19</v>
      </c>
      <c r="M1319" t="s">
        <v>19</v>
      </c>
      <c r="N1319" t="s">
        <v>23</v>
      </c>
      <c r="O1319" t="s">
        <v>19</v>
      </c>
      <c r="P1319" t="s">
        <v>89</v>
      </c>
      <c r="Q1319" t="s">
        <v>563</v>
      </c>
    </row>
    <row r="1320" spans="1:17" hidden="1" x14ac:dyDescent="0.25">
      <c r="A1320" t="s">
        <v>767</v>
      </c>
      <c r="B1320" t="s">
        <v>22</v>
      </c>
      <c r="C1320" t="s">
        <v>25</v>
      </c>
      <c r="D1320" t="s">
        <v>16</v>
      </c>
      <c r="E1320">
        <v>3</v>
      </c>
      <c r="F1320">
        <f>MAX(-1,3-Tableau1[[#This Row],[Nb possédé (digital)]])</f>
        <v>0</v>
      </c>
      <c r="G1320">
        <v>3</v>
      </c>
      <c r="H1320">
        <f>MAX(-1,3-Tableau1[[#This Row],[Possédé (physique)]])</f>
        <v>0</v>
      </c>
      <c r="I1320" t="str">
        <f>IF(Tableau1[[#This Row],[Manque (physique)]]&gt;Tableau1[[#This Row],[Manque (digital)]],"POD",IF(Tableau1[[#This Row],[Manque (digital)]]&gt;Tableau1[[#This Row],[Manque (physique)]],"MarketPlace",""))</f>
        <v/>
      </c>
      <c r="J1320" t="s">
        <v>30</v>
      </c>
      <c r="K1320" t="s">
        <v>107</v>
      </c>
      <c r="L1320" t="s">
        <v>19</v>
      </c>
      <c r="M1320" t="s">
        <v>19</v>
      </c>
      <c r="N1320" t="s">
        <v>19</v>
      </c>
      <c r="O1320" t="s">
        <v>19</v>
      </c>
      <c r="P1320" t="s">
        <v>19</v>
      </c>
      <c r="Q1320" t="s">
        <v>769</v>
      </c>
    </row>
    <row r="1321" spans="1:17" hidden="1" x14ac:dyDescent="0.25">
      <c r="A1321" t="s">
        <v>845</v>
      </c>
      <c r="B1321" t="s">
        <v>22</v>
      </c>
      <c r="C1321" t="s">
        <v>25</v>
      </c>
      <c r="D1321" t="s">
        <v>16</v>
      </c>
      <c r="E1321">
        <v>3</v>
      </c>
      <c r="F1321">
        <f>MAX(-1,3-Tableau1[[#This Row],[Nb possédé (digital)]])</f>
        <v>0</v>
      </c>
      <c r="G1321">
        <v>3</v>
      </c>
      <c r="H1321">
        <f>MAX(-1,3-Tableau1[[#This Row],[Possédé (physique)]])</f>
        <v>0</v>
      </c>
      <c r="I1321" t="str">
        <f>IF(Tableau1[[#This Row],[Manque (physique)]]&gt;Tableau1[[#This Row],[Manque (digital)]],"POD",IF(Tableau1[[#This Row],[Manque (digital)]]&gt;Tableau1[[#This Row],[Manque (physique)]],"MarketPlace",""))</f>
        <v/>
      </c>
      <c r="J1321" t="s">
        <v>30</v>
      </c>
      <c r="K1321" t="s">
        <v>846</v>
      </c>
      <c r="L1321" t="s">
        <v>19</v>
      </c>
      <c r="M1321" t="s">
        <v>19</v>
      </c>
      <c r="N1321" t="s">
        <v>19</v>
      </c>
      <c r="O1321" t="s">
        <v>19</v>
      </c>
      <c r="P1321" t="s">
        <v>19</v>
      </c>
      <c r="Q1321" t="s">
        <v>847</v>
      </c>
    </row>
    <row r="1322" spans="1:17" hidden="1" x14ac:dyDescent="0.25">
      <c r="A1322" t="s">
        <v>896</v>
      </c>
      <c r="B1322" t="s">
        <v>22</v>
      </c>
      <c r="C1322" t="s">
        <v>25</v>
      </c>
      <c r="D1322" t="s">
        <v>16</v>
      </c>
      <c r="E1322">
        <v>3</v>
      </c>
      <c r="F1322">
        <f>MAX(-1,3-Tableau1[[#This Row],[Nb possédé (digital)]])</f>
        <v>0</v>
      </c>
      <c r="G1322">
        <v>3</v>
      </c>
      <c r="H1322">
        <f>MAX(-1,3-Tableau1[[#This Row],[Possédé (physique)]])</f>
        <v>0</v>
      </c>
      <c r="I1322" t="str">
        <f>IF(Tableau1[[#This Row],[Manque (physique)]]&gt;Tableau1[[#This Row],[Manque (digital)]],"POD",IF(Tableau1[[#This Row],[Manque (digital)]]&gt;Tableau1[[#This Row],[Manque (physique)]],"MarketPlace",""))</f>
        <v/>
      </c>
      <c r="J1322" t="s">
        <v>217</v>
      </c>
      <c r="K1322" t="s">
        <v>218</v>
      </c>
      <c r="L1322" t="s">
        <v>19</v>
      </c>
      <c r="M1322" t="s">
        <v>19</v>
      </c>
      <c r="Q1322" t="s">
        <v>899</v>
      </c>
    </row>
    <row r="1323" spans="1:17" hidden="1" x14ac:dyDescent="0.25">
      <c r="A1323" t="s">
        <v>906</v>
      </c>
      <c r="B1323" t="s">
        <v>22</v>
      </c>
      <c r="C1323" t="s">
        <v>25</v>
      </c>
      <c r="D1323" t="s">
        <v>16</v>
      </c>
      <c r="E1323">
        <v>3</v>
      </c>
      <c r="F1323">
        <f>MAX(-1,3-Tableau1[[#This Row],[Nb possédé (digital)]])</f>
        <v>0</v>
      </c>
      <c r="G1323">
        <v>3</v>
      </c>
      <c r="H1323">
        <f>MAX(-1,3-Tableau1[[#This Row],[Possédé (physique)]])</f>
        <v>0</v>
      </c>
      <c r="I1323" t="str">
        <f>IF(Tableau1[[#This Row],[Manque (physique)]]&gt;Tableau1[[#This Row],[Manque (digital)]],"POD",IF(Tableau1[[#This Row],[Manque (digital)]]&gt;Tableau1[[#This Row],[Manque (physique)]],"MarketPlace",""))</f>
        <v/>
      </c>
      <c r="J1323" t="s">
        <v>30</v>
      </c>
      <c r="K1323" t="s">
        <v>107</v>
      </c>
      <c r="L1323" t="s">
        <v>19</v>
      </c>
      <c r="M1323" t="s">
        <v>19</v>
      </c>
      <c r="N1323" t="s">
        <v>19</v>
      </c>
      <c r="O1323" t="s">
        <v>19</v>
      </c>
      <c r="P1323" t="s">
        <v>19</v>
      </c>
      <c r="Q1323" t="s">
        <v>907</v>
      </c>
    </row>
    <row r="1324" spans="1:17" hidden="1" x14ac:dyDescent="0.25">
      <c r="A1324" t="s">
        <v>985</v>
      </c>
      <c r="B1324" t="s">
        <v>22</v>
      </c>
      <c r="C1324" t="s">
        <v>25</v>
      </c>
      <c r="D1324" t="s">
        <v>16</v>
      </c>
      <c r="E1324">
        <v>3</v>
      </c>
      <c r="F1324">
        <f>MAX(-1,3-Tableau1[[#This Row],[Nb possédé (digital)]])</f>
        <v>0</v>
      </c>
      <c r="G1324">
        <v>3</v>
      </c>
      <c r="H1324">
        <f>MAX(-1,3-Tableau1[[#This Row],[Possédé (physique)]])</f>
        <v>0</v>
      </c>
      <c r="I1324" t="str">
        <f>IF(Tableau1[[#This Row],[Manque (physique)]]&gt;Tableau1[[#This Row],[Manque (digital)]],"POD",IF(Tableau1[[#This Row],[Manque (digital)]]&gt;Tableau1[[#This Row],[Manque (physique)]],"MarketPlace",""))</f>
        <v/>
      </c>
      <c r="J1324" t="s">
        <v>30</v>
      </c>
      <c r="K1324" t="s">
        <v>63</v>
      </c>
      <c r="L1324" t="s">
        <v>19</v>
      </c>
      <c r="M1324" t="s">
        <v>19</v>
      </c>
      <c r="N1324" t="s">
        <v>20</v>
      </c>
      <c r="O1324" t="s">
        <v>19</v>
      </c>
      <c r="P1324" t="s">
        <v>19</v>
      </c>
      <c r="Q1324" t="s">
        <v>986</v>
      </c>
    </row>
    <row r="1325" spans="1:17" hidden="1" x14ac:dyDescent="0.25">
      <c r="A1325" t="s">
        <v>244</v>
      </c>
      <c r="B1325" t="s">
        <v>22</v>
      </c>
      <c r="C1325" t="s">
        <v>25</v>
      </c>
      <c r="D1325" t="s">
        <v>16</v>
      </c>
      <c r="E1325">
        <v>3</v>
      </c>
      <c r="F1325">
        <f>MAX(-1,3-Tableau1[[#This Row],[Nb possédé (digital)]])</f>
        <v>0</v>
      </c>
      <c r="G1325">
        <v>3</v>
      </c>
      <c r="H1325">
        <f>MAX(-1,3-Tableau1[[#This Row],[Possédé (physique)]])</f>
        <v>0</v>
      </c>
      <c r="I1325" t="str">
        <f>IF(Tableau1[[#This Row],[Manque (physique)]]&gt;Tableau1[[#This Row],[Manque (digital)]],"POD",IF(Tableau1[[#This Row],[Manque (digital)]]&gt;Tableau1[[#This Row],[Manque (physique)]],"MarketPlace",""))</f>
        <v/>
      </c>
      <c r="J1325" t="s">
        <v>17</v>
      </c>
      <c r="K1325" t="s">
        <v>201</v>
      </c>
      <c r="L1325" t="s">
        <v>19</v>
      </c>
      <c r="M1325" t="s">
        <v>23</v>
      </c>
      <c r="Q1325" t="s">
        <v>246</v>
      </c>
    </row>
    <row r="1326" spans="1:17" hidden="1" x14ac:dyDescent="0.25">
      <c r="A1326" t="s">
        <v>131</v>
      </c>
      <c r="B1326" t="s">
        <v>22</v>
      </c>
      <c r="C1326" t="s">
        <v>25</v>
      </c>
      <c r="D1326" t="s">
        <v>16</v>
      </c>
      <c r="E1326">
        <v>3</v>
      </c>
      <c r="F1326">
        <f>MAX(-1,3-Tableau1[[#This Row],[Nb possédé (digital)]])</f>
        <v>0</v>
      </c>
      <c r="G1326">
        <v>3</v>
      </c>
      <c r="H1326">
        <f>MAX(-1,3-Tableau1[[#This Row],[Possédé (physique)]])</f>
        <v>0</v>
      </c>
      <c r="I1326" t="str">
        <f>IF(Tableau1[[#This Row],[Manque (physique)]]&gt;Tableau1[[#This Row],[Manque (digital)]],"POD",IF(Tableau1[[#This Row],[Manque (digital)]]&gt;Tableau1[[#This Row],[Manque (physique)]],"MarketPlace",""))</f>
        <v/>
      </c>
      <c r="J1326" t="s">
        <v>30</v>
      </c>
      <c r="K1326" t="s">
        <v>132</v>
      </c>
      <c r="L1326" t="s">
        <v>19</v>
      </c>
      <c r="M1326" t="s">
        <v>52</v>
      </c>
      <c r="N1326" t="s">
        <v>23</v>
      </c>
      <c r="O1326" t="s">
        <v>20</v>
      </c>
      <c r="P1326" t="s">
        <v>20</v>
      </c>
      <c r="Q1326" t="s">
        <v>135</v>
      </c>
    </row>
    <row r="1327" spans="1:17" hidden="1" x14ac:dyDescent="0.25">
      <c r="A1327" t="s">
        <v>62</v>
      </c>
      <c r="B1327" t="s">
        <v>22</v>
      </c>
      <c r="C1327" t="s">
        <v>25</v>
      </c>
      <c r="D1327" t="s">
        <v>16</v>
      </c>
      <c r="E1327">
        <v>3</v>
      </c>
      <c r="F1327">
        <f>MAX(-1,3-Tableau1[[#This Row],[Nb possédé (digital)]])</f>
        <v>0</v>
      </c>
      <c r="G1327">
        <v>3</v>
      </c>
      <c r="H1327">
        <f>MAX(-1,3-Tableau1[[#This Row],[Possédé (physique)]])</f>
        <v>0</v>
      </c>
      <c r="I1327" t="str">
        <f>IF(Tableau1[[#This Row],[Manque (physique)]]&gt;Tableau1[[#This Row],[Manque (digital)]],"POD",IF(Tableau1[[#This Row],[Manque (digital)]]&gt;Tableau1[[#This Row],[Manque (physique)]],"MarketPlace",""))</f>
        <v/>
      </c>
      <c r="J1327" t="s">
        <v>30</v>
      </c>
      <c r="K1327" t="s">
        <v>63</v>
      </c>
      <c r="L1327" t="s">
        <v>23</v>
      </c>
      <c r="M1327" t="s">
        <v>20</v>
      </c>
      <c r="N1327" t="s">
        <v>20</v>
      </c>
      <c r="O1327" t="s">
        <v>20</v>
      </c>
      <c r="P1327" t="s">
        <v>20</v>
      </c>
      <c r="Q1327" t="s">
        <v>65</v>
      </c>
    </row>
    <row r="1328" spans="1:17" hidden="1" x14ac:dyDescent="0.25">
      <c r="A1328" t="s">
        <v>82</v>
      </c>
      <c r="B1328" t="s">
        <v>22</v>
      </c>
      <c r="C1328" t="s">
        <v>25</v>
      </c>
      <c r="D1328" t="s">
        <v>16</v>
      </c>
      <c r="E1328">
        <v>3</v>
      </c>
      <c r="F1328">
        <f>MAX(-1,3-Tableau1[[#This Row],[Nb possédé (digital)]])</f>
        <v>0</v>
      </c>
      <c r="G1328">
        <v>3</v>
      </c>
      <c r="H1328">
        <f>MAX(-1,3-Tableau1[[#This Row],[Possédé (physique)]])</f>
        <v>0</v>
      </c>
      <c r="I1328" t="str">
        <f>IF(Tableau1[[#This Row],[Manque (physique)]]&gt;Tableau1[[#This Row],[Manque (digital)]],"POD",IF(Tableau1[[#This Row],[Manque (digital)]]&gt;Tableau1[[#This Row],[Manque (physique)]],"MarketPlace",""))</f>
        <v/>
      </c>
      <c r="J1328" t="s">
        <v>30</v>
      </c>
      <c r="K1328" t="s">
        <v>83</v>
      </c>
      <c r="L1328" t="s">
        <v>23</v>
      </c>
      <c r="M1328" t="s">
        <v>20</v>
      </c>
      <c r="N1328" t="s">
        <v>19</v>
      </c>
      <c r="O1328" t="s">
        <v>19</v>
      </c>
      <c r="P1328" t="s">
        <v>19</v>
      </c>
      <c r="Q1328" t="s">
        <v>84</v>
      </c>
    </row>
    <row r="1329" spans="1:17" hidden="1" x14ac:dyDescent="0.25">
      <c r="A1329" t="s">
        <v>160</v>
      </c>
      <c r="B1329" t="s">
        <v>22</v>
      </c>
      <c r="C1329" t="s">
        <v>25</v>
      </c>
      <c r="D1329" t="s">
        <v>16</v>
      </c>
      <c r="E1329">
        <v>3</v>
      </c>
      <c r="F1329">
        <f>MAX(-1,3-Tableau1[[#This Row],[Nb possédé (digital)]])</f>
        <v>0</v>
      </c>
      <c r="G1329">
        <v>3</v>
      </c>
      <c r="H1329">
        <f>MAX(-1,3-Tableau1[[#This Row],[Possédé (physique)]])</f>
        <v>0</v>
      </c>
      <c r="I1329" t="str">
        <f>IF(Tableau1[[#This Row],[Manque (physique)]]&gt;Tableau1[[#This Row],[Manque (digital)]],"POD",IF(Tableau1[[#This Row],[Manque (digital)]]&gt;Tableau1[[#This Row],[Manque (physique)]],"MarketPlace",""))</f>
        <v/>
      </c>
      <c r="J1329" t="s">
        <v>30</v>
      </c>
      <c r="K1329" t="s">
        <v>124</v>
      </c>
      <c r="L1329" t="s">
        <v>23</v>
      </c>
      <c r="M1329" t="s">
        <v>19</v>
      </c>
      <c r="N1329" t="s">
        <v>23</v>
      </c>
      <c r="O1329" t="s">
        <v>19</v>
      </c>
      <c r="P1329" t="s">
        <v>19</v>
      </c>
      <c r="Q1329" t="s">
        <v>161</v>
      </c>
    </row>
    <row r="1330" spans="1:17" hidden="1" x14ac:dyDescent="0.25">
      <c r="A1330" t="s">
        <v>424</v>
      </c>
      <c r="B1330" t="s">
        <v>22</v>
      </c>
      <c r="C1330" t="s">
        <v>25</v>
      </c>
      <c r="D1330" t="s">
        <v>16</v>
      </c>
      <c r="E1330">
        <v>3</v>
      </c>
      <c r="F1330">
        <f>MAX(-1,3-Tableau1[[#This Row],[Nb possédé (digital)]])</f>
        <v>0</v>
      </c>
      <c r="G1330">
        <v>3</v>
      </c>
      <c r="H1330">
        <f>MAX(-1,3-Tableau1[[#This Row],[Possédé (physique)]])</f>
        <v>0</v>
      </c>
      <c r="I1330" t="str">
        <f>IF(Tableau1[[#This Row],[Manque (physique)]]&gt;Tableau1[[#This Row],[Manque (digital)]],"POD",IF(Tableau1[[#This Row],[Manque (digital)]]&gt;Tableau1[[#This Row],[Manque (physique)]],"MarketPlace",""))</f>
        <v/>
      </c>
      <c r="J1330" t="s">
        <v>30</v>
      </c>
      <c r="K1330" t="s">
        <v>68</v>
      </c>
      <c r="L1330" t="s">
        <v>23</v>
      </c>
      <c r="M1330" t="s">
        <v>19</v>
      </c>
      <c r="N1330" t="s">
        <v>19</v>
      </c>
      <c r="O1330" t="s">
        <v>19</v>
      </c>
      <c r="P1330" t="s">
        <v>19</v>
      </c>
      <c r="Q1330" t="s">
        <v>425</v>
      </c>
    </row>
    <row r="1331" spans="1:17" hidden="1" x14ac:dyDescent="0.25">
      <c r="A1331" t="s">
        <v>698</v>
      </c>
      <c r="B1331" t="s">
        <v>22</v>
      </c>
      <c r="C1331" t="s">
        <v>25</v>
      </c>
      <c r="D1331" t="s">
        <v>16</v>
      </c>
      <c r="E1331">
        <v>3</v>
      </c>
      <c r="F1331">
        <f>MAX(-1,3-Tableau1[[#This Row],[Nb possédé (digital)]])</f>
        <v>0</v>
      </c>
      <c r="G1331">
        <v>3</v>
      </c>
      <c r="H1331">
        <f>MAX(-1,3-Tableau1[[#This Row],[Possédé (physique)]])</f>
        <v>0</v>
      </c>
      <c r="I1331" t="str">
        <f>IF(Tableau1[[#This Row],[Manque (physique)]]&gt;Tableau1[[#This Row],[Manque (digital)]],"POD",IF(Tableau1[[#This Row],[Manque (digital)]]&gt;Tableau1[[#This Row],[Manque (physique)]],"MarketPlace",""))</f>
        <v/>
      </c>
      <c r="J1331" t="s">
        <v>30</v>
      </c>
      <c r="K1331" t="s">
        <v>171</v>
      </c>
      <c r="L1331" t="s">
        <v>23</v>
      </c>
      <c r="M1331" t="s">
        <v>19</v>
      </c>
      <c r="N1331" t="s">
        <v>89</v>
      </c>
      <c r="O1331" t="s">
        <v>23</v>
      </c>
      <c r="P1331" t="s">
        <v>23</v>
      </c>
      <c r="Q1331" t="s">
        <v>700</v>
      </c>
    </row>
    <row r="1332" spans="1:17" hidden="1" x14ac:dyDescent="0.25">
      <c r="A1332" t="s">
        <v>372</v>
      </c>
      <c r="B1332" t="s">
        <v>22</v>
      </c>
      <c r="C1332" t="s">
        <v>25</v>
      </c>
      <c r="D1332" t="s">
        <v>16</v>
      </c>
      <c r="E1332">
        <v>3</v>
      </c>
      <c r="F1332">
        <f>MAX(-1,3-Tableau1[[#This Row],[Nb possédé (digital)]])</f>
        <v>0</v>
      </c>
      <c r="G1332">
        <v>3</v>
      </c>
      <c r="H1332">
        <f>MAX(-1,3-Tableau1[[#This Row],[Possédé (physique)]])</f>
        <v>0</v>
      </c>
      <c r="I1332" t="str">
        <f>IF(Tableau1[[#This Row],[Manque (physique)]]&gt;Tableau1[[#This Row],[Manque (digital)]],"POD",IF(Tableau1[[#This Row],[Manque (digital)]]&gt;Tableau1[[#This Row],[Manque (physique)]],"MarketPlace",""))</f>
        <v/>
      </c>
      <c r="J1332" t="s">
        <v>17</v>
      </c>
      <c r="K1332" t="s">
        <v>153</v>
      </c>
      <c r="L1332" t="s">
        <v>23</v>
      </c>
      <c r="M1332" t="s">
        <v>23</v>
      </c>
      <c r="Q1332" t="s">
        <v>373</v>
      </c>
    </row>
    <row r="1333" spans="1:17" hidden="1" x14ac:dyDescent="0.25">
      <c r="A1333" t="s">
        <v>412</v>
      </c>
      <c r="B1333" t="s">
        <v>22</v>
      </c>
      <c r="C1333" t="s">
        <v>25</v>
      </c>
      <c r="D1333" t="s">
        <v>16</v>
      </c>
      <c r="E1333">
        <v>3</v>
      </c>
      <c r="F1333">
        <f>MAX(-1,3-Tableau1[[#This Row],[Nb possédé (digital)]])</f>
        <v>0</v>
      </c>
      <c r="G1333">
        <v>3</v>
      </c>
      <c r="H1333">
        <f>MAX(-1,3-Tableau1[[#This Row],[Possédé (physique)]])</f>
        <v>0</v>
      </c>
      <c r="I1333" t="str">
        <f>IF(Tableau1[[#This Row],[Manque (physique)]]&gt;Tableau1[[#This Row],[Manque (digital)]],"POD",IF(Tableau1[[#This Row],[Manque (digital)]]&gt;Tableau1[[#This Row],[Manque (physique)]],"MarketPlace",""))</f>
        <v/>
      </c>
      <c r="J1333" t="s">
        <v>17</v>
      </c>
      <c r="K1333" t="s">
        <v>153</v>
      </c>
      <c r="L1333" t="s">
        <v>23</v>
      </c>
      <c r="M1333" t="s">
        <v>23</v>
      </c>
      <c r="Q1333" t="s">
        <v>414</v>
      </c>
    </row>
    <row r="1334" spans="1:17" hidden="1" x14ac:dyDescent="0.25">
      <c r="A1334" t="s">
        <v>489</v>
      </c>
      <c r="B1334" t="s">
        <v>22</v>
      </c>
      <c r="C1334" t="s">
        <v>25</v>
      </c>
      <c r="D1334" t="s">
        <v>16</v>
      </c>
      <c r="E1334">
        <v>3</v>
      </c>
      <c r="F1334">
        <f>MAX(-1,3-Tableau1[[#This Row],[Nb possédé (digital)]])</f>
        <v>0</v>
      </c>
      <c r="G1334">
        <v>3</v>
      </c>
      <c r="H1334">
        <f>MAX(-1,3-Tableau1[[#This Row],[Possédé (physique)]])</f>
        <v>0</v>
      </c>
      <c r="I1334" t="str">
        <f>IF(Tableau1[[#This Row],[Manque (physique)]]&gt;Tableau1[[#This Row],[Manque (digital)]],"POD",IF(Tableau1[[#This Row],[Manque (digital)]]&gt;Tableau1[[#This Row],[Manque (physique)]],"MarketPlace",""))</f>
        <v/>
      </c>
      <c r="J1334" t="s">
        <v>30</v>
      </c>
      <c r="K1334" t="s">
        <v>36</v>
      </c>
      <c r="L1334" t="s">
        <v>23</v>
      </c>
      <c r="M1334" t="s">
        <v>23</v>
      </c>
      <c r="N1334" t="s">
        <v>20</v>
      </c>
      <c r="O1334" t="s">
        <v>20</v>
      </c>
      <c r="P1334" t="s">
        <v>20</v>
      </c>
      <c r="Q1334" t="s">
        <v>492</v>
      </c>
    </row>
    <row r="1335" spans="1:17" hidden="1" x14ac:dyDescent="0.25">
      <c r="A1335" t="s">
        <v>520</v>
      </c>
      <c r="B1335" t="s">
        <v>22</v>
      </c>
      <c r="C1335" t="s">
        <v>25</v>
      </c>
      <c r="D1335" t="s">
        <v>16</v>
      </c>
      <c r="E1335">
        <v>3</v>
      </c>
      <c r="F1335">
        <f>MAX(-1,3-Tableau1[[#This Row],[Nb possédé (digital)]])</f>
        <v>0</v>
      </c>
      <c r="G1335">
        <v>3</v>
      </c>
      <c r="H1335">
        <f>MAX(-1,3-Tableau1[[#This Row],[Possédé (physique)]])</f>
        <v>0</v>
      </c>
      <c r="I1335" t="str">
        <f>IF(Tableau1[[#This Row],[Manque (physique)]]&gt;Tableau1[[#This Row],[Manque (digital)]],"POD",IF(Tableau1[[#This Row],[Manque (digital)]]&gt;Tableau1[[#This Row],[Manque (physique)]],"MarketPlace",""))</f>
        <v/>
      </c>
      <c r="J1335" t="s">
        <v>30</v>
      </c>
      <c r="K1335" t="s">
        <v>36</v>
      </c>
      <c r="L1335" t="s">
        <v>23</v>
      </c>
      <c r="M1335" t="s">
        <v>23</v>
      </c>
      <c r="N1335" t="s">
        <v>52</v>
      </c>
      <c r="O1335" t="s">
        <v>52</v>
      </c>
      <c r="P1335" t="s">
        <v>52</v>
      </c>
      <c r="Q1335" t="s">
        <v>521</v>
      </c>
    </row>
    <row r="1336" spans="1:17" hidden="1" x14ac:dyDescent="0.25">
      <c r="A1336" t="s">
        <v>603</v>
      </c>
      <c r="B1336" t="s">
        <v>22</v>
      </c>
      <c r="C1336" t="s">
        <v>25</v>
      </c>
      <c r="D1336" t="s">
        <v>16</v>
      </c>
      <c r="E1336">
        <v>3</v>
      </c>
      <c r="F1336">
        <f>MAX(-1,3-Tableau1[[#This Row],[Nb possédé (digital)]])</f>
        <v>0</v>
      </c>
      <c r="G1336">
        <v>3</v>
      </c>
      <c r="H1336">
        <f>MAX(-1,3-Tableau1[[#This Row],[Possédé (physique)]])</f>
        <v>0</v>
      </c>
      <c r="I1336" t="str">
        <f>IF(Tableau1[[#This Row],[Manque (physique)]]&gt;Tableau1[[#This Row],[Manque (digital)]],"POD",IF(Tableau1[[#This Row],[Manque (digital)]]&gt;Tableau1[[#This Row],[Manque (physique)]],"MarketPlace",""))</f>
        <v/>
      </c>
      <c r="J1336" t="s">
        <v>30</v>
      </c>
      <c r="K1336" t="s">
        <v>463</v>
      </c>
      <c r="L1336" t="s">
        <v>23</v>
      </c>
      <c r="M1336" t="s">
        <v>23</v>
      </c>
      <c r="N1336" t="s">
        <v>19</v>
      </c>
      <c r="O1336" t="s">
        <v>19</v>
      </c>
      <c r="P1336" t="s">
        <v>19</v>
      </c>
      <c r="Q1336" t="s">
        <v>606</v>
      </c>
    </row>
    <row r="1337" spans="1:17" hidden="1" x14ac:dyDescent="0.25">
      <c r="A1337" t="s">
        <v>686</v>
      </c>
      <c r="B1337" t="s">
        <v>22</v>
      </c>
      <c r="C1337" t="s">
        <v>25</v>
      </c>
      <c r="D1337" t="s">
        <v>16</v>
      </c>
      <c r="E1337">
        <v>3</v>
      </c>
      <c r="F1337">
        <f>MAX(-1,3-Tableau1[[#This Row],[Nb possédé (digital)]])</f>
        <v>0</v>
      </c>
      <c r="G1337">
        <v>3</v>
      </c>
      <c r="H1337">
        <f>MAX(-1,3-Tableau1[[#This Row],[Possédé (physique)]])</f>
        <v>0</v>
      </c>
      <c r="I1337" t="str">
        <f>IF(Tableau1[[#This Row],[Manque (physique)]]&gt;Tableau1[[#This Row],[Manque (digital)]],"POD",IF(Tableau1[[#This Row],[Manque (digital)]]&gt;Tableau1[[#This Row],[Manque (physique)]],"MarketPlace",""))</f>
        <v/>
      </c>
      <c r="J1337" t="s">
        <v>30</v>
      </c>
      <c r="K1337" t="s">
        <v>107</v>
      </c>
      <c r="L1337" t="s">
        <v>23</v>
      </c>
      <c r="M1337" t="s">
        <v>23</v>
      </c>
      <c r="N1337" t="s">
        <v>23</v>
      </c>
      <c r="O1337" t="s">
        <v>23</v>
      </c>
      <c r="P1337" t="s">
        <v>23</v>
      </c>
      <c r="Q1337" t="s">
        <v>687</v>
      </c>
    </row>
    <row r="1338" spans="1:17" hidden="1" x14ac:dyDescent="0.25">
      <c r="A1338" t="s">
        <v>628</v>
      </c>
      <c r="B1338" t="s">
        <v>22</v>
      </c>
      <c r="C1338" t="s">
        <v>25</v>
      </c>
      <c r="D1338" t="s">
        <v>16</v>
      </c>
      <c r="E1338">
        <v>3</v>
      </c>
      <c r="F1338">
        <f>MAX(-1,3-Tableau1[[#This Row],[Nb possédé (digital)]])</f>
        <v>0</v>
      </c>
      <c r="G1338">
        <v>3</v>
      </c>
      <c r="H1338">
        <f>MAX(-1,3-Tableau1[[#This Row],[Possédé (physique)]])</f>
        <v>0</v>
      </c>
      <c r="I1338" t="str">
        <f>IF(Tableau1[[#This Row],[Manque (physique)]]&gt;Tableau1[[#This Row],[Manque (digital)]],"POD",IF(Tableau1[[#This Row],[Manque (digital)]]&gt;Tableau1[[#This Row],[Manque (physique)]],"MarketPlace",""))</f>
        <v/>
      </c>
      <c r="J1338" t="s">
        <v>217</v>
      </c>
      <c r="K1338" t="s">
        <v>218</v>
      </c>
      <c r="L1338" t="s">
        <v>23</v>
      </c>
      <c r="M1338" t="s">
        <v>23</v>
      </c>
      <c r="Q1338" t="s">
        <v>629</v>
      </c>
    </row>
    <row r="1339" spans="1:17" hidden="1" x14ac:dyDescent="0.25">
      <c r="A1339" t="s">
        <v>922</v>
      </c>
      <c r="B1339" t="s">
        <v>22</v>
      </c>
      <c r="C1339" t="s">
        <v>25</v>
      </c>
      <c r="D1339" t="s">
        <v>16</v>
      </c>
      <c r="E1339">
        <v>3</v>
      </c>
      <c r="F1339">
        <f>MAX(-1,3-Tableau1[[#This Row],[Nb possédé (digital)]])</f>
        <v>0</v>
      </c>
      <c r="G1339">
        <v>3</v>
      </c>
      <c r="H1339">
        <f>MAX(-1,3-Tableau1[[#This Row],[Possédé (physique)]])</f>
        <v>0</v>
      </c>
      <c r="I1339" t="str">
        <f>IF(Tableau1[[#This Row],[Manque (physique)]]&gt;Tableau1[[#This Row],[Manque (digital)]],"POD",IF(Tableau1[[#This Row],[Manque (digital)]]&gt;Tableau1[[#This Row],[Manque (physique)]],"MarketPlace",""))</f>
        <v/>
      </c>
      <c r="J1339" t="s">
        <v>30</v>
      </c>
      <c r="K1339" t="s">
        <v>335</v>
      </c>
      <c r="L1339" t="s">
        <v>23</v>
      </c>
      <c r="M1339" t="s">
        <v>23</v>
      </c>
      <c r="N1339" t="s">
        <v>23</v>
      </c>
      <c r="O1339" t="s">
        <v>23</v>
      </c>
      <c r="P1339" t="s">
        <v>23</v>
      </c>
      <c r="Q1339" t="s">
        <v>923</v>
      </c>
    </row>
    <row r="1340" spans="1:17" hidden="1" x14ac:dyDescent="0.25">
      <c r="A1340" t="s">
        <v>1069</v>
      </c>
      <c r="B1340" t="s">
        <v>22</v>
      </c>
      <c r="C1340" t="s">
        <v>25</v>
      </c>
      <c r="D1340" t="s">
        <v>16</v>
      </c>
      <c r="E1340">
        <v>3</v>
      </c>
      <c r="F1340">
        <f>MAX(-1,3-Tableau1[[#This Row],[Nb possédé (digital)]])</f>
        <v>0</v>
      </c>
      <c r="G1340">
        <v>3</v>
      </c>
      <c r="H1340">
        <f>MAX(-1,3-Tableau1[[#This Row],[Possédé (physique)]])</f>
        <v>0</v>
      </c>
      <c r="I1340" t="str">
        <f>IF(Tableau1[[#This Row],[Manque (physique)]]&gt;Tableau1[[#This Row],[Manque (digital)]],"POD",IF(Tableau1[[#This Row],[Manque (digital)]]&gt;Tableau1[[#This Row],[Manque (physique)]],"MarketPlace",""))</f>
        <v/>
      </c>
      <c r="J1340" t="s">
        <v>30</v>
      </c>
      <c r="K1340" t="s">
        <v>335</v>
      </c>
      <c r="L1340" t="s">
        <v>23</v>
      </c>
      <c r="M1340" t="s">
        <v>23</v>
      </c>
      <c r="N1340" t="s">
        <v>23</v>
      </c>
      <c r="O1340" t="s">
        <v>23</v>
      </c>
      <c r="P1340" t="s">
        <v>19</v>
      </c>
      <c r="Q1340" t="s">
        <v>1071</v>
      </c>
    </row>
    <row r="1341" spans="1:17" hidden="1" x14ac:dyDescent="0.25">
      <c r="A1341" t="s">
        <v>982</v>
      </c>
      <c r="B1341" t="s">
        <v>22</v>
      </c>
      <c r="C1341" t="s">
        <v>25</v>
      </c>
      <c r="D1341" t="s">
        <v>16</v>
      </c>
      <c r="E1341">
        <v>3</v>
      </c>
      <c r="F1341">
        <f>MAX(-1,3-Tableau1[[#This Row],[Nb possédé (digital)]])</f>
        <v>0</v>
      </c>
      <c r="G1341">
        <v>3</v>
      </c>
      <c r="H1341">
        <f>MAX(-1,3-Tableau1[[#This Row],[Possédé (physique)]])</f>
        <v>0</v>
      </c>
      <c r="I1341" t="str">
        <f>IF(Tableau1[[#This Row],[Manque (physique)]]&gt;Tableau1[[#This Row],[Manque (digital)]],"POD",IF(Tableau1[[#This Row],[Manque (digital)]]&gt;Tableau1[[#This Row],[Manque (physique)]],"MarketPlace",""))</f>
        <v/>
      </c>
      <c r="J1341" t="s">
        <v>17</v>
      </c>
      <c r="K1341" t="s">
        <v>153</v>
      </c>
      <c r="L1341" t="s">
        <v>23</v>
      </c>
      <c r="M1341" t="s">
        <v>52</v>
      </c>
      <c r="Q1341" t="s">
        <v>984</v>
      </c>
    </row>
    <row r="1342" spans="1:17" hidden="1" x14ac:dyDescent="0.25">
      <c r="A1342" t="s">
        <v>979</v>
      </c>
      <c r="B1342" t="s">
        <v>22</v>
      </c>
      <c r="C1342" t="s">
        <v>25</v>
      </c>
      <c r="D1342" t="s">
        <v>16</v>
      </c>
      <c r="E1342">
        <v>3</v>
      </c>
      <c r="F1342">
        <f>MAX(-1,3-Tableau1[[#This Row],[Nb possédé (digital)]])</f>
        <v>0</v>
      </c>
      <c r="G1342">
        <v>3</v>
      </c>
      <c r="H1342">
        <f>MAX(-1,3-Tableau1[[#This Row],[Possédé (physique)]])</f>
        <v>0</v>
      </c>
      <c r="I1342" t="str">
        <f>IF(Tableau1[[#This Row],[Manque (physique)]]&gt;Tableau1[[#This Row],[Manque (digital)]],"POD",IF(Tableau1[[#This Row],[Manque (digital)]]&gt;Tableau1[[#This Row],[Manque (physique)]],"MarketPlace",""))</f>
        <v/>
      </c>
      <c r="J1342" t="s">
        <v>17</v>
      </c>
      <c r="K1342" t="s">
        <v>97</v>
      </c>
      <c r="L1342" t="s">
        <v>23</v>
      </c>
      <c r="M1342" t="s">
        <v>37</v>
      </c>
      <c r="Q1342" t="s">
        <v>980</v>
      </c>
    </row>
    <row r="1343" spans="1:17" hidden="1" x14ac:dyDescent="0.25">
      <c r="A1343" t="s">
        <v>91</v>
      </c>
      <c r="B1343" t="s">
        <v>22</v>
      </c>
      <c r="C1343" t="s">
        <v>25</v>
      </c>
      <c r="D1343" t="s">
        <v>16</v>
      </c>
      <c r="E1343">
        <v>3</v>
      </c>
      <c r="F1343">
        <f>MAX(-1,3-Tableau1[[#This Row],[Nb possédé (digital)]])</f>
        <v>0</v>
      </c>
      <c r="G1343">
        <v>3</v>
      </c>
      <c r="H1343">
        <f>MAX(-1,3-Tableau1[[#This Row],[Possédé (physique)]])</f>
        <v>0</v>
      </c>
      <c r="I1343" t="str">
        <f>IF(Tableau1[[#This Row],[Manque (physique)]]&gt;Tableau1[[#This Row],[Manque (digital)]],"POD",IF(Tableau1[[#This Row],[Manque (digital)]]&gt;Tableau1[[#This Row],[Manque (physique)]],"MarketPlace",""))</f>
        <v/>
      </c>
      <c r="J1343" t="s">
        <v>30</v>
      </c>
      <c r="K1343" t="s">
        <v>51</v>
      </c>
      <c r="L1343" t="s">
        <v>52</v>
      </c>
      <c r="M1343" t="s">
        <v>52</v>
      </c>
      <c r="N1343" t="s">
        <v>23</v>
      </c>
      <c r="O1343" t="s">
        <v>23</v>
      </c>
      <c r="P1343" t="s">
        <v>23</v>
      </c>
      <c r="Q1343" t="s">
        <v>92</v>
      </c>
    </row>
    <row r="1344" spans="1:17" hidden="1" x14ac:dyDescent="0.25">
      <c r="A1344" t="s">
        <v>524</v>
      </c>
      <c r="B1344" t="s">
        <v>22</v>
      </c>
      <c r="C1344" t="s">
        <v>25</v>
      </c>
      <c r="D1344" t="s">
        <v>16</v>
      </c>
      <c r="E1344">
        <v>3</v>
      </c>
      <c r="F1344">
        <f>MAX(-1,3-Tableau1[[#This Row],[Nb possédé (digital)]])</f>
        <v>0</v>
      </c>
      <c r="G1344">
        <v>3</v>
      </c>
      <c r="H1344">
        <f>MAX(-1,3-Tableau1[[#This Row],[Possédé (physique)]])</f>
        <v>0</v>
      </c>
      <c r="I1344" t="str">
        <f>IF(Tableau1[[#This Row],[Manque (physique)]]&gt;Tableau1[[#This Row],[Manque (digital)]],"POD",IF(Tableau1[[#This Row],[Manque (digital)]]&gt;Tableau1[[#This Row],[Manque (physique)]],"MarketPlace",""))</f>
        <v/>
      </c>
      <c r="J1344" t="s">
        <v>217</v>
      </c>
      <c r="K1344" t="s">
        <v>218</v>
      </c>
      <c r="L1344" t="s">
        <v>52</v>
      </c>
      <c r="M1344" t="s">
        <v>52</v>
      </c>
      <c r="Q1344" t="s">
        <v>525</v>
      </c>
    </row>
    <row r="1345" spans="1:17" hidden="1" x14ac:dyDescent="0.25">
      <c r="A1345" t="s">
        <v>618</v>
      </c>
      <c r="B1345" t="s">
        <v>22</v>
      </c>
      <c r="C1345" t="s">
        <v>25</v>
      </c>
      <c r="D1345" t="s">
        <v>16</v>
      </c>
      <c r="E1345">
        <v>3</v>
      </c>
      <c r="F1345">
        <f>MAX(-1,3-Tableau1[[#This Row],[Nb possédé (digital)]])</f>
        <v>0</v>
      </c>
      <c r="G1345">
        <v>3</v>
      </c>
      <c r="H1345">
        <f>MAX(-1,3-Tableau1[[#This Row],[Possédé (physique)]])</f>
        <v>0</v>
      </c>
      <c r="I1345" t="str">
        <f>IF(Tableau1[[#This Row],[Manque (physique)]]&gt;Tableau1[[#This Row],[Manque (digital)]],"POD",IF(Tableau1[[#This Row],[Manque (digital)]]&gt;Tableau1[[#This Row],[Manque (physique)]],"MarketPlace",""))</f>
        <v/>
      </c>
      <c r="J1345" t="s">
        <v>30</v>
      </c>
      <c r="K1345" t="s">
        <v>124</v>
      </c>
      <c r="L1345" t="s">
        <v>52</v>
      </c>
      <c r="M1345" t="s">
        <v>52</v>
      </c>
      <c r="N1345" t="s">
        <v>37</v>
      </c>
      <c r="O1345" t="s">
        <v>37</v>
      </c>
      <c r="P1345" t="s">
        <v>37</v>
      </c>
      <c r="Q1345" t="s">
        <v>619</v>
      </c>
    </row>
    <row r="1346" spans="1:17" hidden="1" x14ac:dyDescent="0.25">
      <c r="A1346" t="s">
        <v>709</v>
      </c>
      <c r="B1346" t="s">
        <v>22</v>
      </c>
      <c r="C1346" t="s">
        <v>25</v>
      </c>
      <c r="D1346" t="s">
        <v>16</v>
      </c>
      <c r="E1346">
        <v>3</v>
      </c>
      <c r="F1346">
        <f>MAX(-1,3-Tableau1[[#This Row],[Nb possédé (digital)]])</f>
        <v>0</v>
      </c>
      <c r="G1346">
        <v>3</v>
      </c>
      <c r="H1346">
        <f>MAX(-1,3-Tableau1[[#This Row],[Possédé (physique)]])</f>
        <v>0</v>
      </c>
      <c r="I1346" t="str">
        <f>IF(Tableau1[[#This Row],[Manque (physique)]]&gt;Tableau1[[#This Row],[Manque (digital)]],"POD",IF(Tableau1[[#This Row],[Manque (digital)]]&gt;Tableau1[[#This Row],[Manque (physique)]],"MarketPlace",""))</f>
        <v/>
      </c>
      <c r="J1346" t="s">
        <v>217</v>
      </c>
      <c r="K1346" t="s">
        <v>218</v>
      </c>
      <c r="L1346" t="s">
        <v>52</v>
      </c>
      <c r="M1346" t="s">
        <v>52</v>
      </c>
      <c r="Q1346" t="s">
        <v>711</v>
      </c>
    </row>
    <row r="1347" spans="1:17" hidden="1" x14ac:dyDescent="0.25">
      <c r="A1347" t="s">
        <v>886</v>
      </c>
      <c r="B1347" t="s">
        <v>22</v>
      </c>
      <c r="C1347" t="s">
        <v>25</v>
      </c>
      <c r="D1347" t="s">
        <v>16</v>
      </c>
      <c r="E1347">
        <v>3</v>
      </c>
      <c r="F1347">
        <f>MAX(-1,3-Tableau1[[#This Row],[Nb possédé (digital)]])</f>
        <v>0</v>
      </c>
      <c r="G1347">
        <v>3</v>
      </c>
      <c r="H1347">
        <f>MAX(-1,3-Tableau1[[#This Row],[Possédé (physique)]])</f>
        <v>0</v>
      </c>
      <c r="I1347" t="str">
        <f>IF(Tableau1[[#This Row],[Manque (physique)]]&gt;Tableau1[[#This Row],[Manque (digital)]],"POD",IF(Tableau1[[#This Row],[Manque (digital)]]&gt;Tableau1[[#This Row],[Manque (physique)]],"MarketPlace",""))</f>
        <v/>
      </c>
      <c r="J1347" t="s">
        <v>17</v>
      </c>
      <c r="K1347" t="s">
        <v>153</v>
      </c>
      <c r="L1347" t="s">
        <v>52</v>
      </c>
      <c r="M1347" t="s">
        <v>52</v>
      </c>
      <c r="Q1347" t="s">
        <v>887</v>
      </c>
    </row>
    <row r="1348" spans="1:17" hidden="1" x14ac:dyDescent="0.25">
      <c r="A1348" t="s">
        <v>957</v>
      </c>
      <c r="B1348" t="s">
        <v>22</v>
      </c>
      <c r="C1348" t="s">
        <v>25</v>
      </c>
      <c r="D1348" t="s">
        <v>16</v>
      </c>
      <c r="E1348">
        <v>3</v>
      </c>
      <c r="F1348">
        <f>MAX(-1,3-Tableau1[[#This Row],[Nb possédé (digital)]])</f>
        <v>0</v>
      </c>
      <c r="G1348">
        <v>3</v>
      </c>
      <c r="H1348">
        <f>MAX(-1,3-Tableau1[[#This Row],[Possédé (physique)]])</f>
        <v>0</v>
      </c>
      <c r="I1348" t="str">
        <f>IF(Tableau1[[#This Row],[Manque (physique)]]&gt;Tableau1[[#This Row],[Manque (digital)]],"POD",IF(Tableau1[[#This Row],[Manque (digital)]]&gt;Tableau1[[#This Row],[Manque (physique)]],"MarketPlace",""))</f>
        <v/>
      </c>
      <c r="J1348" t="s">
        <v>30</v>
      </c>
      <c r="K1348" t="s">
        <v>107</v>
      </c>
      <c r="L1348" t="s">
        <v>52</v>
      </c>
      <c r="M1348" t="s">
        <v>52</v>
      </c>
      <c r="N1348" t="s">
        <v>23</v>
      </c>
      <c r="O1348" t="s">
        <v>19</v>
      </c>
      <c r="P1348" t="s">
        <v>19</v>
      </c>
      <c r="Q1348" t="s">
        <v>960</v>
      </c>
    </row>
    <row r="1349" spans="1:17" hidden="1" x14ac:dyDescent="0.25">
      <c r="A1349" t="s">
        <v>1111</v>
      </c>
      <c r="B1349" t="s">
        <v>22</v>
      </c>
      <c r="C1349" t="s">
        <v>25</v>
      </c>
      <c r="D1349" t="s">
        <v>16</v>
      </c>
      <c r="E1349">
        <v>3</v>
      </c>
      <c r="F1349">
        <f>MAX(-1,3-Tableau1[[#This Row],[Nb possédé (digital)]])</f>
        <v>0</v>
      </c>
      <c r="G1349">
        <v>3</v>
      </c>
      <c r="H1349">
        <f>MAX(-1,3-Tableau1[[#This Row],[Possédé (physique)]])</f>
        <v>0</v>
      </c>
      <c r="I1349" t="str">
        <f>IF(Tableau1[[#This Row],[Manque (physique)]]&gt;Tableau1[[#This Row],[Manque (digital)]],"POD",IF(Tableau1[[#This Row],[Manque (digital)]]&gt;Tableau1[[#This Row],[Manque (physique)]],"MarketPlace",""))</f>
        <v/>
      </c>
      <c r="J1349" t="s">
        <v>30</v>
      </c>
      <c r="K1349" t="s">
        <v>179</v>
      </c>
      <c r="L1349" t="s">
        <v>52</v>
      </c>
      <c r="M1349" t="s">
        <v>52</v>
      </c>
      <c r="N1349" t="s">
        <v>37</v>
      </c>
      <c r="O1349" t="s">
        <v>37</v>
      </c>
      <c r="P1349" t="s">
        <v>39</v>
      </c>
      <c r="Q1349" t="s">
        <v>1113</v>
      </c>
    </row>
    <row r="1350" spans="1:17" hidden="1" x14ac:dyDescent="0.25">
      <c r="A1350" t="s">
        <v>136</v>
      </c>
      <c r="B1350" t="s">
        <v>22</v>
      </c>
      <c r="C1350" t="s">
        <v>25</v>
      </c>
      <c r="D1350" t="s">
        <v>16</v>
      </c>
      <c r="E1350">
        <v>3</v>
      </c>
      <c r="F1350">
        <f>MAX(-1,3-Tableau1[[#This Row],[Nb possédé (digital)]])</f>
        <v>0</v>
      </c>
      <c r="G1350">
        <v>3</v>
      </c>
      <c r="H1350">
        <f>MAX(-1,3-Tableau1[[#This Row],[Possédé (physique)]])</f>
        <v>0</v>
      </c>
      <c r="I1350" t="str">
        <f>IF(Tableau1[[#This Row],[Manque (physique)]]&gt;Tableau1[[#This Row],[Manque (digital)]],"POD",IF(Tableau1[[#This Row],[Manque (digital)]]&gt;Tableau1[[#This Row],[Manque (physique)]],"MarketPlace",""))</f>
        <v/>
      </c>
      <c r="J1350" t="s">
        <v>30</v>
      </c>
      <c r="K1350" t="s">
        <v>51</v>
      </c>
      <c r="L1350" t="s">
        <v>37</v>
      </c>
      <c r="M1350" t="s">
        <v>23</v>
      </c>
      <c r="N1350" t="s">
        <v>23</v>
      </c>
      <c r="O1350" t="s">
        <v>52</v>
      </c>
      <c r="P1350" t="s">
        <v>52</v>
      </c>
      <c r="Q1350" t="s">
        <v>139</v>
      </c>
    </row>
    <row r="1351" spans="1:17" hidden="1" x14ac:dyDescent="0.25">
      <c r="A1351" t="s">
        <v>34</v>
      </c>
      <c r="B1351" t="s">
        <v>22</v>
      </c>
      <c r="C1351" t="s">
        <v>25</v>
      </c>
      <c r="D1351" t="s">
        <v>16</v>
      </c>
      <c r="E1351">
        <v>3</v>
      </c>
      <c r="F1351">
        <f>MAX(-1,3-Tableau1[[#This Row],[Nb possédé (digital)]])</f>
        <v>0</v>
      </c>
      <c r="G1351">
        <v>3</v>
      </c>
      <c r="H1351">
        <f>MAX(-1,3-Tableau1[[#This Row],[Possédé (physique)]])</f>
        <v>0</v>
      </c>
      <c r="I1351" t="str">
        <f>IF(Tableau1[[#This Row],[Manque (physique)]]&gt;Tableau1[[#This Row],[Manque (digital)]],"POD",IF(Tableau1[[#This Row],[Manque (digital)]]&gt;Tableau1[[#This Row],[Manque (physique)]],"MarketPlace",""))</f>
        <v/>
      </c>
      <c r="J1351" t="s">
        <v>30</v>
      </c>
      <c r="K1351" t="s">
        <v>36</v>
      </c>
      <c r="L1351" t="s">
        <v>37</v>
      </c>
      <c r="M1351" t="s">
        <v>37</v>
      </c>
      <c r="N1351" t="s">
        <v>37</v>
      </c>
      <c r="O1351" t="s">
        <v>37</v>
      </c>
      <c r="P1351" t="s">
        <v>37</v>
      </c>
      <c r="Q1351" t="s">
        <v>38</v>
      </c>
    </row>
    <row r="1352" spans="1:17" hidden="1" x14ac:dyDescent="0.25">
      <c r="A1352" t="s">
        <v>140</v>
      </c>
      <c r="B1352" t="s">
        <v>22</v>
      </c>
      <c r="C1352" t="s">
        <v>25</v>
      </c>
      <c r="D1352" t="s">
        <v>16</v>
      </c>
      <c r="E1352">
        <v>3</v>
      </c>
      <c r="F1352">
        <f>MAX(-1,3-Tableau1[[#This Row],[Nb possédé (digital)]])</f>
        <v>0</v>
      </c>
      <c r="G1352">
        <v>3</v>
      </c>
      <c r="H1352">
        <f>MAX(-1,3-Tableau1[[#This Row],[Possédé (physique)]])</f>
        <v>0</v>
      </c>
      <c r="I1352" t="str">
        <f>IF(Tableau1[[#This Row],[Manque (physique)]]&gt;Tableau1[[#This Row],[Manque (digital)]],"POD",IF(Tableau1[[#This Row],[Manque (digital)]]&gt;Tableau1[[#This Row],[Manque (physique)]],"MarketPlace",""))</f>
        <v/>
      </c>
      <c r="J1352" t="s">
        <v>30</v>
      </c>
      <c r="K1352" t="s">
        <v>141</v>
      </c>
      <c r="L1352" t="s">
        <v>37</v>
      </c>
      <c r="M1352" t="s">
        <v>37</v>
      </c>
      <c r="N1352" t="s">
        <v>20</v>
      </c>
      <c r="O1352" t="s">
        <v>20</v>
      </c>
      <c r="P1352" t="s">
        <v>20</v>
      </c>
      <c r="Q1352" t="s">
        <v>144</v>
      </c>
    </row>
    <row r="1353" spans="1:17" hidden="1" x14ac:dyDescent="0.25">
      <c r="A1353" t="s">
        <v>587</v>
      </c>
      <c r="B1353" t="s">
        <v>22</v>
      </c>
      <c r="C1353" t="s">
        <v>25</v>
      </c>
      <c r="D1353" t="s">
        <v>16</v>
      </c>
      <c r="E1353">
        <v>3</v>
      </c>
      <c r="F1353">
        <f>MAX(-1,3-Tableau1[[#This Row],[Nb possédé (digital)]])</f>
        <v>0</v>
      </c>
      <c r="G1353">
        <v>3</v>
      </c>
      <c r="H1353">
        <f>MAX(-1,3-Tableau1[[#This Row],[Possédé (physique)]])</f>
        <v>0</v>
      </c>
      <c r="I1353" t="str">
        <f>IF(Tableau1[[#This Row],[Manque (physique)]]&gt;Tableau1[[#This Row],[Manque (digital)]],"POD",IF(Tableau1[[#This Row],[Manque (digital)]]&gt;Tableau1[[#This Row],[Manque (physique)]],"MarketPlace",""))</f>
        <v/>
      </c>
      <c r="J1353" t="s">
        <v>30</v>
      </c>
      <c r="K1353" t="s">
        <v>335</v>
      </c>
      <c r="L1353" t="s">
        <v>37</v>
      </c>
      <c r="M1353" t="s">
        <v>37</v>
      </c>
      <c r="N1353" t="s">
        <v>23</v>
      </c>
      <c r="O1353" t="s">
        <v>23</v>
      </c>
      <c r="P1353" t="s">
        <v>23</v>
      </c>
      <c r="Q1353" t="s">
        <v>588</v>
      </c>
    </row>
    <row r="1354" spans="1:17" hidden="1" x14ac:dyDescent="0.25">
      <c r="A1354" t="s">
        <v>592</v>
      </c>
      <c r="B1354" t="s">
        <v>22</v>
      </c>
      <c r="C1354" t="s">
        <v>25</v>
      </c>
      <c r="D1354" t="s">
        <v>16</v>
      </c>
      <c r="E1354">
        <v>3</v>
      </c>
      <c r="F1354">
        <f>MAX(-1,3-Tableau1[[#This Row],[Nb possédé (digital)]])</f>
        <v>0</v>
      </c>
      <c r="G1354">
        <v>3</v>
      </c>
      <c r="H1354">
        <f>MAX(-1,3-Tableau1[[#This Row],[Possédé (physique)]])</f>
        <v>0</v>
      </c>
      <c r="I1354" t="str">
        <f>IF(Tableau1[[#This Row],[Manque (physique)]]&gt;Tableau1[[#This Row],[Manque (digital)]],"POD",IF(Tableau1[[#This Row],[Manque (digital)]]&gt;Tableau1[[#This Row],[Manque (physique)]],"MarketPlace",""))</f>
        <v/>
      </c>
      <c r="J1354" t="s">
        <v>30</v>
      </c>
      <c r="K1354" t="s">
        <v>36</v>
      </c>
      <c r="L1354" t="s">
        <v>37</v>
      </c>
      <c r="M1354" t="s">
        <v>37</v>
      </c>
      <c r="N1354" t="s">
        <v>19</v>
      </c>
      <c r="O1354" t="s">
        <v>19</v>
      </c>
      <c r="P1354" t="s">
        <v>19</v>
      </c>
      <c r="Q1354" t="s">
        <v>595</v>
      </c>
    </row>
    <row r="1355" spans="1:17" hidden="1" x14ac:dyDescent="0.25">
      <c r="A1355" t="s">
        <v>841</v>
      </c>
      <c r="B1355" t="s">
        <v>22</v>
      </c>
      <c r="C1355" t="s">
        <v>25</v>
      </c>
      <c r="D1355" t="s">
        <v>16</v>
      </c>
      <c r="E1355">
        <v>3</v>
      </c>
      <c r="F1355">
        <f>MAX(-1,3-Tableau1[[#This Row],[Nb possédé (digital)]])</f>
        <v>0</v>
      </c>
      <c r="G1355">
        <v>3</v>
      </c>
      <c r="H1355">
        <f>MAX(-1,3-Tableau1[[#This Row],[Possédé (physique)]])</f>
        <v>0</v>
      </c>
      <c r="I1355" t="str">
        <f>IF(Tableau1[[#This Row],[Manque (physique)]]&gt;Tableau1[[#This Row],[Manque (digital)]],"POD",IF(Tableau1[[#This Row],[Manque (digital)]]&gt;Tableau1[[#This Row],[Manque (physique)]],"MarketPlace",""))</f>
        <v/>
      </c>
      <c r="J1355" t="s">
        <v>17</v>
      </c>
      <c r="K1355" t="s">
        <v>201</v>
      </c>
      <c r="L1355" t="s">
        <v>37</v>
      </c>
      <c r="M1355" t="s">
        <v>37</v>
      </c>
      <c r="Q1355" t="s">
        <v>844</v>
      </c>
    </row>
    <row r="1356" spans="1:17" hidden="1" x14ac:dyDescent="0.25">
      <c r="A1356" t="s">
        <v>1086</v>
      </c>
      <c r="B1356" t="s">
        <v>22</v>
      </c>
      <c r="C1356" t="s">
        <v>25</v>
      </c>
      <c r="D1356" t="s">
        <v>16</v>
      </c>
      <c r="E1356">
        <v>3</v>
      </c>
      <c r="F1356">
        <f>MAX(-1,3-Tableau1[[#This Row],[Nb possédé (digital)]])</f>
        <v>0</v>
      </c>
      <c r="G1356">
        <v>3</v>
      </c>
      <c r="H1356">
        <f>MAX(-1,3-Tableau1[[#This Row],[Possédé (physique)]])</f>
        <v>0</v>
      </c>
      <c r="I1356" t="str">
        <f>IF(Tableau1[[#This Row],[Manque (physique)]]&gt;Tableau1[[#This Row],[Manque (digital)]],"POD",IF(Tableau1[[#This Row],[Manque (digital)]]&gt;Tableau1[[#This Row],[Manque (physique)]],"MarketPlace",""))</f>
        <v/>
      </c>
      <c r="J1356" t="s">
        <v>217</v>
      </c>
      <c r="K1356" t="s">
        <v>218</v>
      </c>
      <c r="L1356" t="s">
        <v>37</v>
      </c>
      <c r="M1356" t="s">
        <v>37</v>
      </c>
      <c r="Q1356" t="s">
        <v>1088</v>
      </c>
    </row>
    <row r="1357" spans="1:17" hidden="1" x14ac:dyDescent="0.25">
      <c r="A1357" t="s">
        <v>514</v>
      </c>
      <c r="B1357" t="s">
        <v>22</v>
      </c>
      <c r="C1357" t="s">
        <v>25</v>
      </c>
      <c r="D1357" t="s">
        <v>16</v>
      </c>
      <c r="E1357">
        <v>3</v>
      </c>
      <c r="F1357">
        <f>MAX(-1,3-Tableau1[[#This Row],[Nb possédé (digital)]])</f>
        <v>0</v>
      </c>
      <c r="G1357">
        <v>3</v>
      </c>
      <c r="H1357">
        <f>MAX(-1,3-Tableau1[[#This Row],[Possédé (physique)]])</f>
        <v>0</v>
      </c>
      <c r="I1357" t="str">
        <f>IF(Tableau1[[#This Row],[Manque (physique)]]&gt;Tableau1[[#This Row],[Manque (digital)]],"POD",IF(Tableau1[[#This Row],[Manque (digital)]]&gt;Tableau1[[#This Row],[Manque (physique)]],"MarketPlace",""))</f>
        <v/>
      </c>
      <c r="J1357" t="s">
        <v>217</v>
      </c>
      <c r="K1357" t="s">
        <v>218</v>
      </c>
      <c r="L1357" t="s">
        <v>39</v>
      </c>
      <c r="M1357" t="s">
        <v>39</v>
      </c>
      <c r="Q1357" t="s">
        <v>516</v>
      </c>
    </row>
    <row r="1358" spans="1:17" hidden="1" x14ac:dyDescent="0.25">
      <c r="A1358" t="s">
        <v>434</v>
      </c>
      <c r="B1358" t="s">
        <v>22</v>
      </c>
      <c r="C1358" t="s">
        <v>25</v>
      </c>
      <c r="D1358" t="s">
        <v>16</v>
      </c>
      <c r="E1358">
        <v>3</v>
      </c>
      <c r="F1358">
        <f>MAX(-1,3-Tableau1[[#This Row],[Nb possédé (digital)]])</f>
        <v>0</v>
      </c>
      <c r="G1358">
        <v>3</v>
      </c>
      <c r="H1358">
        <f>MAX(-1,3-Tableau1[[#This Row],[Possédé (physique)]])</f>
        <v>0</v>
      </c>
      <c r="I1358" t="str">
        <f>IF(Tableau1[[#This Row],[Manque (physique)]]&gt;Tableau1[[#This Row],[Manque (digital)]],"POD",IF(Tableau1[[#This Row],[Manque (digital)]]&gt;Tableau1[[#This Row],[Manque (physique)]],"MarketPlace",""))</f>
        <v/>
      </c>
      <c r="J1358" t="s">
        <v>17</v>
      </c>
      <c r="K1358" t="s">
        <v>153</v>
      </c>
      <c r="L1358" t="s">
        <v>380</v>
      </c>
      <c r="M1358" t="s">
        <v>380</v>
      </c>
      <c r="Q1358" t="s">
        <v>436</v>
      </c>
    </row>
    <row r="1359" spans="1:17" hidden="1" x14ac:dyDescent="0.25">
      <c r="A1359" t="s">
        <v>695</v>
      </c>
      <c r="B1359" t="s">
        <v>22</v>
      </c>
      <c r="C1359" t="s">
        <v>25</v>
      </c>
      <c r="D1359" t="s">
        <v>16</v>
      </c>
      <c r="E1359">
        <v>3</v>
      </c>
      <c r="F1359">
        <f>MAX(-1,3-Tableau1[[#This Row],[Nb possédé (digital)]])</f>
        <v>0</v>
      </c>
      <c r="G1359">
        <v>3</v>
      </c>
      <c r="H1359">
        <f>MAX(-1,3-Tableau1[[#This Row],[Possédé (physique)]])</f>
        <v>0</v>
      </c>
      <c r="I1359" t="str">
        <f>IF(Tableau1[[#This Row],[Manque (physique)]]&gt;Tableau1[[#This Row],[Manque (digital)]],"POD",IF(Tableau1[[#This Row],[Manque (digital)]]&gt;Tableau1[[#This Row],[Manque (physique)]],"MarketPlace",""))</f>
        <v/>
      </c>
      <c r="J1359" t="s">
        <v>30</v>
      </c>
      <c r="K1359" t="s">
        <v>601</v>
      </c>
      <c r="L1359" t="s">
        <v>380</v>
      </c>
      <c r="M1359" t="s">
        <v>380</v>
      </c>
      <c r="N1359" t="s">
        <v>89</v>
      </c>
      <c r="O1359" t="s">
        <v>89</v>
      </c>
      <c r="P1359" t="s">
        <v>101</v>
      </c>
      <c r="Q1359" t="s">
        <v>696</v>
      </c>
    </row>
    <row r="1360" spans="1:17" hidden="1" x14ac:dyDescent="0.25">
      <c r="A1360" t="s">
        <v>597</v>
      </c>
      <c r="B1360" t="s">
        <v>22</v>
      </c>
      <c r="C1360" t="s">
        <v>25</v>
      </c>
      <c r="D1360" t="s">
        <v>16</v>
      </c>
      <c r="E1360">
        <v>3</v>
      </c>
      <c r="F1360">
        <f>MAX(-1,3-Tableau1[[#This Row],[Nb possédé (digital)]])</f>
        <v>0</v>
      </c>
      <c r="G1360">
        <v>3</v>
      </c>
      <c r="H1360">
        <f>MAX(-1,3-Tableau1[[#This Row],[Possédé (physique)]])</f>
        <v>0</v>
      </c>
      <c r="I1360" t="str">
        <f>IF(Tableau1[[#This Row],[Manque (physique)]]&gt;Tableau1[[#This Row],[Manque (digital)]],"POD",IF(Tableau1[[#This Row],[Manque (digital)]]&gt;Tableau1[[#This Row],[Manque (physique)]],"MarketPlace",""))</f>
        <v/>
      </c>
      <c r="J1360" t="s">
        <v>17</v>
      </c>
      <c r="K1360" t="s">
        <v>201</v>
      </c>
      <c r="L1360" t="s">
        <v>101</v>
      </c>
      <c r="M1360" t="s">
        <v>101</v>
      </c>
      <c r="Q1360" t="s">
        <v>599</v>
      </c>
    </row>
    <row r="1361" spans="1:17" hidden="1" x14ac:dyDescent="0.25">
      <c r="A1361" t="s">
        <v>115</v>
      </c>
      <c r="B1361" t="s">
        <v>22</v>
      </c>
      <c r="C1361" t="s">
        <v>25</v>
      </c>
      <c r="D1361" t="s">
        <v>58</v>
      </c>
      <c r="E1361">
        <v>3</v>
      </c>
      <c r="F1361">
        <f>MAX(-1,3-Tableau1[[#This Row],[Nb possédé (digital)]])</f>
        <v>0</v>
      </c>
      <c r="G1361">
        <v>3</v>
      </c>
      <c r="H1361">
        <f>MAX(-1,3-Tableau1[[#This Row],[Possédé (physique)]])</f>
        <v>0</v>
      </c>
      <c r="I1361" t="str">
        <f>IF(Tableau1[[#This Row],[Manque (physique)]]&gt;Tableau1[[#This Row],[Manque (digital)]],"POD",IF(Tableau1[[#This Row],[Manque (digital)]]&gt;Tableau1[[#This Row],[Manque (physique)]],"MarketPlace",""))</f>
        <v/>
      </c>
      <c r="J1361" t="s">
        <v>116</v>
      </c>
      <c r="K1361" t="s">
        <v>117</v>
      </c>
      <c r="L1361" t="s">
        <v>20</v>
      </c>
      <c r="M1361" t="s">
        <v>20</v>
      </c>
      <c r="Q1361" t="s">
        <v>119</v>
      </c>
    </row>
    <row r="1362" spans="1:17" hidden="1" x14ac:dyDescent="0.25">
      <c r="A1362" t="s">
        <v>676</v>
      </c>
      <c r="B1362" t="s">
        <v>22</v>
      </c>
      <c r="C1362" t="s">
        <v>25</v>
      </c>
      <c r="D1362" t="s">
        <v>58</v>
      </c>
      <c r="E1362">
        <v>3</v>
      </c>
      <c r="F1362">
        <f>MAX(-1,3-Tableau1[[#This Row],[Nb possédé (digital)]])</f>
        <v>0</v>
      </c>
      <c r="G1362">
        <v>3</v>
      </c>
      <c r="H1362">
        <f>MAX(-1,3-Tableau1[[#This Row],[Possédé (physique)]])</f>
        <v>0</v>
      </c>
      <c r="I1362" t="str">
        <f>IF(Tableau1[[#This Row],[Manque (physique)]]&gt;Tableau1[[#This Row],[Manque (digital)]],"POD",IF(Tableau1[[#This Row],[Manque (digital)]]&gt;Tableau1[[#This Row],[Manque (physique)]],"MarketPlace",""))</f>
        <v/>
      </c>
      <c r="J1362" t="s">
        <v>30</v>
      </c>
      <c r="K1362" t="s">
        <v>59</v>
      </c>
      <c r="L1362" t="s">
        <v>20</v>
      </c>
      <c r="M1362" t="s">
        <v>20</v>
      </c>
      <c r="N1362" t="s">
        <v>20</v>
      </c>
      <c r="O1362" t="s">
        <v>20</v>
      </c>
      <c r="P1362" t="s">
        <v>89</v>
      </c>
      <c r="Q1362" t="s">
        <v>677</v>
      </c>
    </row>
    <row r="1363" spans="1:17" hidden="1" x14ac:dyDescent="0.25">
      <c r="A1363" t="s">
        <v>748</v>
      </c>
      <c r="B1363" t="s">
        <v>22</v>
      </c>
      <c r="C1363" t="s">
        <v>25</v>
      </c>
      <c r="D1363" t="s">
        <v>58</v>
      </c>
      <c r="E1363">
        <v>3</v>
      </c>
      <c r="F1363">
        <f>MAX(-1,3-Tableau1[[#This Row],[Nb possédé (digital)]])</f>
        <v>0</v>
      </c>
      <c r="G1363">
        <v>3</v>
      </c>
      <c r="H1363">
        <f>MAX(-1,3-Tableau1[[#This Row],[Possédé (physique)]])</f>
        <v>0</v>
      </c>
      <c r="I1363" t="str">
        <f>IF(Tableau1[[#This Row],[Manque (physique)]]&gt;Tableau1[[#This Row],[Manque (digital)]],"POD",IF(Tableau1[[#This Row],[Manque (digital)]]&gt;Tableau1[[#This Row],[Manque (physique)]],"MarketPlace",""))</f>
        <v/>
      </c>
      <c r="J1363" t="s">
        <v>30</v>
      </c>
      <c r="K1363" t="s">
        <v>79</v>
      </c>
      <c r="L1363" t="s">
        <v>20</v>
      </c>
      <c r="M1363" t="s">
        <v>20</v>
      </c>
      <c r="N1363" t="s">
        <v>20</v>
      </c>
      <c r="O1363" t="s">
        <v>20</v>
      </c>
      <c r="P1363" t="s">
        <v>89</v>
      </c>
      <c r="Q1363" t="s">
        <v>749</v>
      </c>
    </row>
    <row r="1364" spans="1:17" hidden="1" x14ac:dyDescent="0.25">
      <c r="A1364" t="s">
        <v>554</v>
      </c>
      <c r="B1364" t="s">
        <v>22</v>
      </c>
      <c r="C1364" t="s">
        <v>25</v>
      </c>
      <c r="D1364" t="s">
        <v>58</v>
      </c>
      <c r="E1364">
        <v>3</v>
      </c>
      <c r="F1364">
        <f>MAX(-1,3-Tableau1[[#This Row],[Nb possédé (digital)]])</f>
        <v>0</v>
      </c>
      <c r="G1364">
        <v>3</v>
      </c>
      <c r="H1364">
        <f>MAX(-1,3-Tableau1[[#This Row],[Possédé (physique)]])</f>
        <v>0</v>
      </c>
      <c r="I1364" t="str">
        <f>IF(Tableau1[[#This Row],[Manque (physique)]]&gt;Tableau1[[#This Row],[Manque (digital)]],"POD",IF(Tableau1[[#This Row],[Manque (digital)]]&gt;Tableau1[[#This Row],[Manque (physique)]],"MarketPlace",""))</f>
        <v/>
      </c>
      <c r="J1364" t="s">
        <v>17</v>
      </c>
      <c r="K1364" t="s">
        <v>153</v>
      </c>
      <c r="L1364" t="s">
        <v>20</v>
      </c>
      <c r="M1364" t="s">
        <v>19</v>
      </c>
      <c r="Q1364" t="s">
        <v>555</v>
      </c>
    </row>
    <row r="1365" spans="1:17" hidden="1" x14ac:dyDescent="0.25">
      <c r="A1365" t="s">
        <v>232</v>
      </c>
      <c r="B1365" t="s">
        <v>22</v>
      </c>
      <c r="C1365" t="s">
        <v>25</v>
      </c>
      <c r="D1365" t="s">
        <v>58</v>
      </c>
      <c r="E1365">
        <v>3</v>
      </c>
      <c r="F1365">
        <f>MAX(-1,3-Tableau1[[#This Row],[Nb possédé (digital)]])</f>
        <v>0</v>
      </c>
      <c r="G1365">
        <v>3</v>
      </c>
      <c r="H1365">
        <f>MAX(-1,3-Tableau1[[#This Row],[Possédé (physique)]])</f>
        <v>0</v>
      </c>
      <c r="I1365" t="str">
        <f>IF(Tableau1[[#This Row],[Manque (physique)]]&gt;Tableau1[[#This Row],[Manque (digital)]],"POD",IF(Tableau1[[#This Row],[Manque (digital)]]&gt;Tableau1[[#This Row],[Manque (physique)]],"MarketPlace",""))</f>
        <v/>
      </c>
      <c r="J1365" t="s">
        <v>17</v>
      </c>
      <c r="K1365" t="s">
        <v>153</v>
      </c>
      <c r="L1365" t="s">
        <v>19</v>
      </c>
      <c r="M1365" t="s">
        <v>19</v>
      </c>
      <c r="Q1365" t="s">
        <v>234</v>
      </c>
    </row>
    <row r="1366" spans="1:17" hidden="1" x14ac:dyDescent="0.25">
      <c r="A1366" t="s">
        <v>237</v>
      </c>
      <c r="B1366" t="s">
        <v>22</v>
      </c>
      <c r="C1366" t="s">
        <v>25</v>
      </c>
      <c r="D1366" t="s">
        <v>58</v>
      </c>
      <c r="E1366">
        <v>3</v>
      </c>
      <c r="F1366">
        <f>MAX(-1,3-Tableau1[[#This Row],[Nb possédé (digital)]])</f>
        <v>0</v>
      </c>
      <c r="G1366">
        <v>3</v>
      </c>
      <c r="H1366">
        <f>MAX(-1,3-Tableau1[[#This Row],[Possédé (physique)]])</f>
        <v>0</v>
      </c>
      <c r="I1366" t="str">
        <f>IF(Tableau1[[#This Row],[Manque (physique)]]&gt;Tableau1[[#This Row],[Manque (digital)]],"POD",IF(Tableau1[[#This Row],[Manque (digital)]]&gt;Tableau1[[#This Row],[Manque (physique)]],"MarketPlace",""))</f>
        <v/>
      </c>
      <c r="J1366" t="s">
        <v>30</v>
      </c>
      <c r="K1366" t="s">
        <v>72</v>
      </c>
      <c r="L1366" t="s">
        <v>19</v>
      </c>
      <c r="M1366" t="s">
        <v>19</v>
      </c>
      <c r="N1366" t="s">
        <v>23</v>
      </c>
      <c r="O1366" t="s">
        <v>89</v>
      </c>
      <c r="P1366" t="s">
        <v>19</v>
      </c>
      <c r="Q1366" t="s">
        <v>239</v>
      </c>
    </row>
    <row r="1367" spans="1:17" hidden="1" x14ac:dyDescent="0.25">
      <c r="A1367" t="s">
        <v>257</v>
      </c>
      <c r="B1367" t="s">
        <v>22</v>
      </c>
      <c r="C1367" t="s">
        <v>25</v>
      </c>
      <c r="D1367" t="s">
        <v>58</v>
      </c>
      <c r="E1367">
        <v>3</v>
      </c>
      <c r="F1367">
        <f>MAX(-1,3-Tableau1[[#This Row],[Nb possédé (digital)]])</f>
        <v>0</v>
      </c>
      <c r="G1367">
        <v>3</v>
      </c>
      <c r="H1367">
        <f>MAX(-1,3-Tableau1[[#This Row],[Possédé (physique)]])</f>
        <v>0</v>
      </c>
      <c r="I1367" t="str">
        <f>IF(Tableau1[[#This Row],[Manque (physique)]]&gt;Tableau1[[#This Row],[Manque (digital)]],"POD",IF(Tableau1[[#This Row],[Manque (digital)]]&gt;Tableau1[[#This Row],[Manque (physique)]],"MarketPlace",""))</f>
        <v/>
      </c>
      <c r="J1367" t="s">
        <v>30</v>
      </c>
      <c r="K1367" t="s">
        <v>79</v>
      </c>
      <c r="L1367" t="s">
        <v>19</v>
      </c>
      <c r="M1367" t="s">
        <v>19</v>
      </c>
      <c r="N1367" t="s">
        <v>19</v>
      </c>
      <c r="O1367" t="s">
        <v>19</v>
      </c>
      <c r="P1367" t="s">
        <v>19</v>
      </c>
      <c r="Q1367" t="s">
        <v>259</v>
      </c>
    </row>
    <row r="1368" spans="1:17" hidden="1" x14ac:dyDescent="0.25">
      <c r="A1368" t="s">
        <v>298</v>
      </c>
      <c r="B1368" t="s">
        <v>22</v>
      </c>
      <c r="C1368" t="s">
        <v>25</v>
      </c>
      <c r="D1368" t="s">
        <v>58</v>
      </c>
      <c r="E1368">
        <v>3</v>
      </c>
      <c r="F1368">
        <f>MAX(-1,3-Tableau1[[#This Row],[Nb possédé (digital)]])</f>
        <v>0</v>
      </c>
      <c r="G1368">
        <v>3</v>
      </c>
      <c r="H1368">
        <f>MAX(-1,3-Tableau1[[#This Row],[Possédé (physique)]])</f>
        <v>0</v>
      </c>
      <c r="I1368" t="str">
        <f>IF(Tableau1[[#This Row],[Manque (physique)]]&gt;Tableau1[[#This Row],[Manque (digital)]],"POD",IF(Tableau1[[#This Row],[Manque (digital)]]&gt;Tableau1[[#This Row],[Manque (physique)]],"MarketPlace",""))</f>
        <v/>
      </c>
      <c r="J1368" t="s">
        <v>17</v>
      </c>
      <c r="K1368" t="s">
        <v>189</v>
      </c>
      <c r="L1368" t="s">
        <v>19</v>
      </c>
      <c r="M1368" t="s">
        <v>19</v>
      </c>
      <c r="Q1368" t="s">
        <v>300</v>
      </c>
    </row>
    <row r="1369" spans="1:17" hidden="1" x14ac:dyDescent="0.25">
      <c r="A1369" t="s">
        <v>341</v>
      </c>
      <c r="B1369" t="s">
        <v>22</v>
      </c>
      <c r="C1369" t="s">
        <v>25</v>
      </c>
      <c r="D1369" t="s">
        <v>58</v>
      </c>
      <c r="E1369">
        <v>3</v>
      </c>
      <c r="F1369">
        <f>MAX(-1,3-Tableau1[[#This Row],[Nb possédé (digital)]])</f>
        <v>0</v>
      </c>
      <c r="G1369">
        <v>3</v>
      </c>
      <c r="H1369">
        <f>MAX(-1,3-Tableau1[[#This Row],[Possédé (physique)]])</f>
        <v>0</v>
      </c>
      <c r="I1369" t="str">
        <f>IF(Tableau1[[#This Row],[Manque (physique)]]&gt;Tableau1[[#This Row],[Manque (digital)]],"POD",IF(Tableau1[[#This Row],[Manque (digital)]]&gt;Tableau1[[#This Row],[Manque (physique)]],"MarketPlace",""))</f>
        <v/>
      </c>
      <c r="J1369" t="s">
        <v>17</v>
      </c>
      <c r="K1369" t="s">
        <v>189</v>
      </c>
      <c r="L1369" t="s">
        <v>19</v>
      </c>
      <c r="M1369" t="s">
        <v>19</v>
      </c>
      <c r="Q1369" t="s">
        <v>343</v>
      </c>
    </row>
    <row r="1370" spans="1:17" hidden="1" x14ac:dyDescent="0.25">
      <c r="A1370" t="s">
        <v>591</v>
      </c>
      <c r="B1370" t="s">
        <v>22</v>
      </c>
      <c r="C1370" t="s">
        <v>25</v>
      </c>
      <c r="D1370" t="s">
        <v>58</v>
      </c>
      <c r="E1370">
        <v>3</v>
      </c>
      <c r="F1370">
        <f>MAX(-1,3-Tableau1[[#This Row],[Nb possédé (digital)]])</f>
        <v>0</v>
      </c>
      <c r="G1370">
        <v>3</v>
      </c>
      <c r="H1370">
        <f>MAX(-1,3-Tableau1[[#This Row],[Possédé (physique)]])</f>
        <v>0</v>
      </c>
      <c r="I1370" t="str">
        <f>IF(Tableau1[[#This Row],[Manque (physique)]]&gt;Tableau1[[#This Row],[Manque (digital)]],"POD",IF(Tableau1[[#This Row],[Manque (digital)]]&gt;Tableau1[[#This Row],[Manque (physique)]],"MarketPlace",""))</f>
        <v/>
      </c>
      <c r="J1370" t="s">
        <v>30</v>
      </c>
      <c r="K1370" t="s">
        <v>124</v>
      </c>
      <c r="L1370" t="s">
        <v>19</v>
      </c>
      <c r="M1370" t="s">
        <v>19</v>
      </c>
      <c r="N1370" t="s">
        <v>19</v>
      </c>
      <c r="O1370" t="s">
        <v>20</v>
      </c>
      <c r="P1370" t="s">
        <v>19</v>
      </c>
      <c r="Q1370" t="s">
        <v>336</v>
      </c>
    </row>
    <row r="1371" spans="1:17" hidden="1" x14ac:dyDescent="0.25">
      <c r="A1371" t="s">
        <v>664</v>
      </c>
      <c r="B1371" t="s">
        <v>22</v>
      </c>
      <c r="C1371" t="s">
        <v>25</v>
      </c>
      <c r="D1371" t="s">
        <v>58</v>
      </c>
      <c r="E1371">
        <v>3</v>
      </c>
      <c r="F1371">
        <f>MAX(-1,3-Tableau1[[#This Row],[Nb possédé (digital)]])</f>
        <v>0</v>
      </c>
      <c r="G1371">
        <v>3</v>
      </c>
      <c r="H1371">
        <f>MAX(-1,3-Tableau1[[#This Row],[Possédé (physique)]])</f>
        <v>0</v>
      </c>
      <c r="I1371" t="str">
        <f>IF(Tableau1[[#This Row],[Manque (physique)]]&gt;Tableau1[[#This Row],[Manque (digital)]],"POD",IF(Tableau1[[#This Row],[Manque (digital)]]&gt;Tableau1[[#This Row],[Manque (physique)]],"MarketPlace",""))</f>
        <v/>
      </c>
      <c r="J1371" t="s">
        <v>268</v>
      </c>
      <c r="K1371" t="s">
        <v>269</v>
      </c>
      <c r="L1371" t="s">
        <v>19</v>
      </c>
      <c r="M1371" t="s">
        <v>19</v>
      </c>
      <c r="Q1371" t="s">
        <v>665</v>
      </c>
    </row>
    <row r="1372" spans="1:17" hidden="1" x14ac:dyDescent="0.25">
      <c r="A1372" t="s">
        <v>674</v>
      </c>
      <c r="B1372" t="s">
        <v>22</v>
      </c>
      <c r="C1372" t="s">
        <v>25</v>
      </c>
      <c r="D1372" t="s">
        <v>58</v>
      </c>
      <c r="E1372">
        <v>3</v>
      </c>
      <c r="F1372">
        <f>MAX(-1,3-Tableau1[[#This Row],[Nb possédé (digital)]])</f>
        <v>0</v>
      </c>
      <c r="G1372">
        <v>3</v>
      </c>
      <c r="H1372">
        <f>MAX(-1,3-Tableau1[[#This Row],[Possédé (physique)]])</f>
        <v>0</v>
      </c>
      <c r="I1372" t="str">
        <f>IF(Tableau1[[#This Row],[Manque (physique)]]&gt;Tableau1[[#This Row],[Manque (digital)]],"POD",IF(Tableau1[[#This Row],[Manque (digital)]]&gt;Tableau1[[#This Row],[Manque (physique)]],"MarketPlace",""))</f>
        <v/>
      </c>
      <c r="J1372" t="s">
        <v>116</v>
      </c>
      <c r="K1372" t="s">
        <v>117</v>
      </c>
      <c r="L1372" t="s">
        <v>19</v>
      </c>
      <c r="M1372" t="s">
        <v>19</v>
      </c>
      <c r="Q1372" t="s">
        <v>675</v>
      </c>
    </row>
    <row r="1373" spans="1:17" hidden="1" x14ac:dyDescent="0.25">
      <c r="A1373" t="s">
        <v>942</v>
      </c>
      <c r="B1373" t="s">
        <v>22</v>
      </c>
      <c r="C1373" t="s">
        <v>25</v>
      </c>
      <c r="D1373" t="s">
        <v>58</v>
      </c>
      <c r="E1373">
        <v>3</v>
      </c>
      <c r="F1373">
        <f>MAX(-1,3-Tableau1[[#This Row],[Nb possédé (digital)]])</f>
        <v>0</v>
      </c>
      <c r="G1373">
        <v>3</v>
      </c>
      <c r="H1373">
        <f>MAX(-1,3-Tableau1[[#This Row],[Possédé (physique)]])</f>
        <v>0</v>
      </c>
      <c r="I1373" t="str">
        <f>IF(Tableau1[[#This Row],[Manque (physique)]]&gt;Tableau1[[#This Row],[Manque (digital)]],"POD",IF(Tableau1[[#This Row],[Manque (digital)]]&gt;Tableau1[[#This Row],[Manque (physique)]],"MarketPlace",""))</f>
        <v/>
      </c>
      <c r="J1373" t="s">
        <v>17</v>
      </c>
      <c r="K1373" t="s">
        <v>201</v>
      </c>
      <c r="L1373" t="s">
        <v>19</v>
      </c>
      <c r="M1373" t="s">
        <v>19</v>
      </c>
      <c r="Q1373" t="s">
        <v>944</v>
      </c>
    </row>
    <row r="1374" spans="1:17" hidden="1" x14ac:dyDescent="0.25">
      <c r="A1374" t="s">
        <v>1025</v>
      </c>
      <c r="B1374" t="s">
        <v>22</v>
      </c>
      <c r="C1374" t="s">
        <v>25</v>
      </c>
      <c r="D1374" t="s">
        <v>58</v>
      </c>
      <c r="E1374">
        <v>3</v>
      </c>
      <c r="F1374">
        <f>MAX(-1,3-Tableau1[[#This Row],[Nb possédé (digital)]])</f>
        <v>0</v>
      </c>
      <c r="G1374">
        <v>3</v>
      </c>
      <c r="H1374">
        <f>MAX(-1,3-Tableau1[[#This Row],[Possédé (physique)]])</f>
        <v>0</v>
      </c>
      <c r="I1374" t="str">
        <f>IF(Tableau1[[#This Row],[Manque (physique)]]&gt;Tableau1[[#This Row],[Manque (digital)]],"POD",IF(Tableau1[[#This Row],[Manque (digital)]]&gt;Tableau1[[#This Row],[Manque (physique)]],"MarketPlace",""))</f>
        <v/>
      </c>
      <c r="J1374" t="s">
        <v>30</v>
      </c>
      <c r="K1374" t="s">
        <v>1026</v>
      </c>
      <c r="L1374" t="s">
        <v>19</v>
      </c>
      <c r="M1374" t="s">
        <v>19</v>
      </c>
      <c r="N1374" t="s">
        <v>20</v>
      </c>
      <c r="O1374" t="s">
        <v>20</v>
      </c>
      <c r="P1374" t="s">
        <v>19</v>
      </c>
      <c r="Q1374" t="s">
        <v>1028</v>
      </c>
    </row>
    <row r="1375" spans="1:17" hidden="1" x14ac:dyDescent="0.25">
      <c r="A1375" t="s">
        <v>334</v>
      </c>
      <c r="B1375" t="s">
        <v>22</v>
      </c>
      <c r="C1375" t="s">
        <v>25</v>
      </c>
      <c r="D1375" t="s">
        <v>58</v>
      </c>
      <c r="E1375">
        <v>3</v>
      </c>
      <c r="F1375">
        <f>MAX(-1,3-Tableau1[[#This Row],[Nb possédé (digital)]])</f>
        <v>0</v>
      </c>
      <c r="G1375">
        <v>3</v>
      </c>
      <c r="H1375">
        <f>MAX(-1,3-Tableau1[[#This Row],[Possédé (physique)]])</f>
        <v>0</v>
      </c>
      <c r="I1375" t="str">
        <f>IF(Tableau1[[#This Row],[Manque (physique)]]&gt;Tableau1[[#This Row],[Manque (digital)]],"POD",IF(Tableau1[[#This Row],[Manque (digital)]]&gt;Tableau1[[#This Row],[Manque (physique)]],"MarketPlace",""))</f>
        <v/>
      </c>
      <c r="J1375" t="s">
        <v>30</v>
      </c>
      <c r="K1375" t="s">
        <v>335</v>
      </c>
      <c r="L1375" t="s">
        <v>23</v>
      </c>
      <c r="M1375" t="s">
        <v>23</v>
      </c>
      <c r="N1375" t="s">
        <v>23</v>
      </c>
      <c r="O1375" t="s">
        <v>23</v>
      </c>
      <c r="P1375" t="s">
        <v>23</v>
      </c>
      <c r="Q1375" t="s">
        <v>337</v>
      </c>
    </row>
    <row r="1376" spans="1:17" hidden="1" x14ac:dyDescent="0.25">
      <c r="A1376" t="s">
        <v>382</v>
      </c>
      <c r="B1376" t="s">
        <v>22</v>
      </c>
      <c r="C1376" t="s">
        <v>25</v>
      </c>
      <c r="D1376" t="s">
        <v>58</v>
      </c>
      <c r="E1376">
        <v>3</v>
      </c>
      <c r="F1376">
        <f>MAX(-1,3-Tableau1[[#This Row],[Nb possédé (digital)]])</f>
        <v>0</v>
      </c>
      <c r="G1376">
        <v>3</v>
      </c>
      <c r="H1376">
        <f>MAX(-1,3-Tableau1[[#This Row],[Possédé (physique)]])</f>
        <v>0</v>
      </c>
      <c r="I1376" t="str">
        <f>IF(Tableau1[[#This Row],[Manque (physique)]]&gt;Tableau1[[#This Row],[Manque (digital)]],"POD",IF(Tableau1[[#This Row],[Manque (digital)]]&gt;Tableau1[[#This Row],[Manque (physique)]],"MarketPlace",""))</f>
        <v/>
      </c>
      <c r="J1376" t="s">
        <v>30</v>
      </c>
      <c r="K1376" t="s">
        <v>107</v>
      </c>
      <c r="L1376" t="s">
        <v>23</v>
      </c>
      <c r="M1376" t="s">
        <v>23</v>
      </c>
      <c r="N1376" t="s">
        <v>23</v>
      </c>
      <c r="O1376" t="s">
        <v>23</v>
      </c>
      <c r="P1376" t="s">
        <v>23</v>
      </c>
      <c r="Q1376" t="s">
        <v>384</v>
      </c>
    </row>
    <row r="1377" spans="1:17" hidden="1" x14ac:dyDescent="0.25">
      <c r="A1377" t="s">
        <v>1022</v>
      </c>
      <c r="B1377" t="s">
        <v>22</v>
      </c>
      <c r="C1377" t="s">
        <v>25</v>
      </c>
      <c r="D1377" t="s">
        <v>58</v>
      </c>
      <c r="E1377">
        <v>3</v>
      </c>
      <c r="F1377">
        <f>MAX(-1,3-Tableau1[[#This Row],[Nb possédé (digital)]])</f>
        <v>0</v>
      </c>
      <c r="G1377">
        <v>3</v>
      </c>
      <c r="H1377">
        <f>MAX(-1,3-Tableau1[[#This Row],[Possédé (physique)]])</f>
        <v>0</v>
      </c>
      <c r="I1377" t="str">
        <f>IF(Tableau1[[#This Row],[Manque (physique)]]&gt;Tableau1[[#This Row],[Manque (digital)]],"POD",IF(Tableau1[[#This Row],[Manque (digital)]]&gt;Tableau1[[#This Row],[Manque (physique)]],"MarketPlace",""))</f>
        <v/>
      </c>
      <c r="J1377" t="s">
        <v>30</v>
      </c>
      <c r="K1377" t="s">
        <v>36</v>
      </c>
      <c r="L1377" t="s">
        <v>23</v>
      </c>
      <c r="M1377" t="s">
        <v>23</v>
      </c>
      <c r="N1377" t="s">
        <v>23</v>
      </c>
      <c r="O1377" t="s">
        <v>23</v>
      </c>
      <c r="P1377" t="s">
        <v>23</v>
      </c>
      <c r="Q1377" t="s">
        <v>1024</v>
      </c>
    </row>
    <row r="1378" spans="1:17" hidden="1" x14ac:dyDescent="0.25">
      <c r="A1378" t="s">
        <v>1106</v>
      </c>
      <c r="B1378" t="s">
        <v>22</v>
      </c>
      <c r="C1378" t="s">
        <v>25</v>
      </c>
      <c r="D1378" t="s">
        <v>58</v>
      </c>
      <c r="E1378">
        <v>3</v>
      </c>
      <c r="F1378">
        <f>MAX(-1,3-Tableau1[[#This Row],[Nb possédé (digital)]])</f>
        <v>0</v>
      </c>
      <c r="G1378">
        <v>3</v>
      </c>
      <c r="H1378">
        <f>MAX(-1,3-Tableau1[[#This Row],[Possédé (physique)]])</f>
        <v>0</v>
      </c>
      <c r="I1378" t="str">
        <f>IF(Tableau1[[#This Row],[Manque (physique)]]&gt;Tableau1[[#This Row],[Manque (digital)]],"POD",IF(Tableau1[[#This Row],[Manque (digital)]]&gt;Tableau1[[#This Row],[Manque (physique)]],"MarketPlace",""))</f>
        <v/>
      </c>
      <c r="J1378" t="s">
        <v>30</v>
      </c>
      <c r="K1378" t="s">
        <v>107</v>
      </c>
      <c r="L1378" t="s">
        <v>23</v>
      </c>
      <c r="M1378" t="s">
        <v>23</v>
      </c>
      <c r="N1378" t="s">
        <v>19</v>
      </c>
      <c r="O1378" t="s">
        <v>19</v>
      </c>
      <c r="P1378" t="s">
        <v>19</v>
      </c>
      <c r="Q1378" t="s">
        <v>1108</v>
      </c>
    </row>
    <row r="1379" spans="1:17" hidden="1" x14ac:dyDescent="0.25">
      <c r="A1379" t="s">
        <v>584</v>
      </c>
      <c r="B1379" t="s">
        <v>22</v>
      </c>
      <c r="C1379" t="s">
        <v>25</v>
      </c>
      <c r="D1379" t="s">
        <v>58</v>
      </c>
      <c r="E1379">
        <v>3</v>
      </c>
      <c r="F1379">
        <f>MAX(-1,3-Tableau1[[#This Row],[Nb possédé (digital)]])</f>
        <v>0</v>
      </c>
      <c r="G1379">
        <v>3</v>
      </c>
      <c r="H1379">
        <f>MAX(-1,3-Tableau1[[#This Row],[Possédé (physique)]])</f>
        <v>0</v>
      </c>
      <c r="I1379" t="str">
        <f>IF(Tableau1[[#This Row],[Manque (physique)]]&gt;Tableau1[[#This Row],[Manque (digital)]],"POD",IF(Tableau1[[#This Row],[Manque (digital)]]&gt;Tableau1[[#This Row],[Manque (physique)]],"MarketPlace",""))</f>
        <v/>
      </c>
      <c r="J1379" t="s">
        <v>17</v>
      </c>
      <c r="K1379" t="s">
        <v>201</v>
      </c>
      <c r="L1379" t="s">
        <v>52</v>
      </c>
      <c r="M1379" t="s">
        <v>23</v>
      </c>
      <c r="Q1379" t="s">
        <v>586</v>
      </c>
    </row>
    <row r="1380" spans="1:17" hidden="1" x14ac:dyDescent="0.25">
      <c r="A1380" t="s">
        <v>210</v>
      </c>
      <c r="B1380" t="s">
        <v>22</v>
      </c>
      <c r="C1380" t="s">
        <v>25</v>
      </c>
      <c r="D1380" t="s">
        <v>58</v>
      </c>
      <c r="E1380">
        <v>3</v>
      </c>
      <c r="F1380">
        <f>MAX(-1,3-Tableau1[[#This Row],[Nb possédé (digital)]])</f>
        <v>0</v>
      </c>
      <c r="G1380">
        <v>3</v>
      </c>
      <c r="H1380">
        <f>MAX(-1,3-Tableau1[[#This Row],[Possédé (physique)]])</f>
        <v>0</v>
      </c>
      <c r="I1380" t="str">
        <f>IF(Tableau1[[#This Row],[Manque (physique)]]&gt;Tableau1[[#This Row],[Manque (digital)]],"POD",IF(Tableau1[[#This Row],[Manque (digital)]]&gt;Tableau1[[#This Row],[Manque (physique)]],"MarketPlace",""))</f>
        <v/>
      </c>
      <c r="J1380" t="s">
        <v>17</v>
      </c>
      <c r="K1380" t="s">
        <v>153</v>
      </c>
      <c r="L1380" t="s">
        <v>52</v>
      </c>
      <c r="M1380" t="s">
        <v>52</v>
      </c>
      <c r="Q1380" t="s">
        <v>213</v>
      </c>
    </row>
    <row r="1381" spans="1:17" hidden="1" x14ac:dyDescent="0.25">
      <c r="A1381" t="s">
        <v>501</v>
      </c>
      <c r="B1381" t="s">
        <v>22</v>
      </c>
      <c r="C1381" t="s">
        <v>25</v>
      </c>
      <c r="D1381" t="s">
        <v>58</v>
      </c>
      <c r="E1381">
        <v>2</v>
      </c>
      <c r="F1381">
        <f>MAX(-1,3-Tableau1[[#This Row],[Nb possédé (digital)]])</f>
        <v>1</v>
      </c>
      <c r="G1381">
        <v>3</v>
      </c>
      <c r="H1381">
        <f>MAX(-1,3-Tableau1[[#This Row],[Possédé (physique)]])</f>
        <v>0</v>
      </c>
      <c r="I1381" t="str">
        <f>IF(Tableau1[[#This Row],[Manque (physique)]]&gt;Tableau1[[#This Row],[Manque (digital)]],"POD",IF(Tableau1[[#This Row],[Manque (digital)]]&gt;Tableau1[[#This Row],[Manque (physique)]],"MarketPlace",""))</f>
        <v>MarketPlace</v>
      </c>
      <c r="J1381" t="s">
        <v>17</v>
      </c>
      <c r="K1381" t="s">
        <v>153</v>
      </c>
      <c r="L1381" t="s">
        <v>52</v>
      </c>
      <c r="M1381" t="s">
        <v>52</v>
      </c>
      <c r="Q1381" t="s">
        <v>502</v>
      </c>
    </row>
    <row r="1382" spans="1:17" hidden="1" x14ac:dyDescent="0.25">
      <c r="A1382" t="s">
        <v>538</v>
      </c>
      <c r="B1382" t="s">
        <v>22</v>
      </c>
      <c r="C1382" t="s">
        <v>25</v>
      </c>
      <c r="D1382" t="s">
        <v>58</v>
      </c>
      <c r="E1382">
        <v>3</v>
      </c>
      <c r="F1382">
        <f>MAX(-1,3-Tableau1[[#This Row],[Nb possédé (digital)]])</f>
        <v>0</v>
      </c>
      <c r="G1382">
        <v>3</v>
      </c>
      <c r="H1382">
        <f>MAX(-1,3-Tableau1[[#This Row],[Possédé (physique)]])</f>
        <v>0</v>
      </c>
      <c r="I1382" t="str">
        <f>IF(Tableau1[[#This Row],[Manque (physique)]]&gt;Tableau1[[#This Row],[Manque (digital)]],"POD",IF(Tableau1[[#This Row],[Manque (digital)]]&gt;Tableau1[[#This Row],[Manque (physique)]],"MarketPlace",""))</f>
        <v/>
      </c>
      <c r="J1382" t="s">
        <v>30</v>
      </c>
      <c r="K1382" t="s">
        <v>539</v>
      </c>
      <c r="L1382" t="s">
        <v>52</v>
      </c>
      <c r="M1382" t="s">
        <v>52</v>
      </c>
      <c r="N1382" t="s">
        <v>52</v>
      </c>
      <c r="O1382" t="s">
        <v>52</v>
      </c>
      <c r="P1382" t="s">
        <v>52</v>
      </c>
      <c r="Q1382" t="s">
        <v>540</v>
      </c>
    </row>
    <row r="1383" spans="1:17" hidden="1" x14ac:dyDescent="0.25">
      <c r="A1383" t="s">
        <v>633</v>
      </c>
      <c r="B1383" t="s">
        <v>22</v>
      </c>
      <c r="C1383" t="s">
        <v>25</v>
      </c>
      <c r="D1383" t="s">
        <v>58</v>
      </c>
      <c r="E1383">
        <v>3</v>
      </c>
      <c r="F1383">
        <f>MAX(-1,3-Tableau1[[#This Row],[Nb possédé (digital)]])</f>
        <v>0</v>
      </c>
      <c r="G1383">
        <v>3</v>
      </c>
      <c r="H1383">
        <f>MAX(-1,3-Tableau1[[#This Row],[Possédé (physique)]])</f>
        <v>0</v>
      </c>
      <c r="I1383" t="str">
        <f>IF(Tableau1[[#This Row],[Manque (physique)]]&gt;Tableau1[[#This Row],[Manque (digital)]],"POD",IF(Tableau1[[#This Row],[Manque (digital)]]&gt;Tableau1[[#This Row],[Manque (physique)]],"MarketPlace",""))</f>
        <v/>
      </c>
      <c r="J1383" t="s">
        <v>30</v>
      </c>
      <c r="K1383" t="s">
        <v>328</v>
      </c>
      <c r="L1383" t="s">
        <v>52</v>
      </c>
      <c r="M1383" t="s">
        <v>52</v>
      </c>
      <c r="N1383" t="s">
        <v>37</v>
      </c>
      <c r="O1383" t="s">
        <v>37</v>
      </c>
      <c r="P1383" t="s">
        <v>37</v>
      </c>
      <c r="Q1383" t="s">
        <v>634</v>
      </c>
    </row>
    <row r="1384" spans="1:17" hidden="1" x14ac:dyDescent="0.25">
      <c r="A1384" t="s">
        <v>837</v>
      </c>
      <c r="B1384" t="s">
        <v>22</v>
      </c>
      <c r="C1384" t="s">
        <v>25</v>
      </c>
      <c r="D1384" t="s">
        <v>58</v>
      </c>
      <c r="E1384">
        <v>3</v>
      </c>
      <c r="F1384">
        <f>MAX(-1,3-Tableau1[[#This Row],[Nb possédé (digital)]])</f>
        <v>0</v>
      </c>
      <c r="G1384">
        <v>3</v>
      </c>
      <c r="H1384">
        <f>MAX(-1,3-Tableau1[[#This Row],[Possédé (physique)]])</f>
        <v>0</v>
      </c>
      <c r="I1384" t="str">
        <f>IF(Tableau1[[#This Row],[Manque (physique)]]&gt;Tableau1[[#This Row],[Manque (digital)]],"POD",IF(Tableau1[[#This Row],[Manque (digital)]]&gt;Tableau1[[#This Row],[Manque (physique)]],"MarketPlace",""))</f>
        <v/>
      </c>
      <c r="J1384" t="s">
        <v>30</v>
      </c>
      <c r="K1384" t="s">
        <v>838</v>
      </c>
      <c r="L1384" t="s">
        <v>52</v>
      </c>
      <c r="M1384" t="s">
        <v>52</v>
      </c>
      <c r="N1384" t="s">
        <v>23</v>
      </c>
      <c r="O1384" t="s">
        <v>23</v>
      </c>
      <c r="P1384" t="s">
        <v>23</v>
      </c>
      <c r="Q1384" t="s">
        <v>840</v>
      </c>
    </row>
    <row r="1385" spans="1:17" hidden="1" x14ac:dyDescent="0.25">
      <c r="A1385" t="s">
        <v>1102</v>
      </c>
      <c r="B1385" t="s">
        <v>22</v>
      </c>
      <c r="C1385" t="s">
        <v>25</v>
      </c>
      <c r="D1385" t="s">
        <v>58</v>
      </c>
      <c r="E1385">
        <v>3</v>
      </c>
      <c r="F1385">
        <f>MAX(-1,3-Tableau1[[#This Row],[Nb possédé (digital)]])</f>
        <v>0</v>
      </c>
      <c r="G1385">
        <v>3</v>
      </c>
      <c r="H1385">
        <f>MAX(-1,3-Tableau1[[#This Row],[Possédé (physique)]])</f>
        <v>0</v>
      </c>
      <c r="I1385" t="str">
        <f>IF(Tableau1[[#This Row],[Manque (physique)]]&gt;Tableau1[[#This Row],[Manque (digital)]],"POD",IF(Tableau1[[#This Row],[Manque (digital)]]&gt;Tableau1[[#This Row],[Manque (physique)]],"MarketPlace",""))</f>
        <v/>
      </c>
      <c r="J1385" t="s">
        <v>30</v>
      </c>
      <c r="K1385" t="s">
        <v>1103</v>
      </c>
      <c r="L1385" t="s">
        <v>52</v>
      </c>
      <c r="M1385" t="s">
        <v>52</v>
      </c>
      <c r="N1385" t="s">
        <v>37</v>
      </c>
      <c r="O1385" t="s">
        <v>37</v>
      </c>
      <c r="P1385" t="s">
        <v>37</v>
      </c>
      <c r="Q1385" t="s">
        <v>1105</v>
      </c>
    </row>
    <row r="1386" spans="1:17" hidden="1" x14ac:dyDescent="0.25">
      <c r="A1386" t="s">
        <v>1121</v>
      </c>
      <c r="B1386" t="s">
        <v>22</v>
      </c>
      <c r="C1386" t="s">
        <v>25</v>
      </c>
      <c r="D1386" t="s">
        <v>58</v>
      </c>
      <c r="E1386">
        <v>3</v>
      </c>
      <c r="F1386">
        <f>MAX(-1,3-Tableau1[[#This Row],[Nb possédé (digital)]])</f>
        <v>0</v>
      </c>
      <c r="G1386">
        <v>3</v>
      </c>
      <c r="H1386">
        <f>MAX(-1,3-Tableau1[[#This Row],[Possédé (physique)]])</f>
        <v>0</v>
      </c>
      <c r="I1386" t="str">
        <f>IF(Tableau1[[#This Row],[Manque (physique)]]&gt;Tableau1[[#This Row],[Manque (digital)]],"POD",IF(Tableau1[[#This Row],[Manque (digital)]]&gt;Tableau1[[#This Row],[Manque (physique)]],"MarketPlace",""))</f>
        <v/>
      </c>
      <c r="J1386" t="s">
        <v>30</v>
      </c>
      <c r="K1386" t="s">
        <v>51</v>
      </c>
      <c r="L1386" t="s">
        <v>52</v>
      </c>
      <c r="M1386" t="s">
        <v>52</v>
      </c>
      <c r="N1386" t="s">
        <v>19</v>
      </c>
      <c r="O1386" t="s">
        <v>19</v>
      </c>
      <c r="P1386" t="s">
        <v>19</v>
      </c>
      <c r="Q1386" t="s">
        <v>1122</v>
      </c>
    </row>
    <row r="1387" spans="1:17" hidden="1" x14ac:dyDescent="0.25">
      <c r="A1387" t="s">
        <v>185</v>
      </c>
      <c r="B1387" t="s">
        <v>22</v>
      </c>
      <c r="C1387" t="s">
        <v>25</v>
      </c>
      <c r="D1387" t="s">
        <v>58</v>
      </c>
      <c r="E1387">
        <v>3</v>
      </c>
      <c r="F1387">
        <f>MAX(-1,3-Tableau1[[#This Row],[Nb possédé (digital)]])</f>
        <v>0</v>
      </c>
      <c r="G1387">
        <v>3</v>
      </c>
      <c r="H1387">
        <f>MAX(-1,3-Tableau1[[#This Row],[Possédé (physique)]])</f>
        <v>0</v>
      </c>
      <c r="I1387" t="str">
        <f>IF(Tableau1[[#This Row],[Manque (physique)]]&gt;Tableau1[[#This Row],[Manque (digital)]],"POD",IF(Tableau1[[#This Row],[Manque (digital)]]&gt;Tableau1[[#This Row],[Manque (physique)]],"MarketPlace",""))</f>
        <v/>
      </c>
      <c r="J1387" t="s">
        <v>30</v>
      </c>
      <c r="K1387" t="s">
        <v>51</v>
      </c>
      <c r="L1387" t="s">
        <v>39</v>
      </c>
      <c r="M1387" t="s">
        <v>39</v>
      </c>
      <c r="N1387" t="s">
        <v>39</v>
      </c>
      <c r="O1387" t="s">
        <v>39</v>
      </c>
      <c r="P1387" t="s">
        <v>39</v>
      </c>
      <c r="Q1387" t="s">
        <v>187</v>
      </c>
    </row>
    <row r="1388" spans="1:17" hidden="1" x14ac:dyDescent="0.25">
      <c r="A1388" t="s">
        <v>503</v>
      </c>
      <c r="B1388" t="s">
        <v>22</v>
      </c>
      <c r="C1388" t="s">
        <v>25</v>
      </c>
      <c r="D1388" t="s">
        <v>58</v>
      </c>
      <c r="E1388">
        <v>3</v>
      </c>
      <c r="F1388">
        <f>MAX(-1,3-Tableau1[[#This Row],[Nb possédé (digital)]])</f>
        <v>0</v>
      </c>
      <c r="G1388">
        <v>3</v>
      </c>
      <c r="H1388">
        <f>MAX(-1,3-Tableau1[[#This Row],[Possédé (physique)]])</f>
        <v>0</v>
      </c>
      <c r="I1388" t="str">
        <f>IF(Tableau1[[#This Row],[Manque (physique)]]&gt;Tableau1[[#This Row],[Manque (digital)]],"POD",IF(Tableau1[[#This Row],[Manque (digital)]]&gt;Tableau1[[#This Row],[Manque (physique)]],"MarketPlace",""))</f>
        <v/>
      </c>
      <c r="J1388" t="s">
        <v>30</v>
      </c>
      <c r="K1388" t="s">
        <v>504</v>
      </c>
      <c r="L1388" t="s">
        <v>39</v>
      </c>
      <c r="M1388" t="s">
        <v>39</v>
      </c>
      <c r="N1388" t="s">
        <v>37</v>
      </c>
      <c r="O1388" t="s">
        <v>37</v>
      </c>
      <c r="P1388" t="s">
        <v>37</v>
      </c>
      <c r="Q1388" t="s">
        <v>506</v>
      </c>
    </row>
    <row r="1389" spans="1:17" hidden="1" x14ac:dyDescent="0.25">
      <c r="A1389" t="s">
        <v>656</v>
      </c>
      <c r="B1389" t="s">
        <v>22</v>
      </c>
      <c r="C1389" t="s">
        <v>25</v>
      </c>
      <c r="D1389" t="s">
        <v>58</v>
      </c>
      <c r="E1389">
        <v>3</v>
      </c>
      <c r="F1389">
        <f>MAX(-1,3-Tableau1[[#This Row],[Nb possédé (digital)]])</f>
        <v>0</v>
      </c>
      <c r="G1389">
        <v>3</v>
      </c>
      <c r="H1389">
        <f>MAX(-1,3-Tableau1[[#This Row],[Possédé (physique)]])</f>
        <v>0</v>
      </c>
      <c r="I1389" t="str">
        <f>IF(Tableau1[[#This Row],[Manque (physique)]]&gt;Tableau1[[#This Row],[Manque (digital)]],"POD",IF(Tableau1[[#This Row],[Manque (digital)]]&gt;Tableau1[[#This Row],[Manque (physique)]],"MarketPlace",""))</f>
        <v/>
      </c>
      <c r="J1389" t="s">
        <v>30</v>
      </c>
      <c r="K1389" t="s">
        <v>657</v>
      </c>
      <c r="L1389" t="s">
        <v>380</v>
      </c>
      <c r="M1389" t="s">
        <v>380</v>
      </c>
      <c r="N1389" t="s">
        <v>23</v>
      </c>
      <c r="O1389" t="s">
        <v>23</v>
      </c>
      <c r="P1389" t="s">
        <v>23</v>
      </c>
      <c r="Q1389" t="s">
        <v>659</v>
      </c>
    </row>
    <row r="1390" spans="1:17" hidden="1" x14ac:dyDescent="0.25">
      <c r="A1390" t="s">
        <v>1504</v>
      </c>
      <c r="B1390" t="s">
        <v>22</v>
      </c>
      <c r="C1390" t="s">
        <v>25</v>
      </c>
      <c r="D1390" t="s">
        <v>1496</v>
      </c>
      <c r="E1390">
        <v>2</v>
      </c>
      <c r="F1390">
        <f>MAX(-1,3-Tableau1[[#This Row],[Nb possédé (digital)]])</f>
        <v>1</v>
      </c>
      <c r="G1390">
        <v>3</v>
      </c>
      <c r="H1390">
        <f>MAX(-1,3-Tableau1[[#This Row],[Possédé (physique)]])</f>
        <v>0</v>
      </c>
      <c r="I1390" t="str">
        <f>IF(Tableau1[[#This Row],[Manque (physique)]]&gt;Tableau1[[#This Row],[Manque (digital)]],"POD",IF(Tableau1[[#This Row],[Manque (digital)]]&gt;Tableau1[[#This Row],[Manque (physique)]],"MarketPlace",""))</f>
        <v>MarketPlace</v>
      </c>
      <c r="J1390" t="s">
        <v>116</v>
      </c>
      <c r="K1390" t="s">
        <v>117</v>
      </c>
      <c r="L1390" t="s">
        <v>20</v>
      </c>
      <c r="M1390" t="s">
        <v>20</v>
      </c>
      <c r="Q1390" t="s">
        <v>1617</v>
      </c>
    </row>
    <row r="1391" spans="1:17" hidden="1" x14ac:dyDescent="0.25">
      <c r="A1391" t="s">
        <v>1536</v>
      </c>
      <c r="B1391" t="s">
        <v>22</v>
      </c>
      <c r="C1391" t="s">
        <v>25</v>
      </c>
      <c r="D1391" t="s">
        <v>1496</v>
      </c>
      <c r="E1391">
        <v>1</v>
      </c>
      <c r="F1391">
        <f>MAX(-1,3-Tableau1[[#This Row],[Nb possédé (digital)]])</f>
        <v>2</v>
      </c>
      <c r="G1391">
        <v>3</v>
      </c>
      <c r="H1391">
        <f>MAX(-1,3-Tableau1[[#This Row],[Possédé (physique)]])</f>
        <v>0</v>
      </c>
      <c r="I1391" t="str">
        <f>IF(Tableau1[[#This Row],[Manque (physique)]]&gt;Tableau1[[#This Row],[Manque (digital)]],"POD",IF(Tableau1[[#This Row],[Manque (digital)]]&gt;Tableau1[[#This Row],[Manque (physique)]],"MarketPlace",""))</f>
        <v>MarketPlace</v>
      </c>
      <c r="J1391" t="s">
        <v>30</v>
      </c>
      <c r="K1391" t="s">
        <v>59</v>
      </c>
      <c r="L1391" t="s">
        <v>20</v>
      </c>
      <c r="M1391" t="s">
        <v>20</v>
      </c>
      <c r="N1391" t="s">
        <v>20</v>
      </c>
      <c r="O1391" t="s">
        <v>89</v>
      </c>
      <c r="P1391" t="s">
        <v>20</v>
      </c>
      <c r="Q1391" t="s">
        <v>1684</v>
      </c>
    </row>
    <row r="1392" spans="1:17" hidden="1" x14ac:dyDescent="0.25">
      <c r="A1392" t="s">
        <v>1559</v>
      </c>
      <c r="B1392" t="s">
        <v>22</v>
      </c>
      <c r="C1392" t="s">
        <v>25</v>
      </c>
      <c r="D1392" t="s">
        <v>1496</v>
      </c>
      <c r="E1392">
        <v>0</v>
      </c>
      <c r="F1392">
        <f>MAX(-1,3-Tableau1[[#This Row],[Nb possédé (digital)]])</f>
        <v>3</v>
      </c>
      <c r="G1392">
        <v>3</v>
      </c>
      <c r="H1392">
        <f>MAX(-1,3-Tableau1[[#This Row],[Possédé (physique)]])</f>
        <v>0</v>
      </c>
      <c r="I1392" t="str">
        <f>IF(Tableau1[[#This Row],[Manque (physique)]]&gt;Tableau1[[#This Row],[Manque (digital)]],"POD",IF(Tableau1[[#This Row],[Manque (digital)]]&gt;Tableau1[[#This Row],[Manque (physique)]],"MarketPlace",""))</f>
        <v>MarketPlace</v>
      </c>
      <c r="J1392" t="s">
        <v>30</v>
      </c>
      <c r="K1392" t="s">
        <v>148</v>
      </c>
      <c r="L1392" t="s">
        <v>20</v>
      </c>
      <c r="M1392" t="s">
        <v>20</v>
      </c>
      <c r="N1392" t="s">
        <v>89</v>
      </c>
      <c r="O1392" t="s">
        <v>20</v>
      </c>
      <c r="P1392" t="s">
        <v>20</v>
      </c>
      <c r="Q1392" t="s">
        <v>1735</v>
      </c>
    </row>
    <row r="1393" spans="1:17" hidden="1" x14ac:dyDescent="0.25">
      <c r="A1393" t="s">
        <v>1557</v>
      </c>
      <c r="B1393" t="s">
        <v>22</v>
      </c>
      <c r="C1393" t="s">
        <v>25</v>
      </c>
      <c r="D1393" t="s">
        <v>1496</v>
      </c>
      <c r="E1393">
        <v>3</v>
      </c>
      <c r="F1393">
        <f>MAX(-1,3-Tableau1[[#This Row],[Nb possédé (digital)]])</f>
        <v>0</v>
      </c>
      <c r="G1393">
        <v>3</v>
      </c>
      <c r="H1393">
        <f>MAX(-1,3-Tableau1[[#This Row],[Possédé (physique)]])</f>
        <v>0</v>
      </c>
      <c r="I1393" t="str">
        <f>IF(Tableau1[[#This Row],[Manque (physique)]]&gt;Tableau1[[#This Row],[Manque (digital)]],"POD",IF(Tableau1[[#This Row],[Manque (digital)]]&gt;Tableau1[[#This Row],[Manque (physique)]],"MarketPlace",""))</f>
        <v/>
      </c>
      <c r="J1393" t="s">
        <v>30</v>
      </c>
      <c r="K1393" t="s">
        <v>42</v>
      </c>
      <c r="L1393" t="s">
        <v>20</v>
      </c>
      <c r="M1393" t="s">
        <v>19</v>
      </c>
      <c r="N1393" t="s">
        <v>20</v>
      </c>
      <c r="O1393" t="s">
        <v>20</v>
      </c>
      <c r="P1393" t="s">
        <v>20</v>
      </c>
      <c r="Q1393" t="s">
        <v>1731</v>
      </c>
    </row>
    <row r="1394" spans="1:17" hidden="1" x14ac:dyDescent="0.25">
      <c r="A1394" t="s">
        <v>1497</v>
      </c>
      <c r="B1394" t="s">
        <v>22</v>
      </c>
      <c r="C1394" t="s">
        <v>25</v>
      </c>
      <c r="D1394" t="s">
        <v>1496</v>
      </c>
      <c r="E1394">
        <v>0</v>
      </c>
      <c r="F1394">
        <f>MAX(-1,3-Tableau1[[#This Row],[Nb possédé (digital)]])</f>
        <v>3</v>
      </c>
      <c r="G1394">
        <v>3</v>
      </c>
      <c r="H1394">
        <f>MAX(-1,3-Tableau1[[#This Row],[Possédé (physique)]])</f>
        <v>0</v>
      </c>
      <c r="I1394" t="str">
        <f>IF(Tableau1[[#This Row],[Manque (physique)]]&gt;Tableau1[[#This Row],[Manque (digital)]],"POD",IF(Tableau1[[#This Row],[Manque (digital)]]&gt;Tableau1[[#This Row],[Manque (physique)]],"MarketPlace",""))</f>
        <v>MarketPlace</v>
      </c>
      <c r="J1394" t="s">
        <v>268</v>
      </c>
      <c r="K1394" t="s">
        <v>269</v>
      </c>
      <c r="L1394" t="s">
        <v>19</v>
      </c>
      <c r="M1394" t="s">
        <v>19</v>
      </c>
      <c r="Q1394" t="s">
        <v>1600</v>
      </c>
    </row>
    <row r="1395" spans="1:17" hidden="1" x14ac:dyDescent="0.25">
      <c r="A1395" t="s">
        <v>1515</v>
      </c>
      <c r="B1395" t="s">
        <v>22</v>
      </c>
      <c r="C1395" t="s">
        <v>25</v>
      </c>
      <c r="D1395" t="s">
        <v>1496</v>
      </c>
      <c r="E1395">
        <v>1</v>
      </c>
      <c r="F1395">
        <f>MAX(-1,3-Tableau1[[#This Row],[Nb possédé (digital)]])</f>
        <v>2</v>
      </c>
      <c r="G1395">
        <v>3</v>
      </c>
      <c r="H1395">
        <f>MAX(-1,3-Tableau1[[#This Row],[Possédé (physique)]])</f>
        <v>0</v>
      </c>
      <c r="I1395" t="str">
        <f>IF(Tableau1[[#This Row],[Manque (physique)]]&gt;Tableau1[[#This Row],[Manque (digital)]],"POD",IF(Tableau1[[#This Row],[Manque (digital)]]&gt;Tableau1[[#This Row],[Manque (physique)]],"MarketPlace",""))</f>
        <v>MarketPlace</v>
      </c>
      <c r="J1395" t="s">
        <v>30</v>
      </c>
      <c r="K1395" t="s">
        <v>1639</v>
      </c>
      <c r="L1395" t="s">
        <v>19</v>
      </c>
      <c r="M1395" t="s">
        <v>19</v>
      </c>
      <c r="N1395" t="s">
        <v>89</v>
      </c>
      <c r="O1395" t="s">
        <v>23</v>
      </c>
      <c r="P1395" t="s">
        <v>23</v>
      </c>
      <c r="Q1395" t="s">
        <v>890</v>
      </c>
    </row>
    <row r="1396" spans="1:17" hidden="1" x14ac:dyDescent="0.25">
      <c r="A1396" t="s">
        <v>1526</v>
      </c>
      <c r="B1396" t="s">
        <v>22</v>
      </c>
      <c r="C1396" t="s">
        <v>25</v>
      </c>
      <c r="D1396" t="s">
        <v>1496</v>
      </c>
      <c r="E1396">
        <v>1</v>
      </c>
      <c r="F1396">
        <f>MAX(-1,3-Tableau1[[#This Row],[Nb possédé (digital)]])</f>
        <v>2</v>
      </c>
      <c r="G1396">
        <v>3</v>
      </c>
      <c r="H1396">
        <f>MAX(-1,3-Tableau1[[#This Row],[Possédé (physique)]])</f>
        <v>0</v>
      </c>
      <c r="I1396" t="str">
        <f>IF(Tableau1[[#This Row],[Manque (physique)]]&gt;Tableau1[[#This Row],[Manque (digital)]],"POD",IF(Tableau1[[#This Row],[Manque (digital)]]&gt;Tableau1[[#This Row],[Manque (physique)]],"MarketPlace",""))</f>
        <v>MarketPlace</v>
      </c>
      <c r="J1396" t="s">
        <v>30</v>
      </c>
      <c r="K1396" t="s">
        <v>328</v>
      </c>
      <c r="L1396" t="s">
        <v>19</v>
      </c>
      <c r="M1396" t="s">
        <v>19</v>
      </c>
      <c r="N1396" t="s">
        <v>23</v>
      </c>
      <c r="O1396" t="s">
        <v>23</v>
      </c>
      <c r="P1396" t="s">
        <v>23</v>
      </c>
      <c r="Q1396" t="s">
        <v>1664</v>
      </c>
    </row>
    <row r="1397" spans="1:17" hidden="1" x14ac:dyDescent="0.25">
      <c r="A1397" t="s">
        <v>1528</v>
      </c>
      <c r="B1397" t="s">
        <v>22</v>
      </c>
      <c r="C1397" t="s">
        <v>25</v>
      </c>
      <c r="D1397" t="s">
        <v>1496</v>
      </c>
      <c r="E1397">
        <v>1</v>
      </c>
      <c r="F1397">
        <f>MAX(-1,3-Tableau1[[#This Row],[Nb possédé (digital)]])</f>
        <v>2</v>
      </c>
      <c r="G1397">
        <v>3</v>
      </c>
      <c r="H1397">
        <f>MAX(-1,3-Tableau1[[#This Row],[Possédé (physique)]])</f>
        <v>0</v>
      </c>
      <c r="I1397" t="str">
        <f>IF(Tableau1[[#This Row],[Manque (physique)]]&gt;Tableau1[[#This Row],[Manque (digital)]],"POD",IF(Tableau1[[#This Row],[Manque (digital)]]&gt;Tableau1[[#This Row],[Manque (physique)]],"MarketPlace",""))</f>
        <v>MarketPlace</v>
      </c>
      <c r="J1397" t="s">
        <v>30</v>
      </c>
      <c r="K1397" t="s">
        <v>83</v>
      </c>
      <c r="L1397" t="s">
        <v>19</v>
      </c>
      <c r="M1397" t="s">
        <v>19</v>
      </c>
      <c r="N1397" t="s">
        <v>19</v>
      </c>
      <c r="O1397" t="s">
        <v>19</v>
      </c>
      <c r="P1397" t="s">
        <v>89</v>
      </c>
      <c r="Q1397" t="s">
        <v>1668</v>
      </c>
    </row>
    <row r="1398" spans="1:17" x14ac:dyDescent="0.25">
      <c r="A1398" t="s">
        <v>1543</v>
      </c>
      <c r="B1398" t="s">
        <v>22</v>
      </c>
      <c r="C1398" t="s">
        <v>25</v>
      </c>
      <c r="D1398" t="s">
        <v>1496</v>
      </c>
      <c r="E1398">
        <v>4</v>
      </c>
      <c r="F1398">
        <f>MAX(-1,3-Tableau1[[#This Row],[Nb possédé (digital)]])</f>
        <v>-1</v>
      </c>
      <c r="G1398">
        <v>4</v>
      </c>
      <c r="H1398">
        <f>MAX(-1,3-Tableau1[[#This Row],[Possédé (physique)]])</f>
        <v>-1</v>
      </c>
      <c r="I1398" t="str">
        <f>IF(Tableau1[[#This Row],[Manque (physique)]]&gt;Tableau1[[#This Row],[Manque (digital)]],"POD",IF(Tableau1[[#This Row],[Manque (digital)]]&gt;Tableau1[[#This Row],[Manque (physique)]],"MarketPlace",""))</f>
        <v/>
      </c>
      <c r="J1398" t="s">
        <v>268</v>
      </c>
      <c r="K1398" t="s">
        <v>269</v>
      </c>
      <c r="L1398" t="s">
        <v>19</v>
      </c>
      <c r="M1398" t="s">
        <v>19</v>
      </c>
      <c r="Q1398" t="s">
        <v>1698</v>
      </c>
    </row>
    <row r="1399" spans="1:17" hidden="1" x14ac:dyDescent="0.25">
      <c r="A1399" t="s">
        <v>1548</v>
      </c>
      <c r="B1399" t="s">
        <v>22</v>
      </c>
      <c r="C1399" t="s">
        <v>25</v>
      </c>
      <c r="D1399" t="s">
        <v>1496</v>
      </c>
      <c r="E1399">
        <v>0</v>
      </c>
      <c r="F1399">
        <f>MAX(-1,3-Tableau1[[#This Row],[Nb possédé (digital)]])</f>
        <v>3</v>
      </c>
      <c r="G1399">
        <v>3</v>
      </c>
      <c r="H1399">
        <f>MAX(-1,3-Tableau1[[#This Row],[Possédé (physique)]])</f>
        <v>0</v>
      </c>
      <c r="I1399" t="str">
        <f>IF(Tableau1[[#This Row],[Manque (physique)]]&gt;Tableau1[[#This Row],[Manque (digital)]],"POD",IF(Tableau1[[#This Row],[Manque (digital)]]&gt;Tableau1[[#This Row],[Manque (physique)]],"MarketPlace",""))</f>
        <v>MarketPlace</v>
      </c>
      <c r="J1399" t="s">
        <v>30</v>
      </c>
      <c r="K1399" t="s">
        <v>1708</v>
      </c>
      <c r="L1399" t="s">
        <v>19</v>
      </c>
      <c r="M1399" t="s">
        <v>19</v>
      </c>
      <c r="N1399" t="s">
        <v>19</v>
      </c>
      <c r="O1399" t="s">
        <v>23</v>
      </c>
      <c r="P1399" t="s">
        <v>89</v>
      </c>
      <c r="Q1399" t="s">
        <v>1710</v>
      </c>
    </row>
    <row r="1400" spans="1:17" hidden="1" x14ac:dyDescent="0.25">
      <c r="A1400" t="s">
        <v>1549</v>
      </c>
      <c r="B1400" t="s">
        <v>22</v>
      </c>
      <c r="C1400" t="s">
        <v>25</v>
      </c>
      <c r="D1400" t="s">
        <v>1496</v>
      </c>
      <c r="E1400">
        <v>2</v>
      </c>
      <c r="F1400">
        <f>MAX(-1,3-Tableau1[[#This Row],[Nb possédé (digital)]])</f>
        <v>1</v>
      </c>
      <c r="G1400">
        <v>3</v>
      </c>
      <c r="H1400">
        <f>MAX(-1,3-Tableau1[[#This Row],[Possédé (physique)]])</f>
        <v>0</v>
      </c>
      <c r="I1400" t="str">
        <f>IF(Tableau1[[#This Row],[Manque (physique)]]&gt;Tableau1[[#This Row],[Manque (digital)]],"POD",IF(Tableau1[[#This Row],[Manque (digital)]]&gt;Tableau1[[#This Row],[Manque (physique)]],"MarketPlace",""))</f>
        <v>MarketPlace</v>
      </c>
      <c r="J1400" t="s">
        <v>30</v>
      </c>
      <c r="K1400" t="s">
        <v>42</v>
      </c>
      <c r="L1400" t="s">
        <v>19</v>
      </c>
      <c r="M1400" t="s">
        <v>19</v>
      </c>
      <c r="N1400" t="s">
        <v>20</v>
      </c>
      <c r="O1400" t="s">
        <v>20</v>
      </c>
      <c r="P1400" t="s">
        <v>20</v>
      </c>
      <c r="Q1400" t="s">
        <v>1712</v>
      </c>
    </row>
    <row r="1401" spans="1:17" hidden="1" x14ac:dyDescent="0.25">
      <c r="A1401" t="s">
        <v>1556</v>
      </c>
      <c r="B1401" t="s">
        <v>22</v>
      </c>
      <c r="C1401" t="s">
        <v>25</v>
      </c>
      <c r="D1401" t="s">
        <v>1496</v>
      </c>
      <c r="E1401">
        <v>2</v>
      </c>
      <c r="F1401">
        <f>MAX(-1,3-Tableau1[[#This Row],[Nb possédé (digital)]])</f>
        <v>1</v>
      </c>
      <c r="G1401">
        <v>3</v>
      </c>
      <c r="H1401">
        <f>MAX(-1,3-Tableau1[[#This Row],[Possédé (physique)]])</f>
        <v>0</v>
      </c>
      <c r="I1401" t="str">
        <f>IF(Tableau1[[#This Row],[Manque (physique)]]&gt;Tableau1[[#This Row],[Manque (digital)]],"POD",IF(Tableau1[[#This Row],[Manque (digital)]]&gt;Tableau1[[#This Row],[Manque (physique)]],"MarketPlace",""))</f>
        <v>MarketPlace</v>
      </c>
      <c r="J1401" t="s">
        <v>30</v>
      </c>
      <c r="K1401" t="s">
        <v>111</v>
      </c>
      <c r="L1401" t="s">
        <v>19</v>
      </c>
      <c r="M1401" t="s">
        <v>19</v>
      </c>
      <c r="N1401" t="s">
        <v>19</v>
      </c>
      <c r="O1401" t="s">
        <v>19</v>
      </c>
      <c r="P1401" t="s">
        <v>19</v>
      </c>
      <c r="Q1401" t="s">
        <v>1729</v>
      </c>
    </row>
    <row r="1402" spans="1:17" hidden="1" x14ac:dyDescent="0.25">
      <c r="A1402" t="s">
        <v>1567</v>
      </c>
      <c r="B1402" t="s">
        <v>22</v>
      </c>
      <c r="C1402" t="s">
        <v>25</v>
      </c>
      <c r="D1402" t="s">
        <v>1496</v>
      </c>
      <c r="E1402">
        <v>2</v>
      </c>
      <c r="F1402">
        <f>MAX(-1,3-Tableau1[[#This Row],[Nb possédé (digital)]])</f>
        <v>1</v>
      </c>
      <c r="G1402">
        <v>3</v>
      </c>
      <c r="H1402">
        <f>MAX(-1,3-Tableau1[[#This Row],[Possédé (physique)]])</f>
        <v>0</v>
      </c>
      <c r="I1402" t="str">
        <f>IF(Tableau1[[#This Row],[Manque (physique)]]&gt;Tableau1[[#This Row],[Manque (digital)]],"POD",IF(Tableau1[[#This Row],[Manque (digital)]]&gt;Tableau1[[#This Row],[Manque (physique)]],"MarketPlace",""))</f>
        <v>MarketPlace</v>
      </c>
      <c r="J1402" t="s">
        <v>30</v>
      </c>
      <c r="K1402" t="s">
        <v>68</v>
      </c>
      <c r="L1402" t="s">
        <v>19</v>
      </c>
      <c r="M1402" t="s">
        <v>19</v>
      </c>
      <c r="N1402" t="s">
        <v>23</v>
      </c>
      <c r="O1402" t="s">
        <v>89</v>
      </c>
      <c r="P1402" t="s">
        <v>23</v>
      </c>
      <c r="Q1402" t="s">
        <v>1751</v>
      </c>
    </row>
    <row r="1403" spans="1:17" hidden="1" x14ac:dyDescent="0.25">
      <c r="A1403" t="s">
        <v>1580</v>
      </c>
      <c r="B1403" t="s">
        <v>22</v>
      </c>
      <c r="C1403" t="s">
        <v>25</v>
      </c>
      <c r="D1403" t="s">
        <v>1496</v>
      </c>
      <c r="E1403">
        <v>3</v>
      </c>
      <c r="F1403">
        <f>MAX(-1,3-Tableau1[[#This Row],[Nb possédé (digital)]])</f>
        <v>0</v>
      </c>
      <c r="G1403">
        <v>3</v>
      </c>
      <c r="H1403">
        <f>MAX(-1,3-Tableau1[[#This Row],[Possédé (physique)]])</f>
        <v>0</v>
      </c>
      <c r="I1403" t="str">
        <f>IF(Tableau1[[#This Row],[Manque (physique)]]&gt;Tableau1[[#This Row],[Manque (digital)]],"POD",IF(Tableau1[[#This Row],[Manque (digital)]]&gt;Tableau1[[#This Row],[Manque (physique)]],"MarketPlace",""))</f>
        <v/>
      </c>
      <c r="J1403" t="s">
        <v>268</v>
      </c>
      <c r="K1403" t="s">
        <v>269</v>
      </c>
      <c r="L1403" t="s">
        <v>19</v>
      </c>
      <c r="M1403" t="s">
        <v>19</v>
      </c>
      <c r="Q1403" t="s">
        <v>1783</v>
      </c>
    </row>
    <row r="1404" spans="1:17" hidden="1" x14ac:dyDescent="0.25">
      <c r="A1404" t="s">
        <v>1588</v>
      </c>
      <c r="B1404" t="s">
        <v>22</v>
      </c>
      <c r="C1404" t="s">
        <v>25</v>
      </c>
      <c r="D1404" t="s">
        <v>1496</v>
      </c>
      <c r="E1404">
        <v>1</v>
      </c>
      <c r="F1404">
        <f>MAX(-1,3-Tableau1[[#This Row],[Nb possédé (digital)]])</f>
        <v>2</v>
      </c>
      <c r="G1404">
        <v>3</v>
      </c>
      <c r="H1404">
        <f>MAX(-1,3-Tableau1[[#This Row],[Possédé (physique)]])</f>
        <v>0</v>
      </c>
      <c r="I1404" t="str">
        <f>IF(Tableau1[[#This Row],[Manque (physique)]]&gt;Tableau1[[#This Row],[Manque (digital)]],"POD",IF(Tableau1[[#This Row],[Manque (digital)]]&gt;Tableau1[[#This Row],[Manque (physique)]],"MarketPlace",""))</f>
        <v>MarketPlace</v>
      </c>
      <c r="J1404" t="s">
        <v>30</v>
      </c>
      <c r="K1404" t="s">
        <v>1801</v>
      </c>
      <c r="L1404" t="s">
        <v>19</v>
      </c>
      <c r="M1404" t="s">
        <v>19</v>
      </c>
      <c r="N1404" t="s">
        <v>20</v>
      </c>
      <c r="O1404" t="s">
        <v>20</v>
      </c>
      <c r="P1404" t="s">
        <v>20</v>
      </c>
      <c r="Q1404" t="s">
        <v>1803</v>
      </c>
    </row>
    <row r="1405" spans="1:17" hidden="1" x14ac:dyDescent="0.25">
      <c r="A1405" t="s">
        <v>1508</v>
      </c>
      <c r="B1405" t="s">
        <v>22</v>
      </c>
      <c r="C1405" t="s">
        <v>25</v>
      </c>
      <c r="D1405" t="s">
        <v>1496</v>
      </c>
      <c r="E1405">
        <v>0</v>
      </c>
      <c r="F1405">
        <f>MAX(-1,3-Tableau1[[#This Row],[Nb possédé (digital)]])</f>
        <v>3</v>
      </c>
      <c r="G1405">
        <v>3</v>
      </c>
      <c r="H1405">
        <f>MAX(-1,3-Tableau1[[#This Row],[Possédé (physique)]])</f>
        <v>0</v>
      </c>
      <c r="I1405" t="str">
        <f>IF(Tableau1[[#This Row],[Manque (physique)]]&gt;Tableau1[[#This Row],[Manque (digital)]],"POD",IF(Tableau1[[#This Row],[Manque (digital)]]&gt;Tableau1[[#This Row],[Manque (physique)]],"MarketPlace",""))</f>
        <v>MarketPlace</v>
      </c>
      <c r="J1405" t="s">
        <v>30</v>
      </c>
      <c r="K1405" t="s">
        <v>1623</v>
      </c>
      <c r="L1405" t="s">
        <v>19</v>
      </c>
      <c r="M1405" t="s">
        <v>23</v>
      </c>
      <c r="N1405" t="s">
        <v>89</v>
      </c>
      <c r="O1405" t="s">
        <v>23</v>
      </c>
      <c r="P1405" t="s">
        <v>23</v>
      </c>
      <c r="Q1405" t="s">
        <v>1627</v>
      </c>
    </row>
    <row r="1406" spans="1:17" hidden="1" x14ac:dyDescent="0.25">
      <c r="A1406" t="s">
        <v>1582</v>
      </c>
      <c r="B1406" t="s">
        <v>22</v>
      </c>
      <c r="C1406" t="s">
        <v>25</v>
      </c>
      <c r="D1406" t="s">
        <v>1496</v>
      </c>
      <c r="E1406">
        <v>2</v>
      </c>
      <c r="F1406">
        <f>MAX(-1,3-Tableau1[[#This Row],[Nb possédé (digital)]])</f>
        <v>1</v>
      </c>
      <c r="G1406">
        <v>3</v>
      </c>
      <c r="H1406">
        <f>MAX(-1,3-Tableau1[[#This Row],[Possédé (physique)]])</f>
        <v>0</v>
      </c>
      <c r="I1406" t="str">
        <f>IF(Tableau1[[#This Row],[Manque (physique)]]&gt;Tableau1[[#This Row],[Manque (digital)]],"POD",IF(Tableau1[[#This Row],[Manque (digital)]]&gt;Tableau1[[#This Row],[Manque (physique)]],"MarketPlace",""))</f>
        <v>MarketPlace</v>
      </c>
      <c r="J1406" t="s">
        <v>30</v>
      </c>
      <c r="K1406" t="s">
        <v>68</v>
      </c>
      <c r="L1406" t="s">
        <v>23</v>
      </c>
      <c r="M1406" t="s">
        <v>19</v>
      </c>
      <c r="N1406" t="s">
        <v>19</v>
      </c>
      <c r="O1406" t="s">
        <v>19</v>
      </c>
      <c r="P1406" t="s">
        <v>19</v>
      </c>
      <c r="Q1406" t="s">
        <v>1787</v>
      </c>
    </row>
    <row r="1407" spans="1:17" hidden="1" x14ac:dyDescent="0.25">
      <c r="A1407" t="s">
        <v>1520</v>
      </c>
      <c r="B1407" t="s">
        <v>22</v>
      </c>
      <c r="C1407" t="s">
        <v>25</v>
      </c>
      <c r="D1407" t="s">
        <v>1496</v>
      </c>
      <c r="E1407">
        <v>0</v>
      </c>
      <c r="F1407">
        <f>MAX(-1,3-Tableau1[[#This Row],[Nb possédé (digital)]])</f>
        <v>3</v>
      </c>
      <c r="G1407">
        <v>3</v>
      </c>
      <c r="H1407">
        <f>MAX(-1,3-Tableau1[[#This Row],[Possédé (physique)]])</f>
        <v>0</v>
      </c>
      <c r="I1407" t="str">
        <f>IF(Tableau1[[#This Row],[Manque (physique)]]&gt;Tableau1[[#This Row],[Manque (digital)]],"POD",IF(Tableau1[[#This Row],[Manque (digital)]]&gt;Tableau1[[#This Row],[Manque (physique)]],"MarketPlace",""))</f>
        <v>MarketPlace</v>
      </c>
      <c r="J1407" t="s">
        <v>30</v>
      </c>
      <c r="K1407" t="s">
        <v>72</v>
      </c>
      <c r="L1407" t="s">
        <v>23</v>
      </c>
      <c r="M1407" t="s">
        <v>23</v>
      </c>
      <c r="N1407" t="s">
        <v>19</v>
      </c>
      <c r="O1407" t="s">
        <v>23</v>
      </c>
      <c r="P1407" t="s">
        <v>23</v>
      </c>
      <c r="Q1407" t="s">
        <v>1650</v>
      </c>
    </row>
    <row r="1408" spans="1:17" hidden="1" x14ac:dyDescent="0.25">
      <c r="A1408" t="s">
        <v>1532</v>
      </c>
      <c r="B1408" t="s">
        <v>22</v>
      </c>
      <c r="C1408" t="s">
        <v>25</v>
      </c>
      <c r="D1408" t="s">
        <v>1496</v>
      </c>
      <c r="E1408">
        <v>2</v>
      </c>
      <c r="F1408">
        <f>MAX(-1,3-Tableau1[[#This Row],[Nb possédé (digital)]])</f>
        <v>1</v>
      </c>
      <c r="G1408">
        <v>3</v>
      </c>
      <c r="H1408">
        <f>MAX(-1,3-Tableau1[[#This Row],[Possédé (physique)]])</f>
        <v>0</v>
      </c>
      <c r="I1408" t="str">
        <f>IF(Tableau1[[#This Row],[Manque (physique)]]&gt;Tableau1[[#This Row],[Manque (digital)]],"POD",IF(Tableau1[[#This Row],[Manque (digital)]]&gt;Tableau1[[#This Row],[Manque (physique)]],"MarketPlace",""))</f>
        <v>MarketPlace</v>
      </c>
      <c r="J1408" t="s">
        <v>30</v>
      </c>
      <c r="K1408" t="s">
        <v>1601</v>
      </c>
      <c r="L1408" t="s">
        <v>23</v>
      </c>
      <c r="M1408" t="s">
        <v>23</v>
      </c>
      <c r="N1408" t="s">
        <v>23</v>
      </c>
      <c r="O1408" t="s">
        <v>23</v>
      </c>
      <c r="P1408" t="s">
        <v>89</v>
      </c>
      <c r="Q1408" t="s">
        <v>1677</v>
      </c>
    </row>
    <row r="1409" spans="1:17" hidden="1" x14ac:dyDescent="0.25">
      <c r="A1409" t="s">
        <v>1547</v>
      </c>
      <c r="B1409" t="s">
        <v>22</v>
      </c>
      <c r="C1409" t="s">
        <v>25</v>
      </c>
      <c r="D1409" t="s">
        <v>1496</v>
      </c>
      <c r="E1409">
        <v>1</v>
      </c>
      <c r="F1409">
        <f>MAX(-1,3-Tableau1[[#This Row],[Nb possédé (digital)]])</f>
        <v>2</v>
      </c>
      <c r="G1409">
        <v>3</v>
      </c>
      <c r="H1409">
        <f>MAX(-1,3-Tableau1[[#This Row],[Possédé (physique)]])</f>
        <v>0</v>
      </c>
      <c r="I1409" t="str">
        <f>IF(Tableau1[[#This Row],[Manque (physique)]]&gt;Tableau1[[#This Row],[Manque (digital)]],"POD",IF(Tableau1[[#This Row],[Manque (digital)]]&gt;Tableau1[[#This Row],[Manque (physique)]],"MarketPlace",""))</f>
        <v>MarketPlace</v>
      </c>
      <c r="J1409" t="s">
        <v>30</v>
      </c>
      <c r="K1409" t="s">
        <v>42</v>
      </c>
      <c r="L1409" t="s">
        <v>23</v>
      </c>
      <c r="M1409" t="s">
        <v>23</v>
      </c>
      <c r="N1409" t="s">
        <v>19</v>
      </c>
      <c r="O1409" t="s">
        <v>23</v>
      </c>
      <c r="P1409" t="s">
        <v>19</v>
      </c>
      <c r="Q1409" t="s">
        <v>1707</v>
      </c>
    </row>
    <row r="1410" spans="1:17" hidden="1" x14ac:dyDescent="0.25">
      <c r="A1410" t="s">
        <v>1575</v>
      </c>
      <c r="B1410" t="s">
        <v>22</v>
      </c>
      <c r="C1410" t="s">
        <v>25</v>
      </c>
      <c r="D1410" t="s">
        <v>1496</v>
      </c>
      <c r="E1410">
        <v>0</v>
      </c>
      <c r="F1410">
        <f>MAX(-1,3-Tableau1[[#This Row],[Nb possédé (digital)]])</f>
        <v>3</v>
      </c>
      <c r="G1410">
        <v>3</v>
      </c>
      <c r="H1410">
        <f>MAX(-1,3-Tableau1[[#This Row],[Possédé (physique)]])</f>
        <v>0</v>
      </c>
      <c r="I1410" t="str">
        <f>IF(Tableau1[[#This Row],[Manque (physique)]]&gt;Tableau1[[#This Row],[Manque (digital)]],"POD",IF(Tableau1[[#This Row],[Manque (digital)]]&gt;Tableau1[[#This Row],[Manque (physique)]],"MarketPlace",""))</f>
        <v>MarketPlace</v>
      </c>
      <c r="J1410" t="s">
        <v>30</v>
      </c>
      <c r="K1410" t="s">
        <v>68</v>
      </c>
      <c r="L1410" t="s">
        <v>23</v>
      </c>
      <c r="M1410" t="s">
        <v>23</v>
      </c>
      <c r="N1410" t="s">
        <v>19</v>
      </c>
      <c r="O1410" t="s">
        <v>19</v>
      </c>
      <c r="P1410" t="s">
        <v>23</v>
      </c>
      <c r="Q1410" t="s">
        <v>1769</v>
      </c>
    </row>
    <row r="1411" spans="1:17" hidden="1" x14ac:dyDescent="0.25">
      <c r="A1411" t="s">
        <v>1568</v>
      </c>
      <c r="B1411" t="s">
        <v>22</v>
      </c>
      <c r="C1411" t="s">
        <v>25</v>
      </c>
      <c r="D1411" t="s">
        <v>1496</v>
      </c>
      <c r="E1411">
        <v>2</v>
      </c>
      <c r="F1411">
        <f>MAX(-1,3-Tableau1[[#This Row],[Nb possédé (digital)]])</f>
        <v>1</v>
      </c>
      <c r="G1411">
        <v>3</v>
      </c>
      <c r="H1411">
        <f>MAX(-1,3-Tableau1[[#This Row],[Possédé (physique)]])</f>
        <v>0</v>
      </c>
      <c r="I1411" t="str">
        <f>IF(Tableau1[[#This Row],[Manque (physique)]]&gt;Tableau1[[#This Row],[Manque (digital)]],"POD",IF(Tableau1[[#This Row],[Manque (digital)]]&gt;Tableau1[[#This Row],[Manque (physique)]],"MarketPlace",""))</f>
        <v>MarketPlace</v>
      </c>
      <c r="J1411" t="s">
        <v>17</v>
      </c>
      <c r="K1411" t="s">
        <v>824</v>
      </c>
      <c r="L1411" t="s">
        <v>23</v>
      </c>
      <c r="M1411" t="s">
        <v>23</v>
      </c>
      <c r="Q1411" t="s">
        <v>1753</v>
      </c>
    </row>
    <row r="1412" spans="1:17" hidden="1" x14ac:dyDescent="0.25">
      <c r="A1412" t="s">
        <v>1581</v>
      </c>
      <c r="B1412" t="s">
        <v>22</v>
      </c>
      <c r="C1412" t="s">
        <v>25</v>
      </c>
      <c r="D1412" t="s">
        <v>1496</v>
      </c>
      <c r="E1412">
        <v>2</v>
      </c>
      <c r="F1412">
        <f>MAX(-1,3-Tableau1[[#This Row],[Nb possédé (digital)]])</f>
        <v>1</v>
      </c>
      <c r="G1412">
        <v>3</v>
      </c>
      <c r="H1412">
        <f>MAX(-1,3-Tableau1[[#This Row],[Possédé (physique)]])</f>
        <v>0</v>
      </c>
      <c r="I1412" t="str">
        <f>IF(Tableau1[[#This Row],[Manque (physique)]]&gt;Tableau1[[#This Row],[Manque (digital)]],"POD",IF(Tableau1[[#This Row],[Manque (digital)]]&gt;Tableau1[[#This Row],[Manque (physique)]],"MarketPlace",""))</f>
        <v>MarketPlace</v>
      </c>
      <c r="J1412" t="s">
        <v>30</v>
      </c>
      <c r="K1412" t="s">
        <v>36</v>
      </c>
      <c r="L1412" t="s">
        <v>23</v>
      </c>
      <c r="M1412" t="s">
        <v>23</v>
      </c>
      <c r="N1412" t="s">
        <v>23</v>
      </c>
      <c r="O1412" t="s">
        <v>23</v>
      </c>
      <c r="P1412" t="s">
        <v>23</v>
      </c>
      <c r="Q1412" t="s">
        <v>1785</v>
      </c>
    </row>
    <row r="1413" spans="1:17" hidden="1" x14ac:dyDescent="0.25">
      <c r="A1413" t="s">
        <v>1591</v>
      </c>
      <c r="B1413" t="s">
        <v>22</v>
      </c>
      <c r="C1413" t="s">
        <v>25</v>
      </c>
      <c r="D1413" t="s">
        <v>1496</v>
      </c>
      <c r="E1413">
        <v>2</v>
      </c>
      <c r="F1413">
        <f>MAX(-1,3-Tableau1[[#This Row],[Nb possédé (digital)]])</f>
        <v>1</v>
      </c>
      <c r="G1413">
        <v>3</v>
      </c>
      <c r="H1413">
        <f>MAX(-1,3-Tableau1[[#This Row],[Possédé (physique)]])</f>
        <v>0</v>
      </c>
      <c r="I1413" t="str">
        <f>IF(Tableau1[[#This Row],[Manque (physique)]]&gt;Tableau1[[#This Row],[Manque (digital)]],"POD",IF(Tableau1[[#This Row],[Manque (digital)]]&gt;Tableau1[[#This Row],[Manque (physique)]],"MarketPlace",""))</f>
        <v>MarketPlace</v>
      </c>
      <c r="J1413" t="s">
        <v>30</v>
      </c>
      <c r="K1413" t="s">
        <v>1623</v>
      </c>
      <c r="L1413" t="s">
        <v>23</v>
      </c>
      <c r="M1413" t="s">
        <v>23</v>
      </c>
      <c r="N1413" t="s">
        <v>23</v>
      </c>
      <c r="O1413" t="s">
        <v>23</v>
      </c>
      <c r="P1413" t="s">
        <v>23</v>
      </c>
      <c r="Q1413" t="s">
        <v>1809</v>
      </c>
    </row>
    <row r="1414" spans="1:17" hidden="1" x14ac:dyDescent="0.25">
      <c r="A1414" t="s">
        <v>1524</v>
      </c>
      <c r="B1414" t="s">
        <v>22</v>
      </c>
      <c r="C1414" t="s">
        <v>25</v>
      </c>
      <c r="D1414" t="s">
        <v>1496</v>
      </c>
      <c r="E1414">
        <v>0</v>
      </c>
      <c r="F1414">
        <f>MAX(-1,3-Tableau1[[#This Row],[Nb possédé (digital)]])</f>
        <v>3</v>
      </c>
      <c r="G1414">
        <v>3</v>
      </c>
      <c r="H1414">
        <f>MAX(-1,3-Tableau1[[#This Row],[Possédé (physique)]])</f>
        <v>0</v>
      </c>
      <c r="I1414" t="str">
        <f>IF(Tableau1[[#This Row],[Manque (physique)]]&gt;Tableau1[[#This Row],[Manque (digital)]],"POD",IF(Tableau1[[#This Row],[Manque (digital)]]&gt;Tableau1[[#This Row],[Manque (physique)]],"MarketPlace",""))</f>
        <v>MarketPlace</v>
      </c>
      <c r="J1414" t="s">
        <v>17</v>
      </c>
      <c r="K1414" t="s">
        <v>824</v>
      </c>
      <c r="L1414" t="s">
        <v>52</v>
      </c>
      <c r="M1414" t="s">
        <v>52</v>
      </c>
      <c r="Q1414" t="s">
        <v>1659</v>
      </c>
    </row>
    <row r="1415" spans="1:17" hidden="1" x14ac:dyDescent="0.25">
      <c r="A1415" t="s">
        <v>1541</v>
      </c>
      <c r="B1415" t="s">
        <v>22</v>
      </c>
      <c r="C1415" t="s">
        <v>25</v>
      </c>
      <c r="D1415" t="s">
        <v>1496</v>
      </c>
      <c r="E1415">
        <v>1</v>
      </c>
      <c r="F1415">
        <f>MAX(-1,3-Tableau1[[#This Row],[Nb possédé (digital)]])</f>
        <v>2</v>
      </c>
      <c r="G1415">
        <v>3</v>
      </c>
      <c r="H1415">
        <f>MAX(-1,3-Tableau1[[#This Row],[Possédé (physique)]])</f>
        <v>0</v>
      </c>
      <c r="I1415" t="str">
        <f>IF(Tableau1[[#This Row],[Manque (physique)]]&gt;Tableau1[[#This Row],[Manque (digital)]],"POD",IF(Tableau1[[#This Row],[Manque (digital)]]&gt;Tableau1[[#This Row],[Manque (physique)]],"MarketPlace",""))</f>
        <v>MarketPlace</v>
      </c>
      <c r="J1415" t="s">
        <v>268</v>
      </c>
      <c r="K1415" t="s">
        <v>269</v>
      </c>
      <c r="L1415" t="s">
        <v>52</v>
      </c>
      <c r="M1415" t="s">
        <v>52</v>
      </c>
      <c r="Q1415" t="s">
        <v>1694</v>
      </c>
    </row>
    <row r="1416" spans="1:17" x14ac:dyDescent="0.25">
      <c r="A1416" t="s">
        <v>1574</v>
      </c>
      <c r="B1416" t="s">
        <v>22</v>
      </c>
      <c r="C1416" t="s">
        <v>25</v>
      </c>
      <c r="D1416" t="s">
        <v>1496</v>
      </c>
      <c r="E1416">
        <v>4</v>
      </c>
      <c r="F1416">
        <f>MAX(-1,3-Tableau1[[#This Row],[Nb possédé (digital)]])</f>
        <v>-1</v>
      </c>
      <c r="G1416">
        <v>4</v>
      </c>
      <c r="H1416">
        <f>MAX(-1,3-Tableau1[[#This Row],[Possédé (physique)]])</f>
        <v>-1</v>
      </c>
      <c r="I1416" t="str">
        <f>IF(Tableau1[[#This Row],[Manque (physique)]]&gt;Tableau1[[#This Row],[Manque (digital)]],"POD",IF(Tableau1[[#This Row],[Manque (digital)]]&gt;Tableau1[[#This Row],[Manque (physique)]],"MarketPlace",""))</f>
        <v/>
      </c>
      <c r="J1416" t="s">
        <v>17</v>
      </c>
      <c r="K1416" t="s">
        <v>153</v>
      </c>
      <c r="L1416" t="s">
        <v>52</v>
      </c>
      <c r="M1416" t="s">
        <v>52</v>
      </c>
      <c r="Q1416" t="s">
        <v>1767</v>
      </c>
    </row>
    <row r="1417" spans="1:17" hidden="1" x14ac:dyDescent="0.25">
      <c r="A1417" t="s">
        <v>1576</v>
      </c>
      <c r="B1417" t="s">
        <v>22</v>
      </c>
      <c r="C1417" t="s">
        <v>25</v>
      </c>
      <c r="D1417" t="s">
        <v>1496</v>
      </c>
      <c r="E1417">
        <v>2</v>
      </c>
      <c r="F1417">
        <f>MAX(-1,3-Tableau1[[#This Row],[Nb possédé (digital)]])</f>
        <v>1</v>
      </c>
      <c r="G1417">
        <v>3</v>
      </c>
      <c r="H1417">
        <f>MAX(-1,3-Tableau1[[#This Row],[Possédé (physique)]])</f>
        <v>0</v>
      </c>
      <c r="I1417" t="str">
        <f>IF(Tableau1[[#This Row],[Manque (physique)]]&gt;Tableau1[[#This Row],[Manque (digital)]],"POD",IF(Tableau1[[#This Row],[Manque (digital)]]&gt;Tableau1[[#This Row],[Manque (physique)]],"MarketPlace",""))</f>
        <v>MarketPlace</v>
      </c>
      <c r="J1417" t="s">
        <v>30</v>
      </c>
      <c r="K1417" t="s">
        <v>68</v>
      </c>
      <c r="L1417" t="s">
        <v>52</v>
      </c>
      <c r="M1417" t="s">
        <v>52</v>
      </c>
      <c r="N1417" t="s">
        <v>23</v>
      </c>
      <c r="O1417" t="s">
        <v>23</v>
      </c>
      <c r="P1417" t="s">
        <v>52</v>
      </c>
      <c r="Q1417" t="s">
        <v>1772</v>
      </c>
    </row>
    <row r="1418" spans="1:17" hidden="1" x14ac:dyDescent="0.25">
      <c r="A1418" t="s">
        <v>1542</v>
      </c>
      <c r="B1418" t="s">
        <v>22</v>
      </c>
      <c r="C1418" t="s">
        <v>25</v>
      </c>
      <c r="D1418" t="s">
        <v>1496</v>
      </c>
      <c r="E1418">
        <v>2</v>
      </c>
      <c r="F1418">
        <f>MAX(-1,3-Tableau1[[#This Row],[Nb possédé (digital)]])</f>
        <v>1</v>
      </c>
      <c r="G1418">
        <v>3</v>
      </c>
      <c r="H1418">
        <f>MAX(-1,3-Tableau1[[#This Row],[Possédé (physique)]])</f>
        <v>0</v>
      </c>
      <c r="I1418" t="str">
        <f>IF(Tableau1[[#This Row],[Manque (physique)]]&gt;Tableau1[[#This Row],[Manque (digital)]],"POD",IF(Tableau1[[#This Row],[Manque (digital)]]&gt;Tableau1[[#This Row],[Manque (physique)]],"MarketPlace",""))</f>
        <v>MarketPlace</v>
      </c>
      <c r="J1418" t="s">
        <v>268</v>
      </c>
      <c r="K1418" t="s">
        <v>269</v>
      </c>
      <c r="L1418" t="s">
        <v>37</v>
      </c>
      <c r="M1418" t="s">
        <v>37</v>
      </c>
      <c r="Q1418" t="s">
        <v>1696</v>
      </c>
    </row>
    <row r="1419" spans="1:17" hidden="1" x14ac:dyDescent="0.25">
      <c r="A1419" t="s">
        <v>1583</v>
      </c>
      <c r="B1419" t="s">
        <v>22</v>
      </c>
      <c r="C1419" t="s">
        <v>25</v>
      </c>
      <c r="D1419" t="s">
        <v>1496</v>
      </c>
      <c r="E1419">
        <v>0</v>
      </c>
      <c r="F1419">
        <f>MAX(-1,3-Tableau1[[#This Row],[Nb possédé (digital)]])</f>
        <v>3</v>
      </c>
      <c r="G1419">
        <v>3</v>
      </c>
      <c r="H1419">
        <f>MAX(-1,3-Tableau1[[#This Row],[Possédé (physique)]])</f>
        <v>0</v>
      </c>
      <c r="I1419" t="str">
        <f>IF(Tableau1[[#This Row],[Manque (physique)]]&gt;Tableau1[[#This Row],[Manque (digital)]],"POD",IF(Tableau1[[#This Row],[Manque (digital)]]&gt;Tableau1[[#This Row],[Manque (physique)]],"MarketPlace",""))</f>
        <v>MarketPlace</v>
      </c>
      <c r="J1419" t="s">
        <v>30</v>
      </c>
      <c r="K1419" t="s">
        <v>292</v>
      </c>
      <c r="L1419" t="s">
        <v>37</v>
      </c>
      <c r="M1419" t="s">
        <v>37</v>
      </c>
      <c r="N1419" t="s">
        <v>52</v>
      </c>
      <c r="O1419" t="s">
        <v>52</v>
      </c>
      <c r="P1419" t="s">
        <v>52</v>
      </c>
      <c r="Q1419" t="s">
        <v>1790</v>
      </c>
    </row>
    <row r="1420" spans="1:17" hidden="1" x14ac:dyDescent="0.25">
      <c r="A1420" t="s">
        <v>1828</v>
      </c>
      <c r="B1420" t="s">
        <v>1819</v>
      </c>
      <c r="C1420" t="s">
        <v>1829</v>
      </c>
      <c r="D1420" t="s">
        <v>1496</v>
      </c>
      <c r="E1420">
        <v>2</v>
      </c>
      <c r="F1420">
        <f>MAX(-1,3-Tableau1[[#This Row],[Nb possédé (digital)]])</f>
        <v>1</v>
      </c>
      <c r="G1420">
        <v>2</v>
      </c>
      <c r="H1420">
        <f>MAX(-1,3-Tableau1[[#This Row],[Possédé (physique)]])</f>
        <v>1</v>
      </c>
      <c r="I1420" t="str">
        <f>IF(Tableau1[[#This Row],[Manque (physique)]]&gt;Tableau1[[#This Row],[Manque (digital)]],"POD",IF(Tableau1[[#This Row],[Manque (digital)]]&gt;Tableau1[[#This Row],[Manque (physique)]],"MarketPlace",""))</f>
        <v/>
      </c>
      <c r="J1420" t="s">
        <v>30</v>
      </c>
      <c r="K1420" t="s">
        <v>1830</v>
      </c>
      <c r="L1420">
        <v>6</v>
      </c>
      <c r="M1420">
        <v>6</v>
      </c>
      <c r="N1420">
        <v>0</v>
      </c>
      <c r="O1420">
        <v>0</v>
      </c>
      <c r="P1420">
        <v>0</v>
      </c>
      <c r="Q1420" t="s">
        <v>1831</v>
      </c>
    </row>
    <row r="1421" spans="1:17" hidden="1" x14ac:dyDescent="0.25">
      <c r="A1421" t="s">
        <v>1545</v>
      </c>
      <c r="B1421" t="s">
        <v>22</v>
      </c>
      <c r="C1421" t="s">
        <v>25</v>
      </c>
      <c r="D1421" t="s">
        <v>1496</v>
      </c>
      <c r="E1421">
        <v>2</v>
      </c>
      <c r="F1421">
        <f>MAX(-1,3-Tableau1[[#This Row],[Nb possédé (digital)]])</f>
        <v>1</v>
      </c>
      <c r="G1421">
        <v>3</v>
      </c>
      <c r="H1421">
        <f>MAX(-1,3-Tableau1[[#This Row],[Possédé (physique)]])</f>
        <v>0</v>
      </c>
      <c r="I1421" t="str">
        <f>IF(Tableau1[[#This Row],[Manque (physique)]]&gt;Tableau1[[#This Row],[Manque (digital)]],"POD",IF(Tableau1[[#This Row],[Manque (digital)]]&gt;Tableau1[[#This Row],[Manque (physique)]],"MarketPlace",""))</f>
        <v>MarketPlace</v>
      </c>
      <c r="J1421" t="s">
        <v>268</v>
      </c>
      <c r="K1421" t="s">
        <v>438</v>
      </c>
      <c r="L1421" t="s">
        <v>39</v>
      </c>
      <c r="M1421" t="s">
        <v>39</v>
      </c>
      <c r="Q1421" t="s">
        <v>1702</v>
      </c>
    </row>
    <row r="1422" spans="1:17" hidden="1" x14ac:dyDescent="0.25">
      <c r="A1422" t="s">
        <v>1544</v>
      </c>
      <c r="B1422" t="s">
        <v>22</v>
      </c>
      <c r="C1422" t="s">
        <v>25</v>
      </c>
      <c r="D1422" t="s">
        <v>1496</v>
      </c>
      <c r="E1422">
        <v>2</v>
      </c>
      <c r="F1422">
        <f>MAX(-1,3-Tableau1[[#This Row],[Nb possédé (digital)]])</f>
        <v>1</v>
      </c>
      <c r="G1422">
        <v>3</v>
      </c>
      <c r="H1422">
        <f>MAX(-1,3-Tableau1[[#This Row],[Possédé (physique)]])</f>
        <v>0</v>
      </c>
      <c r="I1422" t="str">
        <f>IF(Tableau1[[#This Row],[Manque (physique)]]&gt;Tableau1[[#This Row],[Manque (digital)]],"POD",IF(Tableau1[[#This Row],[Manque (digital)]]&gt;Tableau1[[#This Row],[Manque (physique)]],"MarketPlace",""))</f>
        <v>MarketPlace</v>
      </c>
      <c r="J1422" t="s">
        <v>268</v>
      </c>
      <c r="K1422" t="s">
        <v>269</v>
      </c>
      <c r="L1422" t="s">
        <v>101</v>
      </c>
      <c r="M1422" t="s">
        <v>101</v>
      </c>
      <c r="Q1422" t="s">
        <v>1700</v>
      </c>
    </row>
    <row r="1423" spans="1:17" hidden="1" x14ac:dyDescent="0.25">
      <c r="A1423" t="s">
        <v>200</v>
      </c>
      <c r="B1423" t="s">
        <v>22</v>
      </c>
      <c r="C1423" t="s">
        <v>25</v>
      </c>
      <c r="D1423" t="s">
        <v>29</v>
      </c>
      <c r="E1423">
        <v>0</v>
      </c>
      <c r="F1423">
        <f>MAX(-1,3-Tableau1[[#This Row],[Nb possédé (digital)]])</f>
        <v>3</v>
      </c>
      <c r="G1423">
        <v>3</v>
      </c>
      <c r="H1423">
        <f>MAX(-1,3-Tableau1[[#This Row],[Possédé (physique)]])</f>
        <v>0</v>
      </c>
      <c r="I1423" t="str">
        <f>IF(Tableau1[[#This Row],[Manque (physique)]]&gt;Tableau1[[#This Row],[Manque (digital)]],"POD",IF(Tableau1[[#This Row],[Manque (digital)]]&gt;Tableau1[[#This Row],[Manque (physique)]],"MarketPlace",""))</f>
        <v>MarketPlace</v>
      </c>
      <c r="J1423" t="s">
        <v>17</v>
      </c>
      <c r="K1423" t="s">
        <v>201</v>
      </c>
      <c r="L1423" t="s">
        <v>20</v>
      </c>
      <c r="M1423" t="s">
        <v>19</v>
      </c>
      <c r="Q1423" t="s">
        <v>203</v>
      </c>
    </row>
    <row r="1424" spans="1:17" hidden="1" x14ac:dyDescent="0.25">
      <c r="A1424" t="s">
        <v>349</v>
      </c>
      <c r="B1424" t="s">
        <v>22</v>
      </c>
      <c r="C1424" t="s">
        <v>25</v>
      </c>
      <c r="D1424" t="s">
        <v>29</v>
      </c>
      <c r="E1424">
        <v>0</v>
      </c>
      <c r="F1424">
        <f>MAX(-1,3-Tableau1[[#This Row],[Nb possédé (digital)]])</f>
        <v>3</v>
      </c>
      <c r="G1424">
        <v>3</v>
      </c>
      <c r="H1424">
        <f>MAX(-1,3-Tableau1[[#This Row],[Possédé (physique)]])</f>
        <v>0</v>
      </c>
      <c r="I1424" t="str">
        <f>IF(Tableau1[[#This Row],[Manque (physique)]]&gt;Tableau1[[#This Row],[Manque (digital)]],"POD",IF(Tableau1[[#This Row],[Manque (digital)]]&gt;Tableau1[[#This Row],[Manque (physique)]],"MarketPlace",""))</f>
        <v>MarketPlace</v>
      </c>
      <c r="J1424" t="s">
        <v>30</v>
      </c>
      <c r="K1424" t="s">
        <v>350</v>
      </c>
      <c r="L1424" t="s">
        <v>20</v>
      </c>
      <c r="M1424" t="s">
        <v>19</v>
      </c>
      <c r="N1424" t="s">
        <v>20</v>
      </c>
      <c r="O1424" t="s">
        <v>20</v>
      </c>
      <c r="P1424" t="s">
        <v>20</v>
      </c>
      <c r="Q1424" t="s">
        <v>352</v>
      </c>
    </row>
    <row r="1425" spans="1:17" hidden="1" x14ac:dyDescent="0.25">
      <c r="A1425" t="s">
        <v>178</v>
      </c>
      <c r="B1425" t="s">
        <v>22</v>
      </c>
      <c r="C1425" t="s">
        <v>25</v>
      </c>
      <c r="D1425" t="s">
        <v>29</v>
      </c>
      <c r="E1425">
        <v>1</v>
      </c>
      <c r="F1425">
        <f>MAX(-1,3-Tableau1[[#This Row],[Nb possédé (digital)]])</f>
        <v>2</v>
      </c>
      <c r="G1425">
        <v>3</v>
      </c>
      <c r="H1425">
        <f>MAX(-1,3-Tableau1[[#This Row],[Possédé (physique)]])</f>
        <v>0</v>
      </c>
      <c r="I1425" t="str">
        <f>IF(Tableau1[[#This Row],[Manque (physique)]]&gt;Tableau1[[#This Row],[Manque (digital)]],"POD",IF(Tableau1[[#This Row],[Manque (digital)]]&gt;Tableau1[[#This Row],[Manque (physique)]],"MarketPlace",""))</f>
        <v>MarketPlace</v>
      </c>
      <c r="J1425" t="s">
        <v>30</v>
      </c>
      <c r="K1425" t="s">
        <v>179</v>
      </c>
      <c r="L1425" t="s">
        <v>20</v>
      </c>
      <c r="M1425" t="s">
        <v>23</v>
      </c>
      <c r="N1425" t="s">
        <v>20</v>
      </c>
      <c r="O1425" t="s">
        <v>20</v>
      </c>
      <c r="P1425" t="s">
        <v>20</v>
      </c>
      <c r="Q1425" t="s">
        <v>181</v>
      </c>
    </row>
    <row r="1426" spans="1:17" hidden="1" x14ac:dyDescent="0.25">
      <c r="A1426" t="s">
        <v>301</v>
      </c>
      <c r="B1426" t="s">
        <v>22</v>
      </c>
      <c r="C1426" t="s">
        <v>25</v>
      </c>
      <c r="D1426" t="s">
        <v>29</v>
      </c>
      <c r="E1426">
        <v>2</v>
      </c>
      <c r="F1426">
        <f>MAX(-1,3-Tableau1[[#This Row],[Nb possédé (digital)]])</f>
        <v>1</v>
      </c>
      <c r="G1426">
        <v>3</v>
      </c>
      <c r="H1426">
        <f>MAX(-1,3-Tableau1[[#This Row],[Possédé (physique)]])</f>
        <v>0</v>
      </c>
      <c r="I1426" t="str">
        <f>IF(Tableau1[[#This Row],[Manque (physique)]]&gt;Tableau1[[#This Row],[Manque (digital)]],"POD",IF(Tableau1[[#This Row],[Manque (digital)]]&gt;Tableau1[[#This Row],[Manque (physique)]],"MarketPlace",""))</f>
        <v>MarketPlace</v>
      </c>
      <c r="J1426" t="s">
        <v>30</v>
      </c>
      <c r="K1426" t="s">
        <v>79</v>
      </c>
      <c r="L1426" t="s">
        <v>20</v>
      </c>
      <c r="M1426" t="s">
        <v>23</v>
      </c>
      <c r="N1426" t="s">
        <v>20</v>
      </c>
      <c r="O1426" t="s">
        <v>20</v>
      </c>
      <c r="P1426" t="s">
        <v>20</v>
      </c>
      <c r="Q1426" t="s">
        <v>302</v>
      </c>
    </row>
    <row r="1427" spans="1:17" hidden="1" x14ac:dyDescent="0.25">
      <c r="A1427" t="s">
        <v>221</v>
      </c>
      <c r="B1427" t="s">
        <v>22</v>
      </c>
      <c r="C1427" t="s">
        <v>25</v>
      </c>
      <c r="D1427" t="s">
        <v>29</v>
      </c>
      <c r="E1427">
        <v>1</v>
      </c>
      <c r="F1427">
        <f>MAX(-1,3-Tableau1[[#This Row],[Nb possédé (digital)]])</f>
        <v>2</v>
      </c>
      <c r="G1427">
        <v>3</v>
      </c>
      <c r="H1427">
        <f>MAX(-1,3-Tableau1[[#This Row],[Possédé (physique)]])</f>
        <v>0</v>
      </c>
      <c r="I1427" t="str">
        <f>IF(Tableau1[[#This Row],[Manque (physique)]]&gt;Tableau1[[#This Row],[Manque (digital)]],"POD",IF(Tableau1[[#This Row],[Manque (digital)]]&gt;Tableau1[[#This Row],[Manque (physique)]],"MarketPlace",""))</f>
        <v>MarketPlace</v>
      </c>
      <c r="J1427" t="s">
        <v>116</v>
      </c>
      <c r="K1427" t="s">
        <v>117</v>
      </c>
      <c r="L1427" t="s">
        <v>19</v>
      </c>
      <c r="M1427" t="s">
        <v>19</v>
      </c>
      <c r="Q1427" t="s">
        <v>224</v>
      </c>
    </row>
    <row r="1428" spans="1:17" hidden="1" x14ac:dyDescent="0.25">
      <c r="A1428" t="s">
        <v>274</v>
      </c>
      <c r="B1428" t="s">
        <v>22</v>
      </c>
      <c r="C1428" t="s">
        <v>25</v>
      </c>
      <c r="D1428" t="s">
        <v>29</v>
      </c>
      <c r="E1428">
        <v>2</v>
      </c>
      <c r="F1428">
        <f>MAX(-1,3-Tableau1[[#This Row],[Nb possédé (digital)]])</f>
        <v>1</v>
      </c>
      <c r="G1428">
        <v>3</v>
      </c>
      <c r="H1428">
        <f>MAX(-1,3-Tableau1[[#This Row],[Possédé (physique)]])</f>
        <v>0</v>
      </c>
      <c r="I1428" t="str">
        <f>IF(Tableau1[[#This Row],[Manque (physique)]]&gt;Tableau1[[#This Row],[Manque (digital)]],"POD",IF(Tableau1[[#This Row],[Manque (digital)]]&gt;Tableau1[[#This Row],[Manque (physique)]],"MarketPlace",""))</f>
        <v>MarketPlace</v>
      </c>
      <c r="J1428" t="s">
        <v>30</v>
      </c>
      <c r="K1428" t="s">
        <v>107</v>
      </c>
      <c r="L1428" t="s">
        <v>19</v>
      </c>
      <c r="M1428" t="s">
        <v>19</v>
      </c>
      <c r="N1428" t="s">
        <v>20</v>
      </c>
      <c r="O1428" t="s">
        <v>20</v>
      </c>
      <c r="P1428" t="s">
        <v>20</v>
      </c>
      <c r="Q1428" t="s">
        <v>277</v>
      </c>
    </row>
    <row r="1429" spans="1:17" hidden="1" x14ac:dyDescent="0.25">
      <c r="A1429" t="s">
        <v>286</v>
      </c>
      <c r="B1429" t="s">
        <v>22</v>
      </c>
      <c r="C1429" t="s">
        <v>25</v>
      </c>
      <c r="D1429" t="s">
        <v>29</v>
      </c>
      <c r="E1429">
        <v>1</v>
      </c>
      <c r="F1429">
        <f>MAX(-1,3-Tableau1[[#This Row],[Nb possédé (digital)]])</f>
        <v>2</v>
      </c>
      <c r="G1429">
        <v>3</v>
      </c>
      <c r="H1429">
        <f>MAX(-1,3-Tableau1[[#This Row],[Possédé (physique)]])</f>
        <v>0</v>
      </c>
      <c r="I1429" t="str">
        <f>IF(Tableau1[[#This Row],[Manque (physique)]]&gt;Tableau1[[#This Row],[Manque (digital)]],"POD",IF(Tableau1[[#This Row],[Manque (digital)]]&gt;Tableau1[[#This Row],[Manque (physique)]],"MarketPlace",""))</f>
        <v>MarketPlace</v>
      </c>
      <c r="J1429" t="s">
        <v>17</v>
      </c>
      <c r="K1429" t="s">
        <v>201</v>
      </c>
      <c r="L1429" t="s">
        <v>19</v>
      </c>
      <c r="M1429" t="s">
        <v>19</v>
      </c>
      <c r="Q1429" t="s">
        <v>288</v>
      </c>
    </row>
    <row r="1430" spans="1:17" hidden="1" x14ac:dyDescent="0.25">
      <c r="A1430" t="s">
        <v>952</v>
      </c>
      <c r="B1430" t="s">
        <v>22</v>
      </c>
      <c r="C1430" t="s">
        <v>25</v>
      </c>
      <c r="D1430" t="s">
        <v>29</v>
      </c>
      <c r="E1430">
        <v>1</v>
      </c>
      <c r="F1430">
        <f>MAX(-1,3-Tableau1[[#This Row],[Nb possédé (digital)]])</f>
        <v>2</v>
      </c>
      <c r="G1430">
        <v>3</v>
      </c>
      <c r="H1430">
        <f>MAX(-1,3-Tableau1[[#This Row],[Possédé (physique)]])</f>
        <v>0</v>
      </c>
      <c r="I1430" t="str">
        <f>IF(Tableau1[[#This Row],[Manque (physique)]]&gt;Tableau1[[#This Row],[Manque (digital)]],"POD",IF(Tableau1[[#This Row],[Manque (digital)]]&gt;Tableau1[[#This Row],[Manque (physique)]],"MarketPlace",""))</f>
        <v>MarketPlace</v>
      </c>
      <c r="J1430" t="s">
        <v>17</v>
      </c>
      <c r="K1430" t="s">
        <v>824</v>
      </c>
      <c r="L1430" t="s">
        <v>19</v>
      </c>
      <c r="M1430" t="s">
        <v>19</v>
      </c>
      <c r="Q1430" t="s">
        <v>954</v>
      </c>
    </row>
    <row r="1431" spans="1:17" hidden="1" x14ac:dyDescent="0.25">
      <c r="A1431" t="s">
        <v>1066</v>
      </c>
      <c r="B1431" t="s">
        <v>22</v>
      </c>
      <c r="C1431" t="s">
        <v>25</v>
      </c>
      <c r="D1431" t="s">
        <v>29</v>
      </c>
      <c r="E1431">
        <v>1</v>
      </c>
      <c r="F1431">
        <f>MAX(-1,3-Tableau1[[#This Row],[Nb possédé (digital)]])</f>
        <v>2</v>
      </c>
      <c r="G1431">
        <v>3</v>
      </c>
      <c r="H1431">
        <f>MAX(-1,3-Tableau1[[#This Row],[Possédé (physique)]])</f>
        <v>0</v>
      </c>
      <c r="I1431" t="str">
        <f>IF(Tableau1[[#This Row],[Manque (physique)]]&gt;Tableau1[[#This Row],[Manque (digital)]],"POD",IF(Tableau1[[#This Row],[Manque (digital)]]&gt;Tableau1[[#This Row],[Manque (physique)]],"MarketPlace",""))</f>
        <v>MarketPlace</v>
      </c>
      <c r="J1431" t="s">
        <v>116</v>
      </c>
      <c r="K1431" t="s">
        <v>117</v>
      </c>
      <c r="L1431" t="s">
        <v>19</v>
      </c>
      <c r="M1431" t="s">
        <v>19</v>
      </c>
      <c r="Q1431" t="s">
        <v>1068</v>
      </c>
    </row>
    <row r="1432" spans="1:17" hidden="1" x14ac:dyDescent="0.25">
      <c r="A1432" t="s">
        <v>278</v>
      </c>
      <c r="B1432" t="s">
        <v>22</v>
      </c>
      <c r="C1432" t="s">
        <v>25</v>
      </c>
      <c r="D1432" t="s">
        <v>29</v>
      </c>
      <c r="E1432">
        <v>2</v>
      </c>
      <c r="F1432">
        <f>MAX(-1,3-Tableau1[[#This Row],[Nb possédé (digital)]])</f>
        <v>1</v>
      </c>
      <c r="G1432">
        <v>3</v>
      </c>
      <c r="H1432">
        <f>MAX(-1,3-Tableau1[[#This Row],[Possédé (physique)]])</f>
        <v>0</v>
      </c>
      <c r="I1432" t="str">
        <f>IF(Tableau1[[#This Row],[Manque (physique)]]&gt;Tableau1[[#This Row],[Manque (digital)]],"POD",IF(Tableau1[[#This Row],[Manque (digital)]]&gt;Tableau1[[#This Row],[Manque (physique)]],"MarketPlace",""))</f>
        <v>MarketPlace</v>
      </c>
      <c r="J1432" t="s">
        <v>30</v>
      </c>
      <c r="K1432" t="s">
        <v>107</v>
      </c>
      <c r="L1432" t="s">
        <v>19</v>
      </c>
      <c r="M1432" t="s">
        <v>23</v>
      </c>
      <c r="N1432" t="s">
        <v>19</v>
      </c>
      <c r="O1432" t="s">
        <v>19</v>
      </c>
      <c r="P1432" t="s">
        <v>19</v>
      </c>
      <c r="Q1432" t="s">
        <v>281</v>
      </c>
    </row>
    <row r="1433" spans="1:17" hidden="1" x14ac:dyDescent="0.25">
      <c r="A1433" t="s">
        <v>1047</v>
      </c>
      <c r="B1433" t="s">
        <v>22</v>
      </c>
      <c r="C1433" t="s">
        <v>25</v>
      </c>
      <c r="D1433" t="s">
        <v>29</v>
      </c>
      <c r="E1433">
        <v>0</v>
      </c>
      <c r="F1433">
        <f>MAX(-1,3-Tableau1[[#This Row],[Nb possédé (digital)]])</f>
        <v>3</v>
      </c>
      <c r="G1433">
        <v>3</v>
      </c>
      <c r="H1433">
        <f>MAX(-1,3-Tableau1[[#This Row],[Possédé (physique)]])</f>
        <v>0</v>
      </c>
      <c r="I1433" t="str">
        <f>IF(Tableau1[[#This Row],[Manque (physique)]]&gt;Tableau1[[#This Row],[Manque (digital)]],"POD",IF(Tableau1[[#This Row],[Manque (digital)]]&gt;Tableau1[[#This Row],[Manque (physique)]],"MarketPlace",""))</f>
        <v>MarketPlace</v>
      </c>
      <c r="J1433" t="s">
        <v>30</v>
      </c>
      <c r="K1433" t="s">
        <v>292</v>
      </c>
      <c r="L1433" t="s">
        <v>19</v>
      </c>
      <c r="M1433" t="s">
        <v>23</v>
      </c>
      <c r="N1433" t="s">
        <v>19</v>
      </c>
      <c r="O1433" t="s">
        <v>19</v>
      </c>
      <c r="P1433" t="s">
        <v>20</v>
      </c>
      <c r="Q1433" t="s">
        <v>1050</v>
      </c>
    </row>
    <row r="1434" spans="1:17" hidden="1" x14ac:dyDescent="0.25">
      <c r="A1434" t="s">
        <v>564</v>
      </c>
      <c r="B1434" t="s">
        <v>22</v>
      </c>
      <c r="C1434" t="s">
        <v>25</v>
      </c>
      <c r="D1434" t="s">
        <v>29</v>
      </c>
      <c r="E1434">
        <v>2</v>
      </c>
      <c r="F1434">
        <f>MAX(-1,3-Tableau1[[#This Row],[Nb possédé (digital)]])</f>
        <v>1</v>
      </c>
      <c r="G1434">
        <v>3</v>
      </c>
      <c r="H1434">
        <f>MAX(-1,3-Tableau1[[#This Row],[Possédé (physique)]])</f>
        <v>0</v>
      </c>
      <c r="I1434" t="str">
        <f>IF(Tableau1[[#This Row],[Manque (physique)]]&gt;Tableau1[[#This Row],[Manque (digital)]],"POD",IF(Tableau1[[#This Row],[Manque (digital)]]&gt;Tableau1[[#This Row],[Manque (physique)]],"MarketPlace",""))</f>
        <v>MarketPlace</v>
      </c>
      <c r="J1434" t="s">
        <v>30</v>
      </c>
      <c r="K1434" t="s">
        <v>565</v>
      </c>
      <c r="L1434" t="s">
        <v>23</v>
      </c>
      <c r="M1434" t="s">
        <v>19</v>
      </c>
      <c r="N1434" t="s">
        <v>19</v>
      </c>
      <c r="O1434" t="s">
        <v>23</v>
      </c>
      <c r="P1434" t="s">
        <v>19</v>
      </c>
      <c r="Q1434" t="s">
        <v>567</v>
      </c>
    </row>
    <row r="1435" spans="1:17" hidden="1" x14ac:dyDescent="0.25">
      <c r="A1435" t="s">
        <v>27</v>
      </c>
      <c r="B1435" t="s">
        <v>22</v>
      </c>
      <c r="C1435" t="s">
        <v>25</v>
      </c>
      <c r="D1435" t="s">
        <v>29</v>
      </c>
      <c r="E1435">
        <v>2</v>
      </c>
      <c r="F1435">
        <f>MAX(-1,3-Tableau1[[#This Row],[Nb possédé (digital)]])</f>
        <v>1</v>
      </c>
      <c r="G1435">
        <v>3</v>
      </c>
      <c r="H1435">
        <f>MAX(-1,3-Tableau1[[#This Row],[Possédé (physique)]])</f>
        <v>0</v>
      </c>
      <c r="I1435" t="str">
        <f>IF(Tableau1[[#This Row],[Manque (physique)]]&gt;Tableau1[[#This Row],[Manque (digital)]],"POD",IF(Tableau1[[#This Row],[Manque (digital)]]&gt;Tableau1[[#This Row],[Manque (physique)]],"MarketPlace",""))</f>
        <v>MarketPlace</v>
      </c>
      <c r="J1435" t="s">
        <v>30</v>
      </c>
      <c r="K1435" t="s">
        <v>31</v>
      </c>
      <c r="L1435" t="s">
        <v>23</v>
      </c>
      <c r="M1435" t="s">
        <v>23</v>
      </c>
      <c r="N1435" t="s">
        <v>23</v>
      </c>
      <c r="O1435" t="s">
        <v>19</v>
      </c>
      <c r="P1435" t="s">
        <v>23</v>
      </c>
      <c r="Q1435" t="s">
        <v>33</v>
      </c>
    </row>
    <row r="1436" spans="1:17" hidden="1" x14ac:dyDescent="0.25">
      <c r="A1436" t="s">
        <v>462</v>
      </c>
      <c r="B1436" t="s">
        <v>22</v>
      </c>
      <c r="C1436" t="s">
        <v>25</v>
      </c>
      <c r="D1436" t="s">
        <v>29</v>
      </c>
      <c r="E1436">
        <v>1</v>
      </c>
      <c r="F1436">
        <f>MAX(-1,3-Tableau1[[#This Row],[Nb possédé (digital)]])</f>
        <v>2</v>
      </c>
      <c r="G1436">
        <v>3</v>
      </c>
      <c r="H1436">
        <f>MAX(-1,3-Tableau1[[#This Row],[Possédé (physique)]])</f>
        <v>0</v>
      </c>
      <c r="I1436" t="str">
        <f>IF(Tableau1[[#This Row],[Manque (physique)]]&gt;Tableau1[[#This Row],[Manque (digital)]],"POD",IF(Tableau1[[#This Row],[Manque (digital)]]&gt;Tableau1[[#This Row],[Manque (physique)]],"MarketPlace",""))</f>
        <v>MarketPlace</v>
      </c>
      <c r="J1436" t="s">
        <v>30</v>
      </c>
      <c r="K1436" t="s">
        <v>463</v>
      </c>
      <c r="L1436" t="s">
        <v>23</v>
      </c>
      <c r="M1436" t="s">
        <v>23</v>
      </c>
      <c r="N1436" t="s">
        <v>20</v>
      </c>
      <c r="O1436" t="s">
        <v>20</v>
      </c>
      <c r="P1436" t="s">
        <v>20</v>
      </c>
      <c r="Q1436" t="s">
        <v>464</v>
      </c>
    </row>
    <row r="1437" spans="1:17" hidden="1" x14ac:dyDescent="0.25">
      <c r="A1437" t="s">
        <v>636</v>
      </c>
      <c r="B1437" t="s">
        <v>22</v>
      </c>
      <c r="C1437" t="s">
        <v>25</v>
      </c>
      <c r="D1437" t="s">
        <v>29</v>
      </c>
      <c r="E1437">
        <v>1</v>
      </c>
      <c r="F1437">
        <f>MAX(-1,3-Tableau1[[#This Row],[Nb possédé (digital)]])</f>
        <v>2</v>
      </c>
      <c r="G1437">
        <v>3</v>
      </c>
      <c r="H1437">
        <f>MAX(-1,3-Tableau1[[#This Row],[Possédé (physique)]])</f>
        <v>0</v>
      </c>
      <c r="I1437" t="str">
        <f>IF(Tableau1[[#This Row],[Manque (physique)]]&gt;Tableau1[[#This Row],[Manque (digital)]],"POD",IF(Tableau1[[#This Row],[Manque (digital)]]&gt;Tableau1[[#This Row],[Manque (physique)]],"MarketPlace",""))</f>
        <v>MarketPlace</v>
      </c>
      <c r="J1437" t="s">
        <v>268</v>
      </c>
      <c r="K1437" t="s">
        <v>438</v>
      </c>
      <c r="L1437" t="s">
        <v>23</v>
      </c>
      <c r="M1437" t="s">
        <v>23</v>
      </c>
      <c r="Q1437" t="s">
        <v>638</v>
      </c>
    </row>
    <row r="1438" spans="1:17" hidden="1" x14ac:dyDescent="0.25">
      <c r="A1438" t="s">
        <v>642</v>
      </c>
      <c r="B1438" t="s">
        <v>22</v>
      </c>
      <c r="C1438" t="s">
        <v>25</v>
      </c>
      <c r="D1438" t="s">
        <v>29</v>
      </c>
      <c r="E1438">
        <v>1</v>
      </c>
      <c r="F1438">
        <f>MAX(-1,3-Tableau1[[#This Row],[Nb possédé (digital)]])</f>
        <v>2</v>
      </c>
      <c r="G1438">
        <v>3</v>
      </c>
      <c r="H1438">
        <f>MAX(-1,3-Tableau1[[#This Row],[Possédé (physique)]])</f>
        <v>0</v>
      </c>
      <c r="I1438" t="str">
        <f>IF(Tableau1[[#This Row],[Manque (physique)]]&gt;Tableau1[[#This Row],[Manque (digital)]],"POD",IF(Tableau1[[#This Row],[Manque (digital)]]&gt;Tableau1[[#This Row],[Manque (physique)]],"MarketPlace",""))</f>
        <v>MarketPlace</v>
      </c>
      <c r="J1438" t="s">
        <v>268</v>
      </c>
      <c r="K1438" t="s">
        <v>269</v>
      </c>
      <c r="L1438" t="s">
        <v>23</v>
      </c>
      <c r="M1438" t="s">
        <v>23</v>
      </c>
      <c r="Q1438" t="s">
        <v>644</v>
      </c>
    </row>
    <row r="1439" spans="1:17" hidden="1" x14ac:dyDescent="0.25">
      <c r="A1439" t="s">
        <v>733</v>
      </c>
      <c r="B1439" t="s">
        <v>22</v>
      </c>
      <c r="C1439" t="s">
        <v>25</v>
      </c>
      <c r="D1439" t="s">
        <v>29</v>
      </c>
      <c r="E1439">
        <v>2</v>
      </c>
      <c r="F1439">
        <f>MAX(-1,3-Tableau1[[#This Row],[Nb possédé (digital)]])</f>
        <v>1</v>
      </c>
      <c r="G1439">
        <v>3</v>
      </c>
      <c r="H1439">
        <f>MAX(-1,3-Tableau1[[#This Row],[Possédé (physique)]])</f>
        <v>0</v>
      </c>
      <c r="I1439" t="str">
        <f>IF(Tableau1[[#This Row],[Manque (physique)]]&gt;Tableau1[[#This Row],[Manque (digital)]],"POD",IF(Tableau1[[#This Row],[Manque (digital)]]&gt;Tableau1[[#This Row],[Manque (physique)]],"MarketPlace",""))</f>
        <v>MarketPlace</v>
      </c>
      <c r="J1439" t="s">
        <v>268</v>
      </c>
      <c r="K1439" t="s">
        <v>438</v>
      </c>
      <c r="L1439" t="s">
        <v>23</v>
      </c>
      <c r="M1439" t="s">
        <v>23</v>
      </c>
      <c r="Q1439" t="s">
        <v>736</v>
      </c>
    </row>
    <row r="1440" spans="1:17" hidden="1" x14ac:dyDescent="0.25">
      <c r="A1440" t="s">
        <v>1055</v>
      </c>
      <c r="B1440" t="s">
        <v>22</v>
      </c>
      <c r="C1440" t="s">
        <v>25</v>
      </c>
      <c r="D1440" t="s">
        <v>29</v>
      </c>
      <c r="E1440">
        <v>1</v>
      </c>
      <c r="F1440">
        <f>MAX(-1,3-Tableau1[[#This Row],[Nb possédé (digital)]])</f>
        <v>2</v>
      </c>
      <c r="G1440">
        <v>3</v>
      </c>
      <c r="H1440">
        <f>MAX(-1,3-Tableau1[[#This Row],[Possédé (physique)]])</f>
        <v>0</v>
      </c>
      <c r="I1440" t="str">
        <f>IF(Tableau1[[#This Row],[Manque (physique)]]&gt;Tableau1[[#This Row],[Manque (digital)]],"POD",IF(Tableau1[[#This Row],[Manque (digital)]]&gt;Tableau1[[#This Row],[Manque (physique)]],"MarketPlace",""))</f>
        <v>MarketPlace</v>
      </c>
      <c r="J1440" t="s">
        <v>30</v>
      </c>
      <c r="K1440" t="s">
        <v>36</v>
      </c>
      <c r="L1440" t="s">
        <v>23</v>
      </c>
      <c r="M1440" t="s">
        <v>23</v>
      </c>
      <c r="N1440" t="s">
        <v>19</v>
      </c>
      <c r="O1440" t="s">
        <v>19</v>
      </c>
      <c r="P1440" t="s">
        <v>20</v>
      </c>
      <c r="Q1440" t="s">
        <v>1058</v>
      </c>
    </row>
    <row r="1441" spans="1:17" hidden="1" x14ac:dyDescent="0.25">
      <c r="A1441" t="s">
        <v>968</v>
      </c>
      <c r="B1441" t="s">
        <v>22</v>
      </c>
      <c r="C1441" t="s">
        <v>25</v>
      </c>
      <c r="D1441" t="s">
        <v>29</v>
      </c>
      <c r="E1441">
        <v>1</v>
      </c>
      <c r="F1441">
        <f>MAX(-1,3-Tableau1[[#This Row],[Nb possédé (digital)]])</f>
        <v>2</v>
      </c>
      <c r="G1441">
        <v>3</v>
      </c>
      <c r="H1441">
        <f>MAX(-1,3-Tableau1[[#This Row],[Possédé (physique)]])</f>
        <v>0</v>
      </c>
      <c r="I1441" t="str">
        <f>IF(Tableau1[[#This Row],[Manque (physique)]]&gt;Tableau1[[#This Row],[Manque (digital)]],"POD",IF(Tableau1[[#This Row],[Manque (digital)]]&gt;Tableau1[[#This Row],[Manque (physique)]],"MarketPlace",""))</f>
        <v>MarketPlace</v>
      </c>
      <c r="J1441" t="s">
        <v>30</v>
      </c>
      <c r="K1441" t="s">
        <v>36</v>
      </c>
      <c r="L1441" t="s">
        <v>23</v>
      </c>
      <c r="M1441" t="s">
        <v>52</v>
      </c>
      <c r="N1441" t="s">
        <v>23</v>
      </c>
      <c r="O1441" t="s">
        <v>23</v>
      </c>
      <c r="P1441" t="s">
        <v>23</v>
      </c>
      <c r="Q1441" t="s">
        <v>970</v>
      </c>
    </row>
    <row r="1442" spans="1:17" hidden="1" x14ac:dyDescent="0.25">
      <c r="A1442" t="s">
        <v>446</v>
      </c>
      <c r="B1442" t="s">
        <v>22</v>
      </c>
      <c r="C1442" t="s">
        <v>25</v>
      </c>
      <c r="D1442" t="s">
        <v>29</v>
      </c>
      <c r="E1442">
        <v>1</v>
      </c>
      <c r="F1442">
        <f>MAX(-1,3-Tableau1[[#This Row],[Nb possédé (digital)]])</f>
        <v>2</v>
      </c>
      <c r="G1442">
        <v>3</v>
      </c>
      <c r="H1442">
        <f>MAX(-1,3-Tableau1[[#This Row],[Possédé (physique)]])</f>
        <v>0</v>
      </c>
      <c r="I1442" t="str">
        <f>IF(Tableau1[[#This Row],[Manque (physique)]]&gt;Tableau1[[#This Row],[Manque (digital)]],"POD",IF(Tableau1[[#This Row],[Manque (digital)]]&gt;Tableau1[[#This Row],[Manque (physique)]],"MarketPlace",""))</f>
        <v>MarketPlace</v>
      </c>
      <c r="J1442" t="s">
        <v>17</v>
      </c>
      <c r="K1442" t="s">
        <v>447</v>
      </c>
      <c r="L1442" t="s">
        <v>23</v>
      </c>
      <c r="M1442" t="s">
        <v>37</v>
      </c>
      <c r="Q1442" t="s">
        <v>449</v>
      </c>
    </row>
    <row r="1443" spans="1:17" hidden="1" x14ac:dyDescent="0.25">
      <c r="A1443" t="s">
        <v>398</v>
      </c>
      <c r="B1443" t="s">
        <v>22</v>
      </c>
      <c r="C1443" t="s">
        <v>25</v>
      </c>
      <c r="D1443" t="s">
        <v>29</v>
      </c>
      <c r="E1443">
        <v>2</v>
      </c>
      <c r="F1443">
        <f>MAX(-1,3-Tableau1[[#This Row],[Nb possédé (digital)]])</f>
        <v>1</v>
      </c>
      <c r="G1443">
        <v>3</v>
      </c>
      <c r="H1443">
        <f>MAX(-1,3-Tableau1[[#This Row],[Possédé (physique)]])</f>
        <v>0</v>
      </c>
      <c r="I1443" t="str">
        <f>IF(Tableau1[[#This Row],[Manque (physique)]]&gt;Tableau1[[#This Row],[Manque (digital)]],"POD",IF(Tableau1[[#This Row],[Manque (digital)]]&gt;Tableau1[[#This Row],[Manque (physique)]],"MarketPlace",""))</f>
        <v>MarketPlace</v>
      </c>
      <c r="J1443" t="s">
        <v>30</v>
      </c>
      <c r="K1443" t="s">
        <v>124</v>
      </c>
      <c r="L1443" t="s">
        <v>52</v>
      </c>
      <c r="M1443" t="s">
        <v>19</v>
      </c>
      <c r="N1443" t="s">
        <v>19</v>
      </c>
      <c r="O1443" t="s">
        <v>19</v>
      </c>
      <c r="P1443" t="s">
        <v>19</v>
      </c>
      <c r="Q1443" t="s">
        <v>399</v>
      </c>
    </row>
    <row r="1444" spans="1:17" hidden="1" x14ac:dyDescent="0.25">
      <c r="A1444" t="s">
        <v>110</v>
      </c>
      <c r="B1444" t="s">
        <v>22</v>
      </c>
      <c r="C1444" t="s">
        <v>25</v>
      </c>
      <c r="D1444" t="s">
        <v>29</v>
      </c>
      <c r="E1444">
        <v>1</v>
      </c>
      <c r="F1444">
        <f>MAX(-1,3-Tableau1[[#This Row],[Nb possédé (digital)]])</f>
        <v>2</v>
      </c>
      <c r="G1444">
        <v>3</v>
      </c>
      <c r="H1444">
        <f>MAX(-1,3-Tableau1[[#This Row],[Possédé (physique)]])</f>
        <v>0</v>
      </c>
      <c r="I1444" t="str">
        <f>IF(Tableau1[[#This Row],[Manque (physique)]]&gt;Tableau1[[#This Row],[Manque (digital)]],"POD",IF(Tableau1[[#This Row],[Manque (digital)]]&gt;Tableau1[[#This Row],[Manque (physique)]],"MarketPlace",""))</f>
        <v>MarketPlace</v>
      </c>
      <c r="J1444" t="s">
        <v>30</v>
      </c>
      <c r="K1444" t="s">
        <v>111</v>
      </c>
      <c r="L1444" t="s">
        <v>52</v>
      </c>
      <c r="M1444" t="s">
        <v>52</v>
      </c>
      <c r="N1444" t="s">
        <v>23</v>
      </c>
      <c r="O1444" t="s">
        <v>23</v>
      </c>
      <c r="P1444" t="s">
        <v>23</v>
      </c>
      <c r="Q1444" t="s">
        <v>112</v>
      </c>
    </row>
    <row r="1445" spans="1:17" hidden="1" x14ac:dyDescent="0.25">
      <c r="A1445" t="s">
        <v>369</v>
      </c>
      <c r="B1445" t="s">
        <v>22</v>
      </c>
      <c r="C1445" t="s">
        <v>25</v>
      </c>
      <c r="D1445" t="s">
        <v>29</v>
      </c>
      <c r="E1445">
        <v>1</v>
      </c>
      <c r="F1445">
        <f>MAX(-1,3-Tableau1[[#This Row],[Nb possédé (digital)]])</f>
        <v>2</v>
      </c>
      <c r="G1445">
        <v>3</v>
      </c>
      <c r="H1445">
        <f>MAX(-1,3-Tableau1[[#This Row],[Possédé (physique)]])</f>
        <v>0</v>
      </c>
      <c r="I1445" t="str">
        <f>IF(Tableau1[[#This Row],[Manque (physique)]]&gt;Tableau1[[#This Row],[Manque (digital)]],"POD",IF(Tableau1[[#This Row],[Manque (digital)]]&gt;Tableau1[[#This Row],[Manque (physique)]],"MarketPlace",""))</f>
        <v>MarketPlace</v>
      </c>
      <c r="J1445" t="s">
        <v>17</v>
      </c>
      <c r="K1445" t="s">
        <v>153</v>
      </c>
      <c r="L1445" t="s">
        <v>52</v>
      </c>
      <c r="M1445" t="s">
        <v>52</v>
      </c>
      <c r="Q1445" t="s">
        <v>371</v>
      </c>
    </row>
    <row r="1446" spans="1:17" hidden="1" x14ac:dyDescent="0.25">
      <c r="A1446" t="s">
        <v>426</v>
      </c>
      <c r="B1446" t="s">
        <v>22</v>
      </c>
      <c r="C1446" t="s">
        <v>25</v>
      </c>
      <c r="D1446" t="s">
        <v>29</v>
      </c>
      <c r="E1446">
        <v>1</v>
      </c>
      <c r="F1446">
        <f>MAX(-1,3-Tableau1[[#This Row],[Nb possédé (digital)]])</f>
        <v>2</v>
      </c>
      <c r="G1446">
        <v>3</v>
      </c>
      <c r="H1446">
        <f>MAX(-1,3-Tableau1[[#This Row],[Possédé (physique)]])</f>
        <v>0</v>
      </c>
      <c r="I1446" t="str">
        <f>IF(Tableau1[[#This Row],[Manque (physique)]]&gt;Tableau1[[#This Row],[Manque (digital)]],"POD",IF(Tableau1[[#This Row],[Manque (digital)]]&gt;Tableau1[[#This Row],[Manque (physique)]],"MarketPlace",""))</f>
        <v>MarketPlace</v>
      </c>
      <c r="J1446" t="s">
        <v>30</v>
      </c>
      <c r="K1446" t="s">
        <v>179</v>
      </c>
      <c r="L1446" t="s">
        <v>52</v>
      </c>
      <c r="M1446" t="s">
        <v>52</v>
      </c>
      <c r="N1446" t="s">
        <v>89</v>
      </c>
      <c r="O1446" t="s">
        <v>23</v>
      </c>
      <c r="P1446" t="s">
        <v>23</v>
      </c>
      <c r="Q1446" t="s">
        <v>429</v>
      </c>
    </row>
    <row r="1447" spans="1:17" hidden="1" x14ac:dyDescent="0.25">
      <c r="A1447" t="s">
        <v>579</v>
      </c>
      <c r="B1447" t="s">
        <v>22</v>
      </c>
      <c r="C1447" t="s">
        <v>25</v>
      </c>
      <c r="D1447" t="s">
        <v>29</v>
      </c>
      <c r="E1447">
        <v>1</v>
      </c>
      <c r="F1447">
        <f>MAX(-1,3-Tableau1[[#This Row],[Nb possédé (digital)]])</f>
        <v>2</v>
      </c>
      <c r="G1447">
        <v>3</v>
      </c>
      <c r="H1447">
        <f>MAX(-1,3-Tableau1[[#This Row],[Possédé (physique)]])</f>
        <v>0</v>
      </c>
      <c r="I1447" t="str">
        <f>IF(Tableau1[[#This Row],[Manque (physique)]]&gt;Tableau1[[#This Row],[Manque (digital)]],"POD",IF(Tableau1[[#This Row],[Manque (digital)]]&gt;Tableau1[[#This Row],[Manque (physique)]],"MarketPlace",""))</f>
        <v>MarketPlace</v>
      </c>
      <c r="J1447" t="s">
        <v>30</v>
      </c>
      <c r="K1447" t="s">
        <v>107</v>
      </c>
      <c r="L1447" t="s">
        <v>52</v>
      </c>
      <c r="M1447" t="s">
        <v>52</v>
      </c>
      <c r="N1447" t="s">
        <v>19</v>
      </c>
      <c r="O1447" t="s">
        <v>19</v>
      </c>
      <c r="P1447" t="s">
        <v>19</v>
      </c>
      <c r="Q1447" t="s">
        <v>581</v>
      </c>
    </row>
    <row r="1448" spans="1:17" hidden="1" x14ac:dyDescent="0.25">
      <c r="A1448" t="s">
        <v>737</v>
      </c>
      <c r="B1448" t="s">
        <v>22</v>
      </c>
      <c r="C1448" t="s">
        <v>25</v>
      </c>
      <c r="D1448" t="s">
        <v>29</v>
      </c>
      <c r="E1448">
        <v>2</v>
      </c>
      <c r="F1448">
        <f>MAX(-1,3-Tableau1[[#This Row],[Nb possédé (digital)]])</f>
        <v>1</v>
      </c>
      <c r="G1448">
        <v>3</v>
      </c>
      <c r="H1448">
        <f>MAX(-1,3-Tableau1[[#This Row],[Possédé (physique)]])</f>
        <v>0</v>
      </c>
      <c r="I1448" t="str">
        <f>IF(Tableau1[[#This Row],[Manque (physique)]]&gt;Tableau1[[#This Row],[Manque (digital)]],"POD",IF(Tableau1[[#This Row],[Manque (digital)]]&gt;Tableau1[[#This Row],[Manque (physique)]],"MarketPlace",""))</f>
        <v>MarketPlace</v>
      </c>
      <c r="J1448" t="s">
        <v>30</v>
      </c>
      <c r="K1448" t="s">
        <v>738</v>
      </c>
      <c r="L1448" t="s">
        <v>52</v>
      </c>
      <c r="M1448" t="s">
        <v>52</v>
      </c>
      <c r="N1448" t="s">
        <v>23</v>
      </c>
      <c r="O1448" t="s">
        <v>52</v>
      </c>
      <c r="P1448" t="s">
        <v>23</v>
      </c>
      <c r="Q1448" t="s">
        <v>741</v>
      </c>
    </row>
    <row r="1449" spans="1:17" hidden="1" x14ac:dyDescent="0.25">
      <c r="A1449" t="s">
        <v>795</v>
      </c>
      <c r="B1449" t="s">
        <v>22</v>
      </c>
      <c r="C1449" t="s">
        <v>25</v>
      </c>
      <c r="D1449" t="s">
        <v>29</v>
      </c>
      <c r="E1449">
        <v>1</v>
      </c>
      <c r="F1449">
        <f>MAX(-1,3-Tableau1[[#This Row],[Nb possédé (digital)]])</f>
        <v>2</v>
      </c>
      <c r="G1449">
        <v>3</v>
      </c>
      <c r="H1449">
        <f>MAX(-1,3-Tableau1[[#This Row],[Possédé (physique)]])</f>
        <v>0</v>
      </c>
      <c r="I1449" t="str">
        <f>IF(Tableau1[[#This Row],[Manque (physique)]]&gt;Tableau1[[#This Row],[Manque (digital)]],"POD",IF(Tableau1[[#This Row],[Manque (digital)]]&gt;Tableau1[[#This Row],[Manque (physique)]],"MarketPlace",""))</f>
        <v>MarketPlace</v>
      </c>
      <c r="J1449" t="s">
        <v>268</v>
      </c>
      <c r="K1449" t="s">
        <v>438</v>
      </c>
      <c r="L1449" t="s">
        <v>52</v>
      </c>
      <c r="M1449" t="s">
        <v>52</v>
      </c>
      <c r="Q1449" t="s">
        <v>798</v>
      </c>
    </row>
    <row r="1450" spans="1:17" hidden="1" x14ac:dyDescent="0.25">
      <c r="A1450" t="s">
        <v>1029</v>
      </c>
      <c r="B1450" t="s">
        <v>22</v>
      </c>
      <c r="C1450" t="s">
        <v>25</v>
      </c>
      <c r="D1450" t="s">
        <v>29</v>
      </c>
      <c r="E1450">
        <v>1</v>
      </c>
      <c r="F1450">
        <f>MAX(-1,3-Tableau1[[#This Row],[Nb possédé (digital)]])</f>
        <v>2</v>
      </c>
      <c r="G1450">
        <v>3</v>
      </c>
      <c r="H1450">
        <f>MAX(-1,3-Tableau1[[#This Row],[Possédé (physique)]])</f>
        <v>0</v>
      </c>
      <c r="I1450" t="str">
        <f>IF(Tableau1[[#This Row],[Manque (physique)]]&gt;Tableau1[[#This Row],[Manque (digital)]],"POD",IF(Tableau1[[#This Row],[Manque (digital)]]&gt;Tableau1[[#This Row],[Manque (physique)]],"MarketPlace",""))</f>
        <v>MarketPlace</v>
      </c>
      <c r="J1450" t="s">
        <v>30</v>
      </c>
      <c r="K1450" t="s">
        <v>124</v>
      </c>
      <c r="L1450" t="s">
        <v>52</v>
      </c>
      <c r="M1450" t="s">
        <v>52</v>
      </c>
      <c r="N1450" t="s">
        <v>89</v>
      </c>
      <c r="O1450" t="s">
        <v>89</v>
      </c>
      <c r="P1450" t="s">
        <v>89</v>
      </c>
      <c r="Q1450" t="s">
        <v>1031</v>
      </c>
    </row>
    <row r="1451" spans="1:17" hidden="1" x14ac:dyDescent="0.25">
      <c r="A1451" t="s">
        <v>510</v>
      </c>
      <c r="B1451" t="s">
        <v>22</v>
      </c>
      <c r="C1451" t="s">
        <v>25</v>
      </c>
      <c r="D1451" t="s">
        <v>29</v>
      </c>
      <c r="E1451">
        <v>1</v>
      </c>
      <c r="F1451">
        <f>MAX(-1,3-Tableau1[[#This Row],[Nb possédé (digital)]])</f>
        <v>2</v>
      </c>
      <c r="G1451">
        <v>3</v>
      </c>
      <c r="H1451">
        <f>MAX(-1,3-Tableau1[[#This Row],[Possédé (physique)]])</f>
        <v>0</v>
      </c>
      <c r="I1451" t="str">
        <f>IF(Tableau1[[#This Row],[Manque (physique)]]&gt;Tableau1[[#This Row],[Manque (digital)]],"POD",IF(Tableau1[[#This Row],[Manque (digital)]]&gt;Tableau1[[#This Row],[Manque (physique)]],"MarketPlace",""))</f>
        <v>MarketPlace</v>
      </c>
      <c r="J1451" t="s">
        <v>30</v>
      </c>
      <c r="K1451" t="s">
        <v>51</v>
      </c>
      <c r="L1451" t="s">
        <v>52</v>
      </c>
      <c r="M1451" t="s">
        <v>37</v>
      </c>
      <c r="N1451" t="s">
        <v>23</v>
      </c>
      <c r="O1451" t="s">
        <v>23</v>
      </c>
      <c r="P1451" t="s">
        <v>19</v>
      </c>
      <c r="Q1451" t="s">
        <v>513</v>
      </c>
    </row>
    <row r="1452" spans="1:17" hidden="1" x14ac:dyDescent="0.25">
      <c r="A1452" t="s">
        <v>1002</v>
      </c>
      <c r="B1452" t="s">
        <v>22</v>
      </c>
      <c r="C1452" t="s">
        <v>25</v>
      </c>
      <c r="D1452" t="s">
        <v>29</v>
      </c>
      <c r="E1452">
        <v>0</v>
      </c>
      <c r="F1452">
        <f>MAX(-1,3-Tableau1[[#This Row],[Nb possédé (digital)]])</f>
        <v>3</v>
      </c>
      <c r="G1452">
        <v>3</v>
      </c>
      <c r="H1452">
        <f>MAX(-1,3-Tableau1[[#This Row],[Possédé (physique)]])</f>
        <v>0</v>
      </c>
      <c r="I1452" t="str">
        <f>IF(Tableau1[[#This Row],[Manque (physique)]]&gt;Tableau1[[#This Row],[Manque (digital)]],"POD",IF(Tableau1[[#This Row],[Manque (digital)]]&gt;Tableau1[[#This Row],[Manque (physique)]],"MarketPlace",""))</f>
        <v>MarketPlace</v>
      </c>
      <c r="J1452" t="s">
        <v>30</v>
      </c>
      <c r="K1452" t="s">
        <v>79</v>
      </c>
      <c r="L1452" t="s">
        <v>380</v>
      </c>
      <c r="M1452" t="s">
        <v>380</v>
      </c>
      <c r="N1452" t="s">
        <v>52</v>
      </c>
      <c r="O1452" t="s">
        <v>52</v>
      </c>
      <c r="P1452" t="s">
        <v>52</v>
      </c>
      <c r="Q1452" t="s">
        <v>1005</v>
      </c>
    </row>
    <row r="1453" spans="1:17" hidden="1" x14ac:dyDescent="0.25">
      <c r="A1453" t="s">
        <v>1183</v>
      </c>
      <c r="B1453" t="s">
        <v>22</v>
      </c>
      <c r="C1453" t="s">
        <v>25</v>
      </c>
      <c r="D1453" t="s">
        <v>1156</v>
      </c>
      <c r="E1453">
        <v>0</v>
      </c>
      <c r="F1453">
        <f>MAX(-1,3-Tableau1[[#This Row],[Nb possédé (digital)]])</f>
        <v>3</v>
      </c>
      <c r="G1453">
        <v>3</v>
      </c>
      <c r="H1453">
        <f>MAX(-1,3-Tableau1[[#This Row],[Possédé (physique)]])</f>
        <v>0</v>
      </c>
      <c r="I1453" t="str">
        <f>IF(Tableau1[[#This Row],[Manque (physique)]]&gt;Tableau1[[#This Row],[Manque (digital)]],"POD",IF(Tableau1[[#This Row],[Manque (digital)]]&gt;Tableau1[[#This Row],[Manque (physique)]],"MarketPlace",""))</f>
        <v>MarketPlace</v>
      </c>
      <c r="J1453" t="s">
        <v>17</v>
      </c>
      <c r="K1453" t="s">
        <v>201</v>
      </c>
      <c r="L1453" t="s">
        <v>20</v>
      </c>
      <c r="M1453" t="s">
        <v>20</v>
      </c>
      <c r="Q1453" t="s">
        <v>1325</v>
      </c>
    </row>
    <row r="1454" spans="1:17" hidden="1" x14ac:dyDescent="0.25">
      <c r="A1454" t="s">
        <v>1212</v>
      </c>
      <c r="B1454" t="s">
        <v>22</v>
      </c>
      <c r="C1454" t="s">
        <v>25</v>
      </c>
      <c r="D1454" t="s">
        <v>1156</v>
      </c>
      <c r="E1454">
        <v>1</v>
      </c>
      <c r="F1454">
        <f>MAX(-1,3-Tableau1[[#This Row],[Nb possédé (digital)]])</f>
        <v>2</v>
      </c>
      <c r="G1454">
        <v>3</v>
      </c>
      <c r="H1454">
        <f>MAX(-1,3-Tableau1[[#This Row],[Possédé (physique)]])</f>
        <v>0</v>
      </c>
      <c r="I1454" t="str">
        <f>IF(Tableau1[[#This Row],[Manque (physique)]]&gt;Tableau1[[#This Row],[Manque (digital)]],"POD",IF(Tableau1[[#This Row],[Manque (digital)]]&gt;Tableau1[[#This Row],[Manque (physique)]],"MarketPlace",""))</f>
        <v>MarketPlace</v>
      </c>
      <c r="J1454" t="s">
        <v>30</v>
      </c>
      <c r="K1454" t="s">
        <v>79</v>
      </c>
      <c r="L1454" t="s">
        <v>20</v>
      </c>
      <c r="M1454" t="s">
        <v>20</v>
      </c>
      <c r="N1454" t="s">
        <v>20</v>
      </c>
      <c r="O1454" t="s">
        <v>89</v>
      </c>
      <c r="P1454" t="s">
        <v>20</v>
      </c>
      <c r="Q1454" t="s">
        <v>1383</v>
      </c>
    </row>
    <row r="1455" spans="1:17" hidden="1" x14ac:dyDescent="0.25">
      <c r="A1455" t="s">
        <v>1240</v>
      </c>
      <c r="B1455" t="s">
        <v>22</v>
      </c>
      <c r="C1455" t="s">
        <v>25</v>
      </c>
      <c r="D1455" t="s">
        <v>1156</v>
      </c>
      <c r="E1455">
        <v>1</v>
      </c>
      <c r="F1455">
        <f>MAX(-1,3-Tableau1[[#This Row],[Nb possédé (digital)]])</f>
        <v>2</v>
      </c>
      <c r="G1455">
        <v>3</v>
      </c>
      <c r="H1455">
        <f>MAX(-1,3-Tableau1[[#This Row],[Possédé (physique)]])</f>
        <v>0</v>
      </c>
      <c r="I1455" t="str">
        <f>IF(Tableau1[[#This Row],[Manque (physique)]]&gt;Tableau1[[#This Row],[Manque (digital)]],"POD",IF(Tableau1[[#This Row],[Manque (digital)]]&gt;Tableau1[[#This Row],[Manque (physique)]],"MarketPlace",""))</f>
        <v>MarketPlace</v>
      </c>
      <c r="J1455" t="s">
        <v>30</v>
      </c>
      <c r="K1455" t="s">
        <v>79</v>
      </c>
      <c r="L1455" t="s">
        <v>20</v>
      </c>
      <c r="M1455" t="s">
        <v>20</v>
      </c>
      <c r="N1455" t="s">
        <v>89</v>
      </c>
      <c r="O1455" t="s">
        <v>89</v>
      </c>
      <c r="P1455" t="s">
        <v>89</v>
      </c>
      <c r="Q1455" t="s">
        <v>1447</v>
      </c>
    </row>
    <row r="1456" spans="1:17" hidden="1" x14ac:dyDescent="0.25">
      <c r="A1456" t="s">
        <v>1258</v>
      </c>
      <c r="B1456" t="s">
        <v>22</v>
      </c>
      <c r="C1456" t="s">
        <v>25</v>
      </c>
      <c r="D1456" t="s">
        <v>1156</v>
      </c>
      <c r="E1456">
        <v>2</v>
      </c>
      <c r="F1456">
        <f>MAX(-1,3-Tableau1[[#This Row],[Nb possédé (digital)]])</f>
        <v>1</v>
      </c>
      <c r="G1456">
        <v>3</v>
      </c>
      <c r="H1456">
        <f>MAX(-1,3-Tableau1[[#This Row],[Possédé (physique)]])</f>
        <v>0</v>
      </c>
      <c r="I1456" t="str">
        <f>IF(Tableau1[[#This Row],[Manque (physique)]]&gt;Tableau1[[#This Row],[Manque (digital)]],"POD",IF(Tableau1[[#This Row],[Manque (digital)]]&gt;Tableau1[[#This Row],[Manque (physique)]],"MarketPlace",""))</f>
        <v>MarketPlace</v>
      </c>
      <c r="J1456" t="s">
        <v>17</v>
      </c>
      <c r="K1456" t="s">
        <v>201</v>
      </c>
      <c r="L1456" t="s">
        <v>20</v>
      </c>
      <c r="M1456" t="s">
        <v>20</v>
      </c>
      <c r="Q1456" t="s">
        <v>1482</v>
      </c>
    </row>
    <row r="1457" spans="1:17" hidden="1" x14ac:dyDescent="0.25">
      <c r="A1457" t="s">
        <v>1219</v>
      </c>
      <c r="B1457" t="s">
        <v>22</v>
      </c>
      <c r="C1457" t="s">
        <v>25</v>
      </c>
      <c r="D1457" t="s">
        <v>1156</v>
      </c>
      <c r="E1457">
        <v>2</v>
      </c>
      <c r="F1457">
        <f>MAX(-1,3-Tableau1[[#This Row],[Nb possédé (digital)]])</f>
        <v>1</v>
      </c>
      <c r="G1457">
        <v>3</v>
      </c>
      <c r="H1457">
        <f>MAX(-1,3-Tableau1[[#This Row],[Possédé (physique)]])</f>
        <v>0</v>
      </c>
      <c r="I1457" t="str">
        <f>IF(Tableau1[[#This Row],[Manque (physique)]]&gt;Tableau1[[#This Row],[Manque (digital)]],"POD",IF(Tableau1[[#This Row],[Manque (digital)]]&gt;Tableau1[[#This Row],[Manque (physique)]],"MarketPlace",""))</f>
        <v>MarketPlace</v>
      </c>
      <c r="J1457" t="s">
        <v>30</v>
      </c>
      <c r="K1457" t="s">
        <v>481</v>
      </c>
      <c r="L1457" t="s">
        <v>19</v>
      </c>
      <c r="M1457" t="s">
        <v>20</v>
      </c>
      <c r="N1457" t="s">
        <v>89</v>
      </c>
      <c r="O1457" t="s">
        <v>89</v>
      </c>
      <c r="P1457" t="s">
        <v>19</v>
      </c>
      <c r="Q1457" t="s">
        <v>1401</v>
      </c>
    </row>
    <row r="1458" spans="1:17" hidden="1" x14ac:dyDescent="0.25">
      <c r="A1458" t="s">
        <v>1178</v>
      </c>
      <c r="B1458" t="s">
        <v>22</v>
      </c>
      <c r="C1458" t="s">
        <v>25</v>
      </c>
      <c r="D1458" t="s">
        <v>1156</v>
      </c>
      <c r="E1458">
        <v>2</v>
      </c>
      <c r="F1458">
        <f>MAX(-1,3-Tableau1[[#This Row],[Nb possédé (digital)]])</f>
        <v>1</v>
      </c>
      <c r="G1458">
        <v>3</v>
      </c>
      <c r="H1458">
        <f>MAX(-1,3-Tableau1[[#This Row],[Possédé (physique)]])</f>
        <v>0</v>
      </c>
      <c r="I1458" t="str">
        <f>IF(Tableau1[[#This Row],[Manque (physique)]]&gt;Tableau1[[#This Row],[Manque (digital)]],"POD",IF(Tableau1[[#This Row],[Manque (digital)]]&gt;Tableau1[[#This Row],[Manque (physique)]],"MarketPlace",""))</f>
        <v>MarketPlace</v>
      </c>
      <c r="J1458" t="s">
        <v>30</v>
      </c>
      <c r="K1458" t="s">
        <v>79</v>
      </c>
      <c r="L1458" t="s">
        <v>19</v>
      </c>
      <c r="M1458" t="s">
        <v>19</v>
      </c>
      <c r="N1458" t="s">
        <v>19</v>
      </c>
      <c r="O1458" t="s">
        <v>19</v>
      </c>
      <c r="P1458" t="s">
        <v>19</v>
      </c>
      <c r="Q1458" t="s">
        <v>1316</v>
      </c>
    </row>
    <row r="1459" spans="1:17" hidden="1" x14ac:dyDescent="0.25">
      <c r="A1459" t="s">
        <v>1264</v>
      </c>
      <c r="B1459" t="s">
        <v>22</v>
      </c>
      <c r="C1459" t="s">
        <v>25</v>
      </c>
      <c r="D1459" t="s">
        <v>1156</v>
      </c>
      <c r="E1459">
        <v>2</v>
      </c>
      <c r="F1459">
        <f>MAX(-1,3-Tableau1[[#This Row],[Nb possédé (digital)]])</f>
        <v>1</v>
      </c>
      <c r="G1459">
        <v>3</v>
      </c>
      <c r="H1459">
        <f>MAX(-1,3-Tableau1[[#This Row],[Possédé (physique)]])</f>
        <v>0</v>
      </c>
      <c r="I1459" t="str">
        <f>IF(Tableau1[[#This Row],[Manque (physique)]]&gt;Tableau1[[#This Row],[Manque (digital)]],"POD",IF(Tableau1[[#This Row],[Manque (digital)]]&gt;Tableau1[[#This Row],[Manque (physique)]],"MarketPlace",""))</f>
        <v>MarketPlace</v>
      </c>
      <c r="J1459" t="s">
        <v>30</v>
      </c>
      <c r="K1459" t="s">
        <v>557</v>
      </c>
      <c r="L1459" t="s">
        <v>19</v>
      </c>
      <c r="M1459" t="s">
        <v>19</v>
      </c>
      <c r="N1459" t="s">
        <v>19</v>
      </c>
      <c r="O1459" t="s">
        <v>19</v>
      </c>
      <c r="P1459" t="s">
        <v>19</v>
      </c>
      <c r="Q1459" t="s">
        <v>1492</v>
      </c>
    </row>
    <row r="1460" spans="1:17" hidden="1" x14ac:dyDescent="0.25">
      <c r="A1460" t="s">
        <v>1188</v>
      </c>
      <c r="B1460" t="s">
        <v>22</v>
      </c>
      <c r="C1460" t="s">
        <v>25</v>
      </c>
      <c r="D1460" t="s">
        <v>1156</v>
      </c>
      <c r="E1460">
        <v>1</v>
      </c>
      <c r="F1460">
        <f>MAX(-1,3-Tableau1[[#This Row],[Nb possédé (digital)]])</f>
        <v>2</v>
      </c>
      <c r="G1460">
        <v>3</v>
      </c>
      <c r="H1460">
        <f>MAX(-1,3-Tableau1[[#This Row],[Possédé (physique)]])</f>
        <v>0</v>
      </c>
      <c r="I1460" t="str">
        <f>IF(Tableau1[[#This Row],[Manque (physique)]]&gt;Tableau1[[#This Row],[Manque (digital)]],"POD",IF(Tableau1[[#This Row],[Manque (digital)]]&gt;Tableau1[[#This Row],[Manque (physique)]],"MarketPlace",""))</f>
        <v>MarketPlace</v>
      </c>
      <c r="J1460" t="s">
        <v>30</v>
      </c>
      <c r="K1460" t="s">
        <v>328</v>
      </c>
      <c r="L1460" t="s">
        <v>19</v>
      </c>
      <c r="M1460" t="s">
        <v>19</v>
      </c>
      <c r="N1460" t="s">
        <v>19</v>
      </c>
      <c r="O1460" t="s">
        <v>23</v>
      </c>
      <c r="P1460" t="s">
        <v>89</v>
      </c>
      <c r="Q1460" t="s">
        <v>1335</v>
      </c>
    </row>
    <row r="1461" spans="1:17" hidden="1" x14ac:dyDescent="0.25">
      <c r="A1461" t="s">
        <v>1191</v>
      </c>
      <c r="B1461" t="s">
        <v>22</v>
      </c>
      <c r="C1461" t="s">
        <v>25</v>
      </c>
      <c r="D1461" t="s">
        <v>1156</v>
      </c>
      <c r="E1461">
        <v>1</v>
      </c>
      <c r="F1461">
        <f>MAX(-1,3-Tableau1[[#This Row],[Nb possédé (digital)]])</f>
        <v>2</v>
      </c>
      <c r="G1461">
        <v>3</v>
      </c>
      <c r="H1461">
        <f>MAX(-1,3-Tableau1[[#This Row],[Possédé (physique)]])</f>
        <v>0</v>
      </c>
      <c r="I1461" t="str">
        <f>IF(Tableau1[[#This Row],[Manque (physique)]]&gt;Tableau1[[#This Row],[Manque (digital)]],"POD",IF(Tableau1[[#This Row],[Manque (digital)]]&gt;Tableau1[[#This Row],[Manque (physique)]],"MarketPlace",""))</f>
        <v>MarketPlace</v>
      </c>
      <c r="J1461" t="s">
        <v>30</v>
      </c>
      <c r="K1461" t="s">
        <v>79</v>
      </c>
      <c r="L1461" t="s">
        <v>19</v>
      </c>
      <c r="M1461" t="s">
        <v>19</v>
      </c>
      <c r="N1461" t="s">
        <v>19</v>
      </c>
      <c r="O1461" t="s">
        <v>19</v>
      </c>
      <c r="P1461" t="s">
        <v>19</v>
      </c>
      <c r="Q1461" t="s">
        <v>1342</v>
      </c>
    </row>
    <row r="1462" spans="1:17" hidden="1" x14ac:dyDescent="0.25">
      <c r="A1462" t="s">
        <v>1205</v>
      </c>
      <c r="B1462" t="s">
        <v>22</v>
      </c>
      <c r="C1462" t="s">
        <v>25</v>
      </c>
      <c r="D1462" t="s">
        <v>1156</v>
      </c>
      <c r="E1462">
        <v>1</v>
      </c>
      <c r="F1462">
        <f>MAX(-1,3-Tableau1[[#This Row],[Nb possédé (digital)]])</f>
        <v>2</v>
      </c>
      <c r="G1462">
        <v>3</v>
      </c>
      <c r="H1462">
        <f>MAX(-1,3-Tableau1[[#This Row],[Possédé (physique)]])</f>
        <v>0</v>
      </c>
      <c r="I1462" t="str">
        <f>IF(Tableau1[[#This Row],[Manque (physique)]]&gt;Tableau1[[#This Row],[Manque (digital)]],"POD",IF(Tableau1[[#This Row],[Manque (digital)]]&gt;Tableau1[[#This Row],[Manque (physique)]],"MarketPlace",""))</f>
        <v>MarketPlace</v>
      </c>
      <c r="J1462" t="s">
        <v>268</v>
      </c>
      <c r="K1462" t="s">
        <v>438</v>
      </c>
      <c r="L1462" t="s">
        <v>19</v>
      </c>
      <c r="M1462" t="s">
        <v>19</v>
      </c>
      <c r="Q1462" t="s">
        <v>1371</v>
      </c>
    </row>
    <row r="1463" spans="1:17" hidden="1" x14ac:dyDescent="0.25">
      <c r="A1463" t="s">
        <v>1231</v>
      </c>
      <c r="B1463" t="s">
        <v>22</v>
      </c>
      <c r="C1463" t="s">
        <v>25</v>
      </c>
      <c r="D1463" t="s">
        <v>1156</v>
      </c>
      <c r="E1463">
        <v>2</v>
      </c>
      <c r="F1463">
        <f>MAX(-1,3-Tableau1[[#This Row],[Nb possédé (digital)]])</f>
        <v>1</v>
      </c>
      <c r="G1463">
        <v>3</v>
      </c>
      <c r="H1463">
        <f>MAX(-1,3-Tableau1[[#This Row],[Possédé (physique)]])</f>
        <v>0</v>
      </c>
      <c r="I1463" t="str">
        <f>IF(Tableau1[[#This Row],[Manque (physique)]]&gt;Tableau1[[#This Row],[Manque (digital)]],"POD",IF(Tableau1[[#This Row],[Manque (digital)]]&gt;Tableau1[[#This Row],[Manque (physique)]],"MarketPlace",""))</f>
        <v>MarketPlace</v>
      </c>
      <c r="J1463" t="s">
        <v>30</v>
      </c>
      <c r="K1463" t="s">
        <v>358</v>
      </c>
      <c r="L1463" t="s">
        <v>19</v>
      </c>
      <c r="M1463" t="s">
        <v>19</v>
      </c>
      <c r="N1463" t="s">
        <v>19</v>
      </c>
      <c r="O1463" t="s">
        <v>20</v>
      </c>
      <c r="P1463" t="s">
        <v>20</v>
      </c>
      <c r="Q1463" t="s">
        <v>1426</v>
      </c>
    </row>
    <row r="1464" spans="1:17" hidden="1" x14ac:dyDescent="0.25">
      <c r="A1464" t="s">
        <v>1238</v>
      </c>
      <c r="B1464" t="s">
        <v>22</v>
      </c>
      <c r="C1464" t="s">
        <v>25</v>
      </c>
      <c r="D1464" t="s">
        <v>1156</v>
      </c>
      <c r="E1464">
        <v>1</v>
      </c>
      <c r="F1464">
        <f>MAX(-1,3-Tableau1[[#This Row],[Nb possédé (digital)]])</f>
        <v>2</v>
      </c>
      <c r="G1464">
        <v>3</v>
      </c>
      <c r="H1464">
        <f>MAX(-1,3-Tableau1[[#This Row],[Possédé (physique)]])</f>
        <v>0</v>
      </c>
      <c r="I1464" t="str">
        <f>IF(Tableau1[[#This Row],[Manque (physique)]]&gt;Tableau1[[#This Row],[Manque (digital)]],"POD",IF(Tableau1[[#This Row],[Manque (digital)]]&gt;Tableau1[[#This Row],[Manque (physique)]],"MarketPlace",""))</f>
        <v>MarketPlace</v>
      </c>
      <c r="J1464" t="s">
        <v>30</v>
      </c>
      <c r="K1464" t="s">
        <v>79</v>
      </c>
      <c r="L1464" t="s">
        <v>19</v>
      </c>
      <c r="M1464" t="s">
        <v>19</v>
      </c>
      <c r="N1464" t="s">
        <v>19</v>
      </c>
      <c r="O1464" t="s">
        <v>20</v>
      </c>
      <c r="P1464" t="s">
        <v>19</v>
      </c>
      <c r="Q1464" t="s">
        <v>1441</v>
      </c>
    </row>
    <row r="1465" spans="1:17" hidden="1" x14ac:dyDescent="0.25">
      <c r="A1465" t="s">
        <v>1241</v>
      </c>
      <c r="B1465" t="s">
        <v>22</v>
      </c>
      <c r="C1465" t="s">
        <v>25</v>
      </c>
      <c r="D1465" t="s">
        <v>1156</v>
      </c>
      <c r="E1465">
        <v>1</v>
      </c>
      <c r="F1465">
        <f>MAX(-1,3-Tableau1[[#This Row],[Nb possédé (digital)]])</f>
        <v>2</v>
      </c>
      <c r="G1465">
        <v>3</v>
      </c>
      <c r="H1465">
        <f>MAX(-1,3-Tableau1[[#This Row],[Possédé (physique)]])</f>
        <v>0</v>
      </c>
      <c r="I1465" t="str">
        <f>IF(Tableau1[[#This Row],[Manque (physique)]]&gt;Tableau1[[#This Row],[Manque (digital)]],"POD",IF(Tableau1[[#This Row],[Manque (digital)]]&gt;Tableau1[[#This Row],[Manque (physique)]],"MarketPlace",""))</f>
        <v>MarketPlace</v>
      </c>
      <c r="J1465" t="s">
        <v>268</v>
      </c>
      <c r="K1465" t="s">
        <v>269</v>
      </c>
      <c r="L1465" t="s">
        <v>19</v>
      </c>
      <c r="M1465" t="s">
        <v>19</v>
      </c>
      <c r="Q1465" t="s">
        <v>1449</v>
      </c>
    </row>
    <row r="1466" spans="1:17" hidden="1" x14ac:dyDescent="0.25">
      <c r="A1466" t="s">
        <v>1254</v>
      </c>
      <c r="B1466" t="s">
        <v>22</v>
      </c>
      <c r="C1466" t="s">
        <v>25</v>
      </c>
      <c r="D1466" t="s">
        <v>1156</v>
      </c>
      <c r="E1466">
        <v>1</v>
      </c>
      <c r="F1466">
        <f>MAX(-1,3-Tableau1[[#This Row],[Nb possédé (digital)]])</f>
        <v>2</v>
      </c>
      <c r="G1466">
        <v>3</v>
      </c>
      <c r="H1466">
        <f>MAX(-1,3-Tableau1[[#This Row],[Possédé (physique)]])</f>
        <v>0</v>
      </c>
      <c r="I1466" t="str">
        <f>IF(Tableau1[[#This Row],[Manque (physique)]]&gt;Tableau1[[#This Row],[Manque (digital)]],"POD",IF(Tableau1[[#This Row],[Manque (digital)]]&gt;Tableau1[[#This Row],[Manque (physique)]],"MarketPlace",""))</f>
        <v>MarketPlace</v>
      </c>
      <c r="J1466" t="s">
        <v>30</v>
      </c>
      <c r="K1466" t="s">
        <v>83</v>
      </c>
      <c r="L1466" t="s">
        <v>19</v>
      </c>
      <c r="M1466" t="s">
        <v>19</v>
      </c>
      <c r="N1466" t="s">
        <v>19</v>
      </c>
      <c r="O1466" t="s">
        <v>19</v>
      </c>
      <c r="P1466" t="s">
        <v>19</v>
      </c>
      <c r="Q1466" t="s">
        <v>1474</v>
      </c>
    </row>
    <row r="1467" spans="1:17" hidden="1" x14ac:dyDescent="0.25">
      <c r="A1467" t="s">
        <v>1256</v>
      </c>
      <c r="B1467" t="s">
        <v>22</v>
      </c>
      <c r="C1467" t="s">
        <v>25</v>
      </c>
      <c r="D1467" t="s">
        <v>1156</v>
      </c>
      <c r="E1467">
        <v>1</v>
      </c>
      <c r="F1467">
        <f>MAX(-1,3-Tableau1[[#This Row],[Nb possédé (digital)]])</f>
        <v>2</v>
      </c>
      <c r="G1467">
        <v>3</v>
      </c>
      <c r="H1467">
        <f>MAX(-1,3-Tableau1[[#This Row],[Possédé (physique)]])</f>
        <v>0</v>
      </c>
      <c r="I1467" t="str">
        <f>IF(Tableau1[[#This Row],[Manque (physique)]]&gt;Tableau1[[#This Row],[Manque (digital)]],"POD",IF(Tableau1[[#This Row],[Manque (digital)]]&gt;Tableau1[[#This Row],[Manque (physique)]],"MarketPlace",""))</f>
        <v>MarketPlace</v>
      </c>
      <c r="J1467" t="s">
        <v>30</v>
      </c>
      <c r="K1467" t="s">
        <v>36</v>
      </c>
      <c r="L1467" t="s">
        <v>19</v>
      </c>
      <c r="M1467" t="s">
        <v>19</v>
      </c>
      <c r="N1467" t="s">
        <v>19</v>
      </c>
      <c r="O1467" t="s">
        <v>19</v>
      </c>
      <c r="P1467" t="s">
        <v>19</v>
      </c>
      <c r="Q1467" t="s">
        <v>1478</v>
      </c>
    </row>
    <row r="1468" spans="1:17" hidden="1" x14ac:dyDescent="0.25">
      <c r="A1468" t="s">
        <v>1259</v>
      </c>
      <c r="B1468" t="s">
        <v>22</v>
      </c>
      <c r="C1468" t="s">
        <v>25</v>
      </c>
      <c r="D1468" t="s">
        <v>1156</v>
      </c>
      <c r="E1468">
        <v>1</v>
      </c>
      <c r="F1468">
        <f>MAX(-1,3-Tableau1[[#This Row],[Nb possédé (digital)]])</f>
        <v>2</v>
      </c>
      <c r="G1468">
        <v>3</v>
      </c>
      <c r="H1468">
        <f>MAX(-1,3-Tableau1[[#This Row],[Possédé (physique)]])</f>
        <v>0</v>
      </c>
      <c r="I1468" t="str">
        <f>IF(Tableau1[[#This Row],[Manque (physique)]]&gt;Tableau1[[#This Row],[Manque (digital)]],"POD",IF(Tableau1[[#This Row],[Manque (digital)]]&gt;Tableau1[[#This Row],[Manque (physique)]],"MarketPlace",""))</f>
        <v>MarketPlace</v>
      </c>
      <c r="J1468" t="s">
        <v>30</v>
      </c>
      <c r="K1468" t="s">
        <v>107</v>
      </c>
      <c r="L1468" t="s">
        <v>19</v>
      </c>
      <c r="M1468" t="s">
        <v>19</v>
      </c>
      <c r="N1468" t="s">
        <v>19</v>
      </c>
      <c r="O1468" t="s">
        <v>19</v>
      </c>
      <c r="P1468" t="s">
        <v>19</v>
      </c>
      <c r="Q1468" t="s">
        <v>1484</v>
      </c>
    </row>
    <row r="1469" spans="1:17" hidden="1" x14ac:dyDescent="0.25">
      <c r="A1469" t="s">
        <v>1163</v>
      </c>
      <c r="B1469" t="s">
        <v>22</v>
      </c>
      <c r="C1469" t="s">
        <v>25</v>
      </c>
      <c r="D1469" t="s">
        <v>1156</v>
      </c>
      <c r="E1469">
        <v>1</v>
      </c>
      <c r="F1469">
        <f>MAX(-1,3-Tableau1[[#This Row],[Nb possédé (digital)]])</f>
        <v>2</v>
      </c>
      <c r="G1469">
        <v>3</v>
      </c>
      <c r="H1469">
        <f>MAX(-1,3-Tableau1[[#This Row],[Possédé (physique)]])</f>
        <v>0</v>
      </c>
      <c r="I1469" t="str">
        <f>IF(Tableau1[[#This Row],[Manque (physique)]]&gt;Tableau1[[#This Row],[Manque (digital)]],"POD",IF(Tableau1[[#This Row],[Manque (digital)]]&gt;Tableau1[[#This Row],[Manque (physique)]],"MarketPlace",""))</f>
        <v>MarketPlace</v>
      </c>
      <c r="J1469" t="s">
        <v>30</v>
      </c>
      <c r="K1469" t="s">
        <v>107</v>
      </c>
      <c r="L1469" t="s">
        <v>23</v>
      </c>
      <c r="M1469" t="s">
        <v>23</v>
      </c>
      <c r="N1469" t="s">
        <v>23</v>
      </c>
      <c r="O1469" t="s">
        <v>23</v>
      </c>
      <c r="P1469" t="s">
        <v>23</v>
      </c>
      <c r="Q1469" t="s">
        <v>1283</v>
      </c>
    </row>
    <row r="1470" spans="1:17" hidden="1" x14ac:dyDescent="0.25">
      <c r="A1470" t="s">
        <v>1179</v>
      </c>
      <c r="B1470" t="s">
        <v>22</v>
      </c>
      <c r="C1470" t="s">
        <v>25</v>
      </c>
      <c r="D1470" t="s">
        <v>1156</v>
      </c>
      <c r="E1470">
        <v>2</v>
      </c>
      <c r="F1470">
        <f>MAX(-1,3-Tableau1[[#This Row],[Nb possédé (digital)]])</f>
        <v>1</v>
      </c>
      <c r="G1470">
        <v>3</v>
      </c>
      <c r="H1470">
        <f>MAX(-1,3-Tableau1[[#This Row],[Possédé (physique)]])</f>
        <v>0</v>
      </c>
      <c r="I1470" t="str">
        <f>IF(Tableau1[[#This Row],[Manque (physique)]]&gt;Tableau1[[#This Row],[Manque (digital)]],"POD",IF(Tableau1[[#This Row],[Manque (digital)]]&gt;Tableau1[[#This Row],[Manque (physique)]],"MarketPlace",""))</f>
        <v>MarketPlace</v>
      </c>
      <c r="J1470" t="s">
        <v>30</v>
      </c>
      <c r="K1470" t="s">
        <v>328</v>
      </c>
      <c r="L1470" t="s">
        <v>23</v>
      </c>
      <c r="M1470" t="s">
        <v>23</v>
      </c>
      <c r="N1470" t="s">
        <v>89</v>
      </c>
      <c r="O1470" t="s">
        <v>89</v>
      </c>
      <c r="P1470" t="s">
        <v>89</v>
      </c>
      <c r="Q1470" t="s">
        <v>1318</v>
      </c>
    </row>
    <row r="1471" spans="1:17" hidden="1" x14ac:dyDescent="0.25">
      <c r="A1471" t="s">
        <v>1184</v>
      </c>
      <c r="B1471" t="s">
        <v>22</v>
      </c>
      <c r="C1471" t="s">
        <v>25</v>
      </c>
      <c r="D1471" t="s">
        <v>1156</v>
      </c>
      <c r="E1471">
        <v>1</v>
      </c>
      <c r="F1471">
        <f>MAX(-1,3-Tableau1[[#This Row],[Nb possédé (digital)]])</f>
        <v>2</v>
      </c>
      <c r="G1471">
        <v>3</v>
      </c>
      <c r="H1471">
        <f>MAX(-1,3-Tableau1[[#This Row],[Possédé (physique)]])</f>
        <v>0</v>
      </c>
      <c r="I1471" t="str">
        <f>IF(Tableau1[[#This Row],[Manque (physique)]]&gt;Tableau1[[#This Row],[Manque (digital)]],"POD",IF(Tableau1[[#This Row],[Manque (digital)]]&gt;Tableau1[[#This Row],[Manque (physique)]],"MarketPlace",""))</f>
        <v>MarketPlace</v>
      </c>
      <c r="J1471" t="s">
        <v>30</v>
      </c>
      <c r="K1471" t="s">
        <v>358</v>
      </c>
      <c r="L1471" t="s">
        <v>23</v>
      </c>
      <c r="M1471" t="s">
        <v>23</v>
      </c>
      <c r="N1471" t="s">
        <v>52</v>
      </c>
      <c r="O1471" t="s">
        <v>19</v>
      </c>
      <c r="P1471" t="s">
        <v>19</v>
      </c>
      <c r="Q1471" t="s">
        <v>1326</v>
      </c>
    </row>
    <row r="1472" spans="1:17" hidden="1" x14ac:dyDescent="0.25">
      <c r="A1472" t="s">
        <v>1214</v>
      </c>
      <c r="B1472" t="s">
        <v>22</v>
      </c>
      <c r="C1472" t="s">
        <v>25</v>
      </c>
      <c r="D1472" t="s">
        <v>1156</v>
      </c>
      <c r="E1472">
        <v>1</v>
      </c>
      <c r="F1472">
        <f>MAX(-1,3-Tableau1[[#This Row],[Nb possédé (digital)]])</f>
        <v>2</v>
      </c>
      <c r="G1472">
        <v>3</v>
      </c>
      <c r="H1472">
        <f>MAX(-1,3-Tableau1[[#This Row],[Possédé (physique)]])</f>
        <v>0</v>
      </c>
      <c r="I1472" t="str">
        <f>IF(Tableau1[[#This Row],[Manque (physique)]]&gt;Tableau1[[#This Row],[Manque (digital)]],"POD",IF(Tableau1[[#This Row],[Manque (digital)]]&gt;Tableau1[[#This Row],[Manque (physique)]],"MarketPlace",""))</f>
        <v>MarketPlace</v>
      </c>
      <c r="J1472" t="s">
        <v>268</v>
      </c>
      <c r="K1472" t="s">
        <v>438</v>
      </c>
      <c r="L1472" t="s">
        <v>23</v>
      </c>
      <c r="M1472" t="s">
        <v>23</v>
      </c>
      <c r="Q1472" t="s">
        <v>1388</v>
      </c>
    </row>
    <row r="1473" spans="1:17" hidden="1" x14ac:dyDescent="0.25">
      <c r="A1473" t="s">
        <v>1221</v>
      </c>
      <c r="B1473" t="s">
        <v>22</v>
      </c>
      <c r="C1473" t="s">
        <v>25</v>
      </c>
      <c r="D1473" t="s">
        <v>1156</v>
      </c>
      <c r="E1473">
        <v>0</v>
      </c>
      <c r="F1473">
        <f>MAX(-1,3-Tableau1[[#This Row],[Nb possédé (digital)]])</f>
        <v>3</v>
      </c>
      <c r="G1473">
        <v>3</v>
      </c>
      <c r="H1473">
        <f>MAX(-1,3-Tableau1[[#This Row],[Possédé (physique)]])</f>
        <v>0</v>
      </c>
      <c r="I1473" t="str">
        <f>IF(Tableau1[[#This Row],[Manque (physique)]]&gt;Tableau1[[#This Row],[Manque (digital)]],"POD",IF(Tableau1[[#This Row],[Manque (digital)]]&gt;Tableau1[[#This Row],[Manque (physique)]],"MarketPlace",""))</f>
        <v>MarketPlace</v>
      </c>
      <c r="J1473" t="s">
        <v>268</v>
      </c>
      <c r="K1473" t="s">
        <v>438</v>
      </c>
      <c r="L1473" t="s">
        <v>23</v>
      </c>
      <c r="M1473" t="s">
        <v>23</v>
      </c>
      <c r="Q1473" t="s">
        <v>1403</v>
      </c>
    </row>
    <row r="1474" spans="1:17" hidden="1" x14ac:dyDescent="0.25">
      <c r="A1474" t="s">
        <v>1228</v>
      </c>
      <c r="B1474" t="s">
        <v>22</v>
      </c>
      <c r="C1474" t="s">
        <v>25</v>
      </c>
      <c r="D1474" t="s">
        <v>1156</v>
      </c>
      <c r="E1474">
        <v>2</v>
      </c>
      <c r="F1474">
        <f>MAX(-1,3-Tableau1[[#This Row],[Nb possédé (digital)]])</f>
        <v>1</v>
      </c>
      <c r="G1474">
        <v>3</v>
      </c>
      <c r="H1474">
        <f>MAX(-1,3-Tableau1[[#This Row],[Possédé (physique)]])</f>
        <v>0</v>
      </c>
      <c r="I1474" t="str">
        <f>IF(Tableau1[[#This Row],[Manque (physique)]]&gt;Tableau1[[#This Row],[Manque (digital)]],"POD",IF(Tableau1[[#This Row],[Manque (digital)]]&gt;Tableau1[[#This Row],[Manque (physique)]],"MarketPlace",""))</f>
        <v>MarketPlace</v>
      </c>
      <c r="J1474" t="s">
        <v>30</v>
      </c>
      <c r="K1474" t="s">
        <v>79</v>
      </c>
      <c r="L1474" t="s">
        <v>23</v>
      </c>
      <c r="M1474" t="s">
        <v>23</v>
      </c>
      <c r="N1474" t="s">
        <v>52</v>
      </c>
      <c r="O1474" t="s">
        <v>37</v>
      </c>
      <c r="P1474" t="s">
        <v>37</v>
      </c>
      <c r="Q1474" t="s">
        <v>1421</v>
      </c>
    </row>
    <row r="1475" spans="1:17" hidden="1" x14ac:dyDescent="0.25">
      <c r="A1475" t="s">
        <v>1243</v>
      </c>
      <c r="B1475" t="s">
        <v>22</v>
      </c>
      <c r="C1475" t="s">
        <v>25</v>
      </c>
      <c r="D1475" t="s">
        <v>1156</v>
      </c>
      <c r="E1475">
        <v>2</v>
      </c>
      <c r="F1475">
        <f>MAX(-1,3-Tableau1[[#This Row],[Nb possédé (digital)]])</f>
        <v>1</v>
      </c>
      <c r="G1475">
        <v>3</v>
      </c>
      <c r="H1475">
        <f>MAX(-1,3-Tableau1[[#This Row],[Possédé (physique)]])</f>
        <v>0</v>
      </c>
      <c r="I1475" t="str">
        <f>IF(Tableau1[[#This Row],[Manque (physique)]]&gt;Tableau1[[#This Row],[Manque (digital)]],"POD",IF(Tableau1[[#This Row],[Manque (digital)]]&gt;Tableau1[[#This Row],[Manque (physique)]],"MarketPlace",""))</f>
        <v>MarketPlace</v>
      </c>
      <c r="J1475" t="s">
        <v>17</v>
      </c>
      <c r="K1475" t="s">
        <v>97</v>
      </c>
      <c r="L1475" t="s">
        <v>23</v>
      </c>
      <c r="M1475" t="s">
        <v>23</v>
      </c>
      <c r="Q1475" t="s">
        <v>1454</v>
      </c>
    </row>
    <row r="1476" spans="1:17" hidden="1" x14ac:dyDescent="0.25">
      <c r="A1476" t="s">
        <v>1247</v>
      </c>
      <c r="B1476" t="s">
        <v>22</v>
      </c>
      <c r="C1476" t="s">
        <v>25</v>
      </c>
      <c r="D1476" t="s">
        <v>1156</v>
      </c>
      <c r="E1476">
        <v>1</v>
      </c>
      <c r="F1476">
        <f>MAX(-1,3-Tableau1[[#This Row],[Nb possédé (digital)]])</f>
        <v>2</v>
      </c>
      <c r="G1476">
        <v>3</v>
      </c>
      <c r="H1476">
        <f>MAX(-1,3-Tableau1[[#This Row],[Possédé (physique)]])</f>
        <v>0</v>
      </c>
      <c r="I1476" t="str">
        <f>IF(Tableau1[[#This Row],[Manque (physique)]]&gt;Tableau1[[#This Row],[Manque (digital)]],"POD",IF(Tableau1[[#This Row],[Manque (digital)]]&gt;Tableau1[[#This Row],[Manque (physique)]],"MarketPlace",""))</f>
        <v>MarketPlace</v>
      </c>
      <c r="J1476" t="s">
        <v>17</v>
      </c>
      <c r="K1476" t="s">
        <v>97</v>
      </c>
      <c r="L1476" t="s">
        <v>23</v>
      </c>
      <c r="M1476" t="s">
        <v>23</v>
      </c>
      <c r="Q1476" t="s">
        <v>1462</v>
      </c>
    </row>
    <row r="1477" spans="1:17" hidden="1" x14ac:dyDescent="0.25">
      <c r="A1477" t="s">
        <v>1171</v>
      </c>
      <c r="B1477" t="s">
        <v>22</v>
      </c>
      <c r="C1477" t="s">
        <v>25</v>
      </c>
      <c r="D1477" t="s">
        <v>1156</v>
      </c>
      <c r="E1477">
        <v>1</v>
      </c>
      <c r="F1477">
        <f>MAX(-1,3-Tableau1[[#This Row],[Nb possédé (digital)]])</f>
        <v>2</v>
      </c>
      <c r="G1477">
        <v>3</v>
      </c>
      <c r="H1477">
        <f>MAX(-1,3-Tableau1[[#This Row],[Possédé (physique)]])</f>
        <v>0</v>
      </c>
      <c r="I1477" t="str">
        <f>IF(Tableau1[[#This Row],[Manque (physique)]]&gt;Tableau1[[#This Row],[Manque (digital)]],"POD",IF(Tableau1[[#This Row],[Manque (digital)]]&gt;Tableau1[[#This Row],[Manque (physique)]],"MarketPlace",""))</f>
        <v>MarketPlace</v>
      </c>
      <c r="J1477" t="s">
        <v>17</v>
      </c>
      <c r="K1477" t="s">
        <v>153</v>
      </c>
      <c r="L1477" t="s">
        <v>52</v>
      </c>
      <c r="M1477" t="s">
        <v>52</v>
      </c>
      <c r="Q1477" t="s">
        <v>1298</v>
      </c>
    </row>
    <row r="1478" spans="1:17" hidden="1" x14ac:dyDescent="0.25">
      <c r="A1478" t="s">
        <v>1174</v>
      </c>
      <c r="B1478" t="s">
        <v>22</v>
      </c>
      <c r="C1478" t="s">
        <v>25</v>
      </c>
      <c r="D1478" t="s">
        <v>1156</v>
      </c>
      <c r="E1478">
        <v>2</v>
      </c>
      <c r="F1478">
        <f>MAX(-1,3-Tableau1[[#This Row],[Nb possédé (digital)]])</f>
        <v>1</v>
      </c>
      <c r="G1478">
        <v>3</v>
      </c>
      <c r="H1478">
        <f>MAX(-1,3-Tableau1[[#This Row],[Possédé (physique)]])</f>
        <v>0</v>
      </c>
      <c r="I1478" t="str">
        <f>IF(Tableau1[[#This Row],[Manque (physique)]]&gt;Tableau1[[#This Row],[Manque (digital)]],"POD",IF(Tableau1[[#This Row],[Manque (digital)]]&gt;Tableau1[[#This Row],[Manque (physique)]],"MarketPlace",""))</f>
        <v>MarketPlace</v>
      </c>
      <c r="J1478" t="s">
        <v>268</v>
      </c>
      <c r="K1478" t="s">
        <v>438</v>
      </c>
      <c r="L1478" t="s">
        <v>52</v>
      </c>
      <c r="M1478" t="s">
        <v>52</v>
      </c>
      <c r="Q1478" t="s">
        <v>1307</v>
      </c>
    </row>
    <row r="1479" spans="1:17" hidden="1" x14ac:dyDescent="0.25">
      <c r="A1479" t="s">
        <v>1182</v>
      </c>
      <c r="B1479" t="s">
        <v>22</v>
      </c>
      <c r="C1479" t="s">
        <v>25</v>
      </c>
      <c r="D1479" t="s">
        <v>1156</v>
      </c>
      <c r="E1479">
        <v>1</v>
      </c>
      <c r="F1479">
        <f>MAX(-1,3-Tableau1[[#This Row],[Nb possédé (digital)]])</f>
        <v>2</v>
      </c>
      <c r="G1479">
        <v>3</v>
      </c>
      <c r="H1479">
        <f>MAX(-1,3-Tableau1[[#This Row],[Possédé (physique)]])</f>
        <v>0</v>
      </c>
      <c r="I1479" t="str">
        <f>IF(Tableau1[[#This Row],[Manque (physique)]]&gt;Tableau1[[#This Row],[Manque (digital)]],"POD",IF(Tableau1[[#This Row],[Manque (digital)]]&gt;Tableau1[[#This Row],[Manque (physique)]],"MarketPlace",""))</f>
        <v>MarketPlace</v>
      </c>
      <c r="J1479" t="s">
        <v>17</v>
      </c>
      <c r="K1479" t="s">
        <v>153</v>
      </c>
      <c r="L1479" t="s">
        <v>52</v>
      </c>
      <c r="M1479" t="s">
        <v>52</v>
      </c>
      <c r="Q1479" t="s">
        <v>1323</v>
      </c>
    </row>
    <row r="1480" spans="1:17" hidden="1" x14ac:dyDescent="0.25">
      <c r="A1480" t="s">
        <v>1198</v>
      </c>
      <c r="B1480" t="s">
        <v>22</v>
      </c>
      <c r="C1480" t="s">
        <v>25</v>
      </c>
      <c r="D1480" t="s">
        <v>1156</v>
      </c>
      <c r="E1480">
        <v>1</v>
      </c>
      <c r="F1480">
        <f>MAX(-1,3-Tableau1[[#This Row],[Nb possédé (digital)]])</f>
        <v>2</v>
      </c>
      <c r="G1480">
        <v>3</v>
      </c>
      <c r="H1480">
        <f>MAX(-1,3-Tableau1[[#This Row],[Possédé (physique)]])</f>
        <v>0</v>
      </c>
      <c r="I1480" t="str">
        <f>IF(Tableau1[[#This Row],[Manque (physique)]]&gt;Tableau1[[#This Row],[Manque (digital)]],"POD",IF(Tableau1[[#This Row],[Manque (digital)]]&gt;Tableau1[[#This Row],[Manque (physique)]],"MarketPlace",""))</f>
        <v>MarketPlace</v>
      </c>
      <c r="J1480" t="s">
        <v>17</v>
      </c>
      <c r="K1480" t="s">
        <v>153</v>
      </c>
      <c r="L1480" t="s">
        <v>52</v>
      </c>
      <c r="M1480" t="s">
        <v>52</v>
      </c>
      <c r="Q1480" t="s">
        <v>1355</v>
      </c>
    </row>
    <row r="1481" spans="1:17" hidden="1" x14ac:dyDescent="0.25">
      <c r="A1481" t="s">
        <v>1159</v>
      </c>
      <c r="B1481" t="s">
        <v>22</v>
      </c>
      <c r="C1481" t="s">
        <v>25</v>
      </c>
      <c r="D1481" t="s">
        <v>1156</v>
      </c>
      <c r="E1481">
        <v>1</v>
      </c>
      <c r="F1481">
        <f>MAX(-1,3-Tableau1[[#This Row],[Nb possédé (digital)]])</f>
        <v>2</v>
      </c>
      <c r="G1481">
        <v>3</v>
      </c>
      <c r="H1481">
        <f>MAX(-1,3-Tableau1[[#This Row],[Possédé (physique)]])</f>
        <v>0</v>
      </c>
      <c r="I1481" t="str">
        <f>IF(Tableau1[[#This Row],[Manque (physique)]]&gt;Tableau1[[#This Row],[Manque (digital)]],"POD",IF(Tableau1[[#This Row],[Manque (digital)]]&gt;Tableau1[[#This Row],[Manque (physique)]],"MarketPlace",""))</f>
        <v>MarketPlace</v>
      </c>
      <c r="J1481" t="s">
        <v>17</v>
      </c>
      <c r="K1481" t="s">
        <v>1271</v>
      </c>
      <c r="L1481" t="s">
        <v>37</v>
      </c>
      <c r="M1481" t="s">
        <v>37</v>
      </c>
      <c r="Q1481" t="s">
        <v>1273</v>
      </c>
    </row>
    <row r="1482" spans="1:17" hidden="1" x14ac:dyDescent="0.25">
      <c r="A1482" t="s">
        <v>1261</v>
      </c>
      <c r="B1482" t="s">
        <v>22</v>
      </c>
      <c r="C1482" t="s">
        <v>25</v>
      </c>
      <c r="D1482" t="s">
        <v>1156</v>
      </c>
      <c r="E1482">
        <v>1</v>
      </c>
      <c r="F1482">
        <f>MAX(-1,3-Tableau1[[#This Row],[Nb possédé (digital)]])</f>
        <v>2</v>
      </c>
      <c r="G1482">
        <v>3</v>
      </c>
      <c r="H1482">
        <f>MAX(-1,3-Tableau1[[#This Row],[Possédé (physique)]])</f>
        <v>0</v>
      </c>
      <c r="I1482" t="str">
        <f>IF(Tableau1[[#This Row],[Manque (physique)]]&gt;Tableau1[[#This Row],[Manque (digital)]],"POD",IF(Tableau1[[#This Row],[Manque (digital)]]&gt;Tableau1[[#This Row],[Manque (physique)]],"MarketPlace",""))</f>
        <v>MarketPlace</v>
      </c>
      <c r="J1482" t="s">
        <v>30</v>
      </c>
      <c r="K1482" t="s">
        <v>1471</v>
      </c>
      <c r="L1482" t="s">
        <v>37</v>
      </c>
      <c r="M1482" t="s">
        <v>37</v>
      </c>
      <c r="N1482" t="s">
        <v>52</v>
      </c>
      <c r="O1482" t="s">
        <v>52</v>
      </c>
      <c r="P1482" t="s">
        <v>52</v>
      </c>
      <c r="Q1482" t="s">
        <v>1487</v>
      </c>
    </row>
    <row r="1483" spans="1:17" hidden="1" x14ac:dyDescent="0.25">
      <c r="A1483" t="s">
        <v>1262</v>
      </c>
      <c r="B1483" t="s">
        <v>22</v>
      </c>
      <c r="C1483" t="s">
        <v>25</v>
      </c>
      <c r="D1483" t="s">
        <v>1156</v>
      </c>
      <c r="E1483">
        <v>1</v>
      </c>
      <c r="F1483">
        <f>MAX(-1,3-Tableau1[[#This Row],[Nb possédé (digital)]])</f>
        <v>2</v>
      </c>
      <c r="G1483">
        <v>3</v>
      </c>
      <c r="H1483">
        <f>MAX(-1,3-Tableau1[[#This Row],[Possédé (physique)]])</f>
        <v>0</v>
      </c>
      <c r="I1483" t="str">
        <f>IF(Tableau1[[#This Row],[Manque (physique)]]&gt;Tableau1[[#This Row],[Manque (digital)]],"POD",IF(Tableau1[[#This Row],[Manque (digital)]]&gt;Tableau1[[#This Row],[Manque (physique)]],"MarketPlace",""))</f>
        <v>MarketPlace</v>
      </c>
      <c r="J1483" t="s">
        <v>30</v>
      </c>
      <c r="K1483" t="s">
        <v>601</v>
      </c>
      <c r="L1483" t="s">
        <v>37</v>
      </c>
      <c r="M1483" t="s">
        <v>37</v>
      </c>
      <c r="N1483" t="s">
        <v>20</v>
      </c>
      <c r="O1483" t="s">
        <v>20</v>
      </c>
      <c r="P1483" t="s">
        <v>20</v>
      </c>
      <c r="Q1483" t="s">
        <v>1489</v>
      </c>
    </row>
    <row r="1484" spans="1:17" hidden="1" x14ac:dyDescent="0.25">
      <c r="A1484" t="s">
        <v>1242</v>
      </c>
      <c r="B1484" t="s">
        <v>22</v>
      </c>
      <c r="C1484" t="s">
        <v>25</v>
      </c>
      <c r="D1484" t="s">
        <v>1156</v>
      </c>
      <c r="E1484">
        <v>1</v>
      </c>
      <c r="F1484">
        <f>MAX(-1,3-Tableau1[[#This Row],[Nb possédé (digital)]])</f>
        <v>2</v>
      </c>
      <c r="G1484">
        <v>3</v>
      </c>
      <c r="H1484">
        <f>MAX(-1,3-Tableau1[[#This Row],[Possédé (physique)]])</f>
        <v>0</v>
      </c>
      <c r="I1484" t="str">
        <f>IF(Tableau1[[#This Row],[Manque (physique)]]&gt;Tableau1[[#This Row],[Manque (digital)]],"POD",IF(Tableau1[[#This Row],[Manque (digital)]]&gt;Tableau1[[#This Row],[Manque (physique)]],"MarketPlace",""))</f>
        <v>MarketPlace</v>
      </c>
      <c r="J1484" t="s">
        <v>30</v>
      </c>
      <c r="K1484" t="s">
        <v>601</v>
      </c>
      <c r="L1484" t="s">
        <v>39</v>
      </c>
      <c r="M1484" t="s">
        <v>39</v>
      </c>
      <c r="N1484" t="s">
        <v>23</v>
      </c>
      <c r="O1484" t="s">
        <v>19</v>
      </c>
      <c r="P1484" t="s">
        <v>23</v>
      </c>
      <c r="Q1484" t="s">
        <v>1451</v>
      </c>
    </row>
    <row r="1485" spans="1:17" hidden="1" x14ac:dyDescent="0.25">
      <c r="A1485" t="s">
        <v>1222</v>
      </c>
      <c r="B1485" t="s">
        <v>22</v>
      </c>
      <c r="C1485" t="s">
        <v>25</v>
      </c>
      <c r="D1485" t="s">
        <v>1156</v>
      </c>
      <c r="E1485">
        <v>1</v>
      </c>
      <c r="F1485">
        <f>MAX(-1,3-Tableau1[[#This Row],[Nb possédé (digital)]])</f>
        <v>2</v>
      </c>
      <c r="G1485">
        <v>3</v>
      </c>
      <c r="H1485">
        <f>MAX(-1,3-Tableau1[[#This Row],[Possédé (physique)]])</f>
        <v>0</v>
      </c>
      <c r="I1485" t="str">
        <f>IF(Tableau1[[#This Row],[Manque (physique)]]&gt;Tableau1[[#This Row],[Manque (digital)]],"POD",IF(Tableau1[[#This Row],[Manque (digital)]]&gt;Tableau1[[#This Row],[Manque (physique)]],"MarketPlace",""))</f>
        <v>MarketPlace</v>
      </c>
      <c r="J1485" t="s">
        <v>30</v>
      </c>
      <c r="K1485" t="s">
        <v>51</v>
      </c>
      <c r="L1485" t="s">
        <v>380</v>
      </c>
      <c r="M1485" t="s">
        <v>380</v>
      </c>
      <c r="N1485" t="s">
        <v>37</v>
      </c>
      <c r="O1485" t="s">
        <v>37</v>
      </c>
      <c r="P1485" t="s">
        <v>37</v>
      </c>
      <c r="Q1485" t="s">
        <v>1406</v>
      </c>
    </row>
    <row r="1486" spans="1:17" hidden="1" x14ac:dyDescent="0.25">
      <c r="A1486" t="s">
        <v>1227</v>
      </c>
      <c r="B1486" t="s">
        <v>22</v>
      </c>
      <c r="C1486" t="s">
        <v>25</v>
      </c>
      <c r="D1486" t="s">
        <v>1156</v>
      </c>
      <c r="E1486">
        <v>1</v>
      </c>
      <c r="F1486">
        <f>MAX(-1,3-Tableau1[[#This Row],[Nb possédé (digital)]])</f>
        <v>2</v>
      </c>
      <c r="G1486">
        <v>3</v>
      </c>
      <c r="H1486">
        <f>MAX(-1,3-Tableau1[[#This Row],[Possédé (physique)]])</f>
        <v>0</v>
      </c>
      <c r="I1486" t="str">
        <f>IF(Tableau1[[#This Row],[Manque (physique)]]&gt;Tableau1[[#This Row],[Manque (digital)]],"POD",IF(Tableau1[[#This Row],[Manque (digital)]]&gt;Tableau1[[#This Row],[Manque (physique)]],"MarketPlace",""))</f>
        <v>MarketPlace</v>
      </c>
      <c r="J1486" t="s">
        <v>17</v>
      </c>
      <c r="K1486" t="s">
        <v>201</v>
      </c>
      <c r="L1486" t="s">
        <v>380</v>
      </c>
      <c r="M1486" t="s">
        <v>380</v>
      </c>
      <c r="Q1486" t="s">
        <v>1420</v>
      </c>
    </row>
    <row r="1487" spans="1:17" hidden="1" x14ac:dyDescent="0.25">
      <c r="A1487" t="s">
        <v>320</v>
      </c>
      <c r="B1487" t="s">
        <v>22</v>
      </c>
      <c r="C1487" t="s">
        <v>45</v>
      </c>
      <c r="D1487" t="s">
        <v>16</v>
      </c>
      <c r="E1487">
        <v>3</v>
      </c>
      <c r="F1487">
        <f>MAX(-1,3-Tableau1[[#This Row],[Nb possédé (digital)]])</f>
        <v>0</v>
      </c>
      <c r="G1487">
        <v>3</v>
      </c>
      <c r="H1487">
        <f>MAX(-1,3-Tableau1[[#This Row],[Possédé (physique)]])</f>
        <v>0</v>
      </c>
      <c r="I1487" t="str">
        <f>IF(Tableau1[[#This Row],[Manque (physique)]]&gt;Tableau1[[#This Row],[Manque (digital)]],"POD",IF(Tableau1[[#This Row],[Manque (digital)]]&gt;Tableau1[[#This Row],[Manque (physique)]],"MarketPlace",""))</f>
        <v/>
      </c>
      <c r="J1487" t="s">
        <v>30</v>
      </c>
      <c r="K1487" t="s">
        <v>321</v>
      </c>
      <c r="L1487" t="s">
        <v>20</v>
      </c>
      <c r="M1487" t="s">
        <v>20</v>
      </c>
      <c r="N1487" t="s">
        <v>89</v>
      </c>
      <c r="O1487" t="s">
        <v>20</v>
      </c>
      <c r="P1487" t="s">
        <v>20</v>
      </c>
      <c r="Q1487" t="s">
        <v>323</v>
      </c>
    </row>
    <row r="1488" spans="1:17" hidden="1" x14ac:dyDescent="0.25">
      <c r="A1488" t="s">
        <v>807</v>
      </c>
      <c r="B1488" t="s">
        <v>22</v>
      </c>
      <c r="C1488" t="s">
        <v>45</v>
      </c>
      <c r="D1488" t="s">
        <v>16</v>
      </c>
      <c r="E1488">
        <v>3</v>
      </c>
      <c r="F1488">
        <f>MAX(-1,3-Tableau1[[#This Row],[Nb possédé (digital)]])</f>
        <v>0</v>
      </c>
      <c r="G1488">
        <v>3</v>
      </c>
      <c r="H1488">
        <f>MAX(-1,3-Tableau1[[#This Row],[Possédé (physique)]])</f>
        <v>0</v>
      </c>
      <c r="I1488" t="str">
        <f>IF(Tableau1[[#This Row],[Manque (physique)]]&gt;Tableau1[[#This Row],[Manque (digital)]],"POD",IF(Tableau1[[#This Row],[Manque (digital)]]&gt;Tableau1[[#This Row],[Manque (physique)]],"MarketPlace",""))</f>
        <v/>
      </c>
      <c r="J1488" t="s">
        <v>30</v>
      </c>
      <c r="K1488" t="s">
        <v>103</v>
      </c>
      <c r="L1488" t="s">
        <v>20</v>
      </c>
      <c r="M1488" t="s">
        <v>20</v>
      </c>
      <c r="N1488" t="s">
        <v>20</v>
      </c>
      <c r="O1488" t="s">
        <v>89</v>
      </c>
      <c r="P1488" t="s">
        <v>20</v>
      </c>
      <c r="Q1488" t="s">
        <v>810</v>
      </c>
    </row>
    <row r="1489" spans="1:17" hidden="1" x14ac:dyDescent="0.25">
      <c r="A1489" t="s">
        <v>1013</v>
      </c>
      <c r="B1489" t="s">
        <v>22</v>
      </c>
      <c r="C1489" t="s">
        <v>45</v>
      </c>
      <c r="D1489" t="s">
        <v>16</v>
      </c>
      <c r="E1489">
        <v>3</v>
      </c>
      <c r="F1489">
        <f>MAX(-1,3-Tableau1[[#This Row],[Nb possédé (digital)]])</f>
        <v>0</v>
      </c>
      <c r="G1489">
        <v>3</v>
      </c>
      <c r="H1489">
        <f>MAX(-1,3-Tableau1[[#This Row],[Possédé (physique)]])</f>
        <v>0</v>
      </c>
      <c r="I1489" t="str">
        <f>IF(Tableau1[[#This Row],[Manque (physique)]]&gt;Tableau1[[#This Row],[Manque (digital)]],"POD",IF(Tableau1[[#This Row],[Manque (digital)]]&gt;Tableau1[[#This Row],[Manque (physique)]],"MarketPlace",""))</f>
        <v/>
      </c>
      <c r="J1489" t="s">
        <v>30</v>
      </c>
      <c r="K1489" t="s">
        <v>358</v>
      </c>
      <c r="L1489" t="s">
        <v>20</v>
      </c>
      <c r="M1489" t="s">
        <v>20</v>
      </c>
      <c r="N1489" t="s">
        <v>89</v>
      </c>
      <c r="O1489" t="s">
        <v>20</v>
      </c>
      <c r="P1489" t="s">
        <v>89</v>
      </c>
      <c r="Q1489" t="s">
        <v>359</v>
      </c>
    </row>
    <row r="1490" spans="1:17" hidden="1" x14ac:dyDescent="0.25">
      <c r="A1490" t="s">
        <v>1095</v>
      </c>
      <c r="B1490" t="s">
        <v>22</v>
      </c>
      <c r="C1490" t="s">
        <v>45</v>
      </c>
      <c r="D1490" t="s">
        <v>16</v>
      </c>
      <c r="E1490">
        <v>3</v>
      </c>
      <c r="F1490">
        <f>MAX(-1,3-Tableau1[[#This Row],[Nb possédé (digital)]])</f>
        <v>0</v>
      </c>
      <c r="G1490">
        <v>3</v>
      </c>
      <c r="H1490">
        <f>MAX(-1,3-Tableau1[[#This Row],[Possédé (physique)]])</f>
        <v>0</v>
      </c>
      <c r="I1490" t="str">
        <f>IF(Tableau1[[#This Row],[Manque (physique)]]&gt;Tableau1[[#This Row],[Manque (digital)]],"POD",IF(Tableau1[[#This Row],[Manque (digital)]]&gt;Tableau1[[#This Row],[Manque (physique)]],"MarketPlace",""))</f>
        <v/>
      </c>
      <c r="J1490" t="s">
        <v>30</v>
      </c>
      <c r="K1490" t="s">
        <v>36</v>
      </c>
      <c r="L1490" t="s">
        <v>20</v>
      </c>
      <c r="M1490" t="s">
        <v>20</v>
      </c>
      <c r="N1490" t="s">
        <v>20</v>
      </c>
      <c r="O1490" t="s">
        <v>20</v>
      </c>
      <c r="P1490" t="s">
        <v>20</v>
      </c>
    </row>
    <row r="1491" spans="1:17" hidden="1" x14ac:dyDescent="0.25">
      <c r="A1491" t="s">
        <v>1109</v>
      </c>
      <c r="B1491" t="s">
        <v>22</v>
      </c>
      <c r="C1491" t="s">
        <v>45</v>
      </c>
      <c r="D1491" t="s">
        <v>16</v>
      </c>
      <c r="E1491">
        <v>3</v>
      </c>
      <c r="F1491">
        <f>MAX(-1,3-Tableau1[[#This Row],[Nb possédé (digital)]])</f>
        <v>0</v>
      </c>
      <c r="G1491">
        <v>3</v>
      </c>
      <c r="H1491">
        <f>MAX(-1,3-Tableau1[[#This Row],[Possédé (physique)]])</f>
        <v>0</v>
      </c>
      <c r="I1491" t="str">
        <f>IF(Tableau1[[#This Row],[Manque (physique)]]&gt;Tableau1[[#This Row],[Manque (digital)]],"POD",IF(Tableau1[[#This Row],[Manque (digital)]]&gt;Tableau1[[#This Row],[Manque (physique)]],"MarketPlace",""))</f>
        <v/>
      </c>
      <c r="J1491" t="s">
        <v>30</v>
      </c>
      <c r="K1491" t="s">
        <v>179</v>
      </c>
      <c r="L1491" t="s">
        <v>20</v>
      </c>
      <c r="M1491" t="s">
        <v>20</v>
      </c>
      <c r="N1491" t="s">
        <v>20</v>
      </c>
      <c r="O1491" t="s">
        <v>89</v>
      </c>
      <c r="P1491" t="s">
        <v>89</v>
      </c>
      <c r="Q1491" t="s">
        <v>241</v>
      </c>
    </row>
    <row r="1492" spans="1:17" hidden="1" x14ac:dyDescent="0.25">
      <c r="A1492" t="s">
        <v>317</v>
      </c>
      <c r="B1492" t="s">
        <v>22</v>
      </c>
      <c r="C1492" t="s">
        <v>45</v>
      </c>
      <c r="D1492" t="s">
        <v>16</v>
      </c>
      <c r="E1492">
        <v>3</v>
      </c>
      <c r="F1492">
        <f>MAX(-1,3-Tableau1[[#This Row],[Nb possédé (digital)]])</f>
        <v>0</v>
      </c>
      <c r="G1492">
        <v>3</v>
      </c>
      <c r="H1492">
        <f>MAX(-1,3-Tableau1[[#This Row],[Possédé (physique)]])</f>
        <v>0</v>
      </c>
      <c r="I1492" t="str">
        <f>IF(Tableau1[[#This Row],[Manque (physique)]]&gt;Tableau1[[#This Row],[Manque (digital)]],"POD",IF(Tableau1[[#This Row],[Manque (digital)]]&gt;Tableau1[[#This Row],[Manque (physique)]],"MarketPlace",""))</f>
        <v/>
      </c>
      <c r="J1492" t="s">
        <v>30</v>
      </c>
      <c r="K1492" t="s">
        <v>36</v>
      </c>
      <c r="L1492" t="s">
        <v>20</v>
      </c>
      <c r="M1492" t="s">
        <v>19</v>
      </c>
      <c r="N1492" t="s">
        <v>89</v>
      </c>
      <c r="O1492" t="s">
        <v>89</v>
      </c>
      <c r="P1492" t="s">
        <v>89</v>
      </c>
      <c r="Q1492" t="s">
        <v>318</v>
      </c>
    </row>
    <row r="1493" spans="1:17" hidden="1" x14ac:dyDescent="0.25">
      <c r="A1493" t="s">
        <v>403</v>
      </c>
      <c r="B1493" t="s">
        <v>22</v>
      </c>
      <c r="C1493" t="s">
        <v>45</v>
      </c>
      <c r="D1493" t="s">
        <v>16</v>
      </c>
      <c r="E1493">
        <v>3</v>
      </c>
      <c r="F1493">
        <f>MAX(-1,3-Tableau1[[#This Row],[Nb possédé (digital)]])</f>
        <v>0</v>
      </c>
      <c r="G1493">
        <v>3</v>
      </c>
      <c r="H1493">
        <f>MAX(-1,3-Tableau1[[#This Row],[Possédé (physique)]])</f>
        <v>0</v>
      </c>
      <c r="I1493" t="str">
        <f>IF(Tableau1[[#This Row],[Manque (physique)]]&gt;Tableau1[[#This Row],[Manque (digital)]],"POD",IF(Tableau1[[#This Row],[Manque (digital)]]&gt;Tableau1[[#This Row],[Manque (physique)]],"MarketPlace",""))</f>
        <v/>
      </c>
      <c r="J1493" t="s">
        <v>17</v>
      </c>
      <c r="K1493" t="s">
        <v>97</v>
      </c>
      <c r="L1493" t="s">
        <v>20</v>
      </c>
      <c r="M1493" t="s">
        <v>19</v>
      </c>
      <c r="Q1493" t="s">
        <v>404</v>
      </c>
    </row>
    <row r="1494" spans="1:17" hidden="1" x14ac:dyDescent="0.25">
      <c r="A1494" t="s">
        <v>778</v>
      </c>
      <c r="B1494" t="s">
        <v>22</v>
      </c>
      <c r="C1494" t="s">
        <v>45</v>
      </c>
      <c r="D1494" t="s">
        <v>16</v>
      </c>
      <c r="E1494">
        <v>3</v>
      </c>
      <c r="F1494">
        <f>MAX(-1,3-Tableau1[[#This Row],[Nb possédé (digital)]])</f>
        <v>0</v>
      </c>
      <c r="G1494">
        <v>3</v>
      </c>
      <c r="H1494">
        <f>MAX(-1,3-Tableau1[[#This Row],[Possédé (physique)]])</f>
        <v>0</v>
      </c>
      <c r="I1494" t="str">
        <f>IF(Tableau1[[#This Row],[Manque (physique)]]&gt;Tableau1[[#This Row],[Manque (digital)]],"POD",IF(Tableau1[[#This Row],[Manque (digital)]]&gt;Tableau1[[#This Row],[Manque (physique)]],"MarketPlace",""))</f>
        <v/>
      </c>
      <c r="J1494" t="s">
        <v>17</v>
      </c>
      <c r="K1494" t="s">
        <v>18</v>
      </c>
      <c r="L1494" t="s">
        <v>20</v>
      </c>
      <c r="M1494" t="s">
        <v>19</v>
      </c>
      <c r="Q1494" t="s">
        <v>781</v>
      </c>
    </row>
    <row r="1495" spans="1:17" hidden="1" x14ac:dyDescent="0.25">
      <c r="A1495" t="s">
        <v>1014</v>
      </c>
      <c r="B1495" t="s">
        <v>22</v>
      </c>
      <c r="C1495" t="s">
        <v>45</v>
      </c>
      <c r="D1495" t="s">
        <v>16</v>
      </c>
      <c r="E1495">
        <v>3</v>
      </c>
      <c r="F1495">
        <f>MAX(-1,3-Tableau1[[#This Row],[Nb possédé (digital)]])</f>
        <v>0</v>
      </c>
      <c r="G1495">
        <v>3</v>
      </c>
      <c r="H1495">
        <f>MAX(-1,3-Tableau1[[#This Row],[Possédé (physique)]])</f>
        <v>0</v>
      </c>
      <c r="I1495" t="str">
        <f>IF(Tableau1[[#This Row],[Manque (physique)]]&gt;Tableau1[[#This Row],[Manque (digital)]],"POD",IF(Tableau1[[#This Row],[Manque (digital)]]&gt;Tableau1[[#This Row],[Manque (physique)]],"MarketPlace",""))</f>
        <v/>
      </c>
      <c r="J1495" t="s">
        <v>17</v>
      </c>
      <c r="K1495" t="s">
        <v>153</v>
      </c>
      <c r="L1495" t="s">
        <v>20</v>
      </c>
      <c r="M1495" t="s">
        <v>23</v>
      </c>
      <c r="Q1495" t="s">
        <v>1015</v>
      </c>
    </row>
    <row r="1496" spans="1:17" hidden="1" x14ac:dyDescent="0.25">
      <c r="A1496" t="s">
        <v>483</v>
      </c>
      <c r="B1496" t="s">
        <v>22</v>
      </c>
      <c r="C1496" t="s">
        <v>45</v>
      </c>
      <c r="D1496" t="s">
        <v>16</v>
      </c>
      <c r="E1496">
        <v>3</v>
      </c>
      <c r="F1496">
        <f>MAX(-1,3-Tableau1[[#This Row],[Nb possédé (digital)]])</f>
        <v>0</v>
      </c>
      <c r="G1496">
        <v>3</v>
      </c>
      <c r="H1496">
        <f>MAX(-1,3-Tableau1[[#This Row],[Possédé (physique)]])</f>
        <v>0</v>
      </c>
      <c r="I1496" t="str">
        <f>IF(Tableau1[[#This Row],[Manque (physique)]]&gt;Tableau1[[#This Row],[Manque (digital)]],"POD",IF(Tableau1[[#This Row],[Manque (digital)]]&gt;Tableau1[[#This Row],[Manque (physique)]],"MarketPlace",""))</f>
        <v/>
      </c>
      <c r="J1496" t="s">
        <v>30</v>
      </c>
      <c r="K1496" t="s">
        <v>481</v>
      </c>
      <c r="L1496" t="s">
        <v>19</v>
      </c>
      <c r="M1496" t="s">
        <v>20</v>
      </c>
      <c r="N1496" t="s">
        <v>20</v>
      </c>
      <c r="O1496" t="s">
        <v>20</v>
      </c>
      <c r="P1496" t="s">
        <v>20</v>
      </c>
      <c r="Q1496" t="s">
        <v>215</v>
      </c>
    </row>
    <row r="1497" spans="1:17" hidden="1" x14ac:dyDescent="0.25">
      <c r="A1497" t="s">
        <v>773</v>
      </c>
      <c r="B1497" t="s">
        <v>22</v>
      </c>
      <c r="C1497" t="s">
        <v>45</v>
      </c>
      <c r="D1497" t="s">
        <v>16</v>
      </c>
      <c r="E1497">
        <v>3</v>
      </c>
      <c r="F1497">
        <f>MAX(-1,3-Tableau1[[#This Row],[Nb possédé (digital)]])</f>
        <v>0</v>
      </c>
      <c r="G1497">
        <v>3</v>
      </c>
      <c r="H1497">
        <f>MAX(-1,3-Tableau1[[#This Row],[Possédé (physique)]])</f>
        <v>0</v>
      </c>
      <c r="I1497" t="str">
        <f>IF(Tableau1[[#This Row],[Manque (physique)]]&gt;Tableau1[[#This Row],[Manque (digital)]],"POD",IF(Tableau1[[#This Row],[Manque (digital)]]&gt;Tableau1[[#This Row],[Manque (physique)]],"MarketPlace",""))</f>
        <v/>
      </c>
      <c r="J1497" t="s">
        <v>30</v>
      </c>
      <c r="K1497" t="s">
        <v>774</v>
      </c>
      <c r="L1497" t="s">
        <v>19</v>
      </c>
      <c r="M1497" t="s">
        <v>20</v>
      </c>
      <c r="N1497" t="s">
        <v>20</v>
      </c>
      <c r="O1497" t="s">
        <v>20</v>
      </c>
      <c r="P1497" t="s">
        <v>20</v>
      </c>
      <c r="Q1497" t="s">
        <v>777</v>
      </c>
    </row>
    <row r="1498" spans="1:17" hidden="1" x14ac:dyDescent="0.25">
      <c r="A1498" t="s">
        <v>41</v>
      </c>
      <c r="B1498" t="s">
        <v>22</v>
      </c>
      <c r="C1498" t="s">
        <v>45</v>
      </c>
      <c r="D1498" t="s">
        <v>16</v>
      </c>
      <c r="E1498">
        <v>3</v>
      </c>
      <c r="F1498">
        <f>MAX(-1,3-Tableau1[[#This Row],[Nb possédé (digital)]])</f>
        <v>0</v>
      </c>
      <c r="G1498">
        <v>3</v>
      </c>
      <c r="H1498">
        <f>MAX(-1,3-Tableau1[[#This Row],[Possédé (physique)]])</f>
        <v>0</v>
      </c>
      <c r="I1498" t="str">
        <f>IF(Tableau1[[#This Row],[Manque (physique)]]&gt;Tableau1[[#This Row],[Manque (digital)]],"POD",IF(Tableau1[[#This Row],[Manque (digital)]]&gt;Tableau1[[#This Row],[Manque (physique)]],"MarketPlace",""))</f>
        <v/>
      </c>
      <c r="J1498" t="s">
        <v>30</v>
      </c>
      <c r="K1498" t="s">
        <v>42</v>
      </c>
      <c r="L1498" t="s">
        <v>19</v>
      </c>
      <c r="M1498" t="s">
        <v>19</v>
      </c>
      <c r="N1498" t="s">
        <v>20</v>
      </c>
      <c r="O1498" t="s">
        <v>23</v>
      </c>
      <c r="P1498" t="s">
        <v>20</v>
      </c>
      <c r="Q1498" t="s">
        <v>46</v>
      </c>
    </row>
    <row r="1499" spans="1:17" hidden="1" x14ac:dyDescent="0.25">
      <c r="A1499" t="s">
        <v>106</v>
      </c>
      <c r="B1499" t="s">
        <v>22</v>
      </c>
      <c r="C1499" t="s">
        <v>45</v>
      </c>
      <c r="D1499" t="s">
        <v>16</v>
      </c>
      <c r="E1499">
        <v>3</v>
      </c>
      <c r="F1499">
        <f>MAX(-1,3-Tableau1[[#This Row],[Nb possédé (digital)]])</f>
        <v>0</v>
      </c>
      <c r="G1499">
        <v>3</v>
      </c>
      <c r="H1499">
        <f>MAX(-1,3-Tableau1[[#This Row],[Possédé (physique)]])</f>
        <v>0</v>
      </c>
      <c r="I1499" t="str">
        <f>IF(Tableau1[[#This Row],[Manque (physique)]]&gt;Tableau1[[#This Row],[Manque (digital)]],"POD",IF(Tableau1[[#This Row],[Manque (digital)]]&gt;Tableau1[[#This Row],[Manque (physique)]],"MarketPlace",""))</f>
        <v/>
      </c>
      <c r="J1499" t="s">
        <v>30</v>
      </c>
      <c r="K1499" t="s">
        <v>107</v>
      </c>
      <c r="L1499" t="s">
        <v>19</v>
      </c>
      <c r="M1499" t="s">
        <v>19</v>
      </c>
      <c r="N1499" t="s">
        <v>23</v>
      </c>
      <c r="O1499" t="s">
        <v>23</v>
      </c>
      <c r="P1499" t="s">
        <v>23</v>
      </c>
      <c r="Q1499" t="s">
        <v>108</v>
      </c>
    </row>
    <row r="1500" spans="1:17" hidden="1" x14ac:dyDescent="0.25">
      <c r="A1500" t="s">
        <v>147</v>
      </c>
      <c r="B1500" t="s">
        <v>22</v>
      </c>
      <c r="C1500" t="s">
        <v>45</v>
      </c>
      <c r="D1500" t="s">
        <v>16</v>
      </c>
      <c r="E1500">
        <v>3</v>
      </c>
      <c r="F1500">
        <f>MAX(-1,3-Tableau1[[#This Row],[Nb possédé (digital)]])</f>
        <v>0</v>
      </c>
      <c r="G1500">
        <v>3</v>
      </c>
      <c r="H1500">
        <f>MAX(-1,3-Tableau1[[#This Row],[Possédé (physique)]])</f>
        <v>0</v>
      </c>
      <c r="I1500" t="str">
        <f>IF(Tableau1[[#This Row],[Manque (physique)]]&gt;Tableau1[[#This Row],[Manque (digital)]],"POD",IF(Tableau1[[#This Row],[Manque (digital)]]&gt;Tableau1[[#This Row],[Manque (physique)]],"MarketPlace",""))</f>
        <v/>
      </c>
      <c r="J1500" t="s">
        <v>30</v>
      </c>
      <c r="K1500" t="s">
        <v>148</v>
      </c>
      <c r="L1500" t="s">
        <v>19</v>
      </c>
      <c r="M1500" t="s">
        <v>19</v>
      </c>
      <c r="N1500" t="s">
        <v>19</v>
      </c>
      <c r="O1500" t="s">
        <v>19</v>
      </c>
      <c r="P1500" t="s">
        <v>19</v>
      </c>
      <c r="Q1500" t="s">
        <v>149</v>
      </c>
    </row>
    <row r="1501" spans="1:17" hidden="1" x14ac:dyDescent="0.25">
      <c r="A1501" t="s">
        <v>225</v>
      </c>
      <c r="B1501" t="s">
        <v>22</v>
      </c>
      <c r="C1501" t="s">
        <v>45</v>
      </c>
      <c r="D1501" t="s">
        <v>16</v>
      </c>
      <c r="E1501">
        <v>3</v>
      </c>
      <c r="F1501">
        <f>MAX(-1,3-Tableau1[[#This Row],[Nb possédé (digital)]])</f>
        <v>0</v>
      </c>
      <c r="G1501">
        <v>3</v>
      </c>
      <c r="H1501">
        <f>MAX(-1,3-Tableau1[[#This Row],[Possédé (physique)]])</f>
        <v>0</v>
      </c>
      <c r="I1501" t="str">
        <f>IF(Tableau1[[#This Row],[Manque (physique)]]&gt;Tableau1[[#This Row],[Manque (digital)]],"POD",IF(Tableau1[[#This Row],[Manque (digital)]]&gt;Tableau1[[#This Row],[Manque (physique)]],"MarketPlace",""))</f>
        <v/>
      </c>
      <c r="J1501" t="s">
        <v>30</v>
      </c>
      <c r="K1501" t="s">
        <v>226</v>
      </c>
      <c r="L1501" t="s">
        <v>19</v>
      </c>
      <c r="M1501" t="s">
        <v>19</v>
      </c>
      <c r="N1501" t="s">
        <v>20</v>
      </c>
      <c r="O1501" t="s">
        <v>20</v>
      </c>
      <c r="P1501" t="s">
        <v>89</v>
      </c>
      <c r="Q1501" t="s">
        <v>228</v>
      </c>
    </row>
    <row r="1502" spans="1:17" hidden="1" x14ac:dyDescent="0.25">
      <c r="A1502" t="s">
        <v>240</v>
      </c>
      <c r="B1502" t="s">
        <v>22</v>
      </c>
      <c r="C1502" t="s">
        <v>45</v>
      </c>
      <c r="D1502" t="s">
        <v>16</v>
      </c>
      <c r="E1502">
        <v>3</v>
      </c>
      <c r="F1502">
        <f>MAX(-1,3-Tableau1[[#This Row],[Nb possédé (digital)]])</f>
        <v>0</v>
      </c>
      <c r="G1502">
        <v>3</v>
      </c>
      <c r="H1502">
        <f>MAX(-1,3-Tableau1[[#This Row],[Possédé (physique)]])</f>
        <v>0</v>
      </c>
      <c r="I1502" t="str">
        <f>IF(Tableau1[[#This Row],[Manque (physique)]]&gt;Tableau1[[#This Row],[Manque (digital)]],"POD",IF(Tableau1[[#This Row],[Manque (digital)]]&gt;Tableau1[[#This Row],[Manque (physique)]],"MarketPlace",""))</f>
        <v/>
      </c>
      <c r="J1502" t="s">
        <v>30</v>
      </c>
      <c r="K1502" t="s">
        <v>72</v>
      </c>
      <c r="L1502" t="s">
        <v>19</v>
      </c>
      <c r="M1502" t="s">
        <v>19</v>
      </c>
      <c r="N1502" t="s">
        <v>20</v>
      </c>
      <c r="O1502" t="s">
        <v>20</v>
      </c>
      <c r="P1502" t="s">
        <v>20</v>
      </c>
      <c r="Q1502" t="s">
        <v>243</v>
      </c>
    </row>
    <row r="1503" spans="1:17" hidden="1" x14ac:dyDescent="0.25">
      <c r="A1503" t="s">
        <v>310</v>
      </c>
      <c r="B1503" t="s">
        <v>22</v>
      </c>
      <c r="C1503" t="s">
        <v>45</v>
      </c>
      <c r="D1503" t="s">
        <v>16</v>
      </c>
      <c r="E1503">
        <v>3</v>
      </c>
      <c r="F1503">
        <f>MAX(-1,3-Tableau1[[#This Row],[Nb possédé (digital)]])</f>
        <v>0</v>
      </c>
      <c r="G1503">
        <v>3</v>
      </c>
      <c r="H1503">
        <f>MAX(-1,3-Tableau1[[#This Row],[Possédé (physique)]])</f>
        <v>0</v>
      </c>
      <c r="I1503" t="str">
        <f>IF(Tableau1[[#This Row],[Manque (physique)]]&gt;Tableau1[[#This Row],[Manque (digital)]],"POD",IF(Tableau1[[#This Row],[Manque (digital)]]&gt;Tableau1[[#This Row],[Manque (physique)]],"MarketPlace",""))</f>
        <v/>
      </c>
      <c r="J1503" t="s">
        <v>30</v>
      </c>
      <c r="K1503" t="s">
        <v>311</v>
      </c>
      <c r="L1503" t="s">
        <v>19</v>
      </c>
      <c r="M1503" t="s">
        <v>19</v>
      </c>
      <c r="N1503" t="s">
        <v>20</v>
      </c>
      <c r="O1503" t="s">
        <v>20</v>
      </c>
      <c r="P1503" t="s">
        <v>23</v>
      </c>
      <c r="Q1503" t="s">
        <v>313</v>
      </c>
    </row>
    <row r="1504" spans="1:17" hidden="1" x14ac:dyDescent="0.25">
      <c r="A1504" t="s">
        <v>474</v>
      </c>
      <c r="B1504" t="s">
        <v>22</v>
      </c>
      <c r="C1504" t="s">
        <v>45</v>
      </c>
      <c r="D1504" t="s">
        <v>16</v>
      </c>
      <c r="E1504">
        <v>3</v>
      </c>
      <c r="F1504">
        <f>MAX(-1,3-Tableau1[[#This Row],[Nb possédé (digital)]])</f>
        <v>0</v>
      </c>
      <c r="G1504">
        <v>3</v>
      </c>
      <c r="H1504">
        <f>MAX(-1,3-Tableau1[[#This Row],[Possédé (physique)]])</f>
        <v>0</v>
      </c>
      <c r="I1504" t="str">
        <f>IF(Tableau1[[#This Row],[Manque (physique)]]&gt;Tableau1[[#This Row],[Manque (digital)]],"POD",IF(Tableau1[[#This Row],[Manque (digital)]]&gt;Tableau1[[#This Row],[Manque (physique)]],"MarketPlace",""))</f>
        <v/>
      </c>
      <c r="J1504" t="s">
        <v>17</v>
      </c>
      <c r="K1504" t="s">
        <v>201</v>
      </c>
      <c r="L1504" t="s">
        <v>19</v>
      </c>
      <c r="M1504" t="s">
        <v>19</v>
      </c>
      <c r="Q1504" t="s">
        <v>475</v>
      </c>
    </row>
    <row r="1505" spans="1:17" hidden="1" x14ac:dyDescent="0.25">
      <c r="A1505" t="s">
        <v>532</v>
      </c>
      <c r="B1505" t="s">
        <v>22</v>
      </c>
      <c r="C1505" t="s">
        <v>45</v>
      </c>
      <c r="D1505" t="s">
        <v>16</v>
      </c>
      <c r="E1505">
        <v>3</v>
      </c>
      <c r="F1505">
        <f>MAX(-1,3-Tableau1[[#This Row],[Nb possédé (digital)]])</f>
        <v>0</v>
      </c>
      <c r="G1505">
        <v>3</v>
      </c>
      <c r="H1505">
        <f>MAX(-1,3-Tableau1[[#This Row],[Possédé (physique)]])</f>
        <v>0</v>
      </c>
      <c r="I1505" t="str">
        <f>IF(Tableau1[[#This Row],[Manque (physique)]]&gt;Tableau1[[#This Row],[Manque (digital)]],"POD",IF(Tableau1[[#This Row],[Manque (digital)]]&gt;Tableau1[[#This Row],[Manque (physique)]],"MarketPlace",""))</f>
        <v/>
      </c>
      <c r="J1505" t="s">
        <v>30</v>
      </c>
      <c r="K1505" t="s">
        <v>86</v>
      </c>
      <c r="L1505" t="s">
        <v>19</v>
      </c>
      <c r="M1505" t="s">
        <v>19</v>
      </c>
      <c r="N1505" t="s">
        <v>23</v>
      </c>
      <c r="O1505" t="s">
        <v>23</v>
      </c>
      <c r="P1505" t="s">
        <v>89</v>
      </c>
      <c r="Q1505" t="s">
        <v>533</v>
      </c>
    </row>
    <row r="1506" spans="1:17" hidden="1" x14ac:dyDescent="0.25">
      <c r="A1506" t="s">
        <v>544</v>
      </c>
      <c r="B1506" t="s">
        <v>22</v>
      </c>
      <c r="C1506" t="s">
        <v>45</v>
      </c>
      <c r="D1506" t="s">
        <v>16</v>
      </c>
      <c r="E1506">
        <v>3</v>
      </c>
      <c r="F1506">
        <f>MAX(-1,3-Tableau1[[#This Row],[Nb possédé (digital)]])</f>
        <v>0</v>
      </c>
      <c r="G1506">
        <v>3</v>
      </c>
      <c r="H1506">
        <f>MAX(-1,3-Tableau1[[#This Row],[Possédé (physique)]])</f>
        <v>0</v>
      </c>
      <c r="I1506" t="str">
        <f>IF(Tableau1[[#This Row],[Manque (physique)]]&gt;Tableau1[[#This Row],[Manque (digital)]],"POD",IF(Tableau1[[#This Row],[Manque (digital)]]&gt;Tableau1[[#This Row],[Manque (physique)]],"MarketPlace",""))</f>
        <v/>
      </c>
      <c r="J1506" t="s">
        <v>30</v>
      </c>
      <c r="K1506" t="s">
        <v>83</v>
      </c>
      <c r="L1506" t="s">
        <v>19</v>
      </c>
      <c r="M1506" t="s">
        <v>19</v>
      </c>
      <c r="N1506" t="s">
        <v>20</v>
      </c>
      <c r="O1506" t="s">
        <v>19</v>
      </c>
      <c r="P1506" t="s">
        <v>19</v>
      </c>
      <c r="Q1506" t="s">
        <v>545</v>
      </c>
    </row>
    <row r="1507" spans="1:17" hidden="1" x14ac:dyDescent="0.25">
      <c r="A1507" t="s">
        <v>582</v>
      </c>
      <c r="B1507" t="s">
        <v>22</v>
      </c>
      <c r="C1507" t="s">
        <v>45</v>
      </c>
      <c r="D1507" t="s">
        <v>16</v>
      </c>
      <c r="E1507">
        <v>3</v>
      </c>
      <c r="F1507">
        <f>MAX(-1,3-Tableau1[[#This Row],[Nb possédé (digital)]])</f>
        <v>0</v>
      </c>
      <c r="G1507">
        <v>3</v>
      </c>
      <c r="H1507">
        <f>MAX(-1,3-Tableau1[[#This Row],[Possédé (physique)]])</f>
        <v>0</v>
      </c>
      <c r="I1507" t="str">
        <f>IF(Tableau1[[#This Row],[Manque (physique)]]&gt;Tableau1[[#This Row],[Manque (digital)]],"POD",IF(Tableau1[[#This Row],[Manque (digital)]]&gt;Tableau1[[#This Row],[Manque (physique)]],"MarketPlace",""))</f>
        <v/>
      </c>
      <c r="J1507" t="s">
        <v>17</v>
      </c>
      <c r="K1507" t="s">
        <v>153</v>
      </c>
      <c r="L1507" t="s">
        <v>19</v>
      </c>
      <c r="M1507" t="s">
        <v>19</v>
      </c>
      <c r="Q1507" t="s">
        <v>583</v>
      </c>
    </row>
    <row r="1508" spans="1:17" hidden="1" x14ac:dyDescent="0.25">
      <c r="A1508" t="s">
        <v>767</v>
      </c>
      <c r="B1508" t="s">
        <v>22</v>
      </c>
      <c r="C1508" t="s">
        <v>45</v>
      </c>
      <c r="D1508" t="s">
        <v>16</v>
      </c>
      <c r="E1508">
        <v>3</v>
      </c>
      <c r="F1508">
        <f>MAX(-1,3-Tableau1[[#This Row],[Nb possédé (digital)]])</f>
        <v>0</v>
      </c>
      <c r="G1508">
        <v>3</v>
      </c>
      <c r="H1508">
        <f>MAX(-1,3-Tableau1[[#This Row],[Possédé (physique)]])</f>
        <v>0</v>
      </c>
      <c r="I1508" t="str">
        <f>IF(Tableau1[[#This Row],[Manque (physique)]]&gt;Tableau1[[#This Row],[Manque (digital)]],"POD",IF(Tableau1[[#This Row],[Manque (digital)]]&gt;Tableau1[[#This Row],[Manque (physique)]],"MarketPlace",""))</f>
        <v/>
      </c>
      <c r="J1508" t="s">
        <v>30</v>
      </c>
      <c r="K1508" t="s">
        <v>107</v>
      </c>
      <c r="L1508" t="s">
        <v>19</v>
      </c>
      <c r="M1508" t="s">
        <v>19</v>
      </c>
      <c r="N1508" t="s">
        <v>19</v>
      </c>
      <c r="O1508" t="s">
        <v>20</v>
      </c>
      <c r="P1508" t="s">
        <v>19</v>
      </c>
      <c r="Q1508" t="s">
        <v>768</v>
      </c>
    </row>
    <row r="1509" spans="1:17" hidden="1" x14ac:dyDescent="0.25">
      <c r="A1509" t="s">
        <v>628</v>
      </c>
      <c r="B1509" t="s">
        <v>22</v>
      </c>
      <c r="C1509" t="s">
        <v>45</v>
      </c>
      <c r="D1509" t="s">
        <v>16</v>
      </c>
      <c r="E1509">
        <v>3</v>
      </c>
      <c r="F1509">
        <f>MAX(-1,3-Tableau1[[#This Row],[Nb possédé (digital)]])</f>
        <v>0</v>
      </c>
      <c r="G1509">
        <v>3</v>
      </c>
      <c r="H1509">
        <f>MAX(-1,3-Tableau1[[#This Row],[Possédé (physique)]])</f>
        <v>0</v>
      </c>
      <c r="I1509" t="str">
        <f>IF(Tableau1[[#This Row],[Manque (physique)]]&gt;Tableau1[[#This Row],[Manque (digital)]],"POD",IF(Tableau1[[#This Row],[Manque (digital)]]&gt;Tableau1[[#This Row],[Manque (physique)]],"MarketPlace",""))</f>
        <v/>
      </c>
      <c r="J1509" t="s">
        <v>217</v>
      </c>
      <c r="K1509" t="s">
        <v>218</v>
      </c>
      <c r="L1509" t="s">
        <v>19</v>
      </c>
      <c r="M1509" t="s">
        <v>19</v>
      </c>
      <c r="Q1509" t="s">
        <v>629</v>
      </c>
    </row>
    <row r="1510" spans="1:17" hidden="1" x14ac:dyDescent="0.25">
      <c r="A1510" t="s">
        <v>936</v>
      </c>
      <c r="B1510" t="s">
        <v>22</v>
      </c>
      <c r="C1510" t="s">
        <v>45</v>
      </c>
      <c r="D1510" t="s">
        <v>16</v>
      </c>
      <c r="E1510">
        <v>3</v>
      </c>
      <c r="F1510">
        <f>MAX(-1,3-Tableau1[[#This Row],[Nb possédé (digital)]])</f>
        <v>0</v>
      </c>
      <c r="G1510">
        <v>3</v>
      </c>
      <c r="H1510">
        <f>MAX(-1,3-Tableau1[[#This Row],[Possédé (physique)]])</f>
        <v>0</v>
      </c>
      <c r="I1510" t="str">
        <f>IF(Tableau1[[#This Row],[Manque (physique)]]&gt;Tableau1[[#This Row],[Manque (digital)]],"POD",IF(Tableau1[[#This Row],[Manque (digital)]]&gt;Tableau1[[#This Row],[Manque (physique)]],"MarketPlace",""))</f>
        <v/>
      </c>
      <c r="J1510" t="s">
        <v>30</v>
      </c>
      <c r="K1510" t="s">
        <v>83</v>
      </c>
      <c r="L1510" t="s">
        <v>19</v>
      </c>
      <c r="M1510" t="s">
        <v>19</v>
      </c>
      <c r="N1510" t="s">
        <v>19</v>
      </c>
      <c r="O1510" t="s">
        <v>19</v>
      </c>
      <c r="P1510" t="s">
        <v>19</v>
      </c>
      <c r="Q1510" t="s">
        <v>937</v>
      </c>
    </row>
    <row r="1511" spans="1:17" hidden="1" x14ac:dyDescent="0.25">
      <c r="A1511" t="s">
        <v>1008</v>
      </c>
      <c r="B1511" t="s">
        <v>22</v>
      </c>
      <c r="C1511" t="s">
        <v>45</v>
      </c>
      <c r="D1511" t="s">
        <v>16</v>
      </c>
      <c r="E1511">
        <v>3</v>
      </c>
      <c r="F1511">
        <f>MAX(-1,3-Tableau1[[#This Row],[Nb possédé (digital)]])</f>
        <v>0</v>
      </c>
      <c r="G1511">
        <v>3</v>
      </c>
      <c r="H1511">
        <f>MAX(-1,3-Tableau1[[#This Row],[Possédé (physique)]])</f>
        <v>0</v>
      </c>
      <c r="I1511" t="str">
        <f>IF(Tableau1[[#This Row],[Manque (physique)]]&gt;Tableau1[[#This Row],[Manque (digital)]],"POD",IF(Tableau1[[#This Row],[Manque (digital)]]&gt;Tableau1[[#This Row],[Manque (physique)]],"MarketPlace",""))</f>
        <v/>
      </c>
      <c r="J1511" t="s">
        <v>30</v>
      </c>
      <c r="K1511" t="s">
        <v>171</v>
      </c>
      <c r="L1511" t="s">
        <v>19</v>
      </c>
      <c r="M1511" t="s">
        <v>19</v>
      </c>
      <c r="N1511" t="s">
        <v>23</v>
      </c>
      <c r="O1511" t="s">
        <v>89</v>
      </c>
      <c r="P1511" t="s">
        <v>19</v>
      </c>
      <c r="Q1511" t="s">
        <v>1009</v>
      </c>
    </row>
    <row r="1512" spans="1:17" hidden="1" x14ac:dyDescent="0.25">
      <c r="A1512" t="s">
        <v>415</v>
      </c>
      <c r="B1512" t="s">
        <v>22</v>
      </c>
      <c r="C1512" t="s">
        <v>45</v>
      </c>
      <c r="D1512" t="s">
        <v>16</v>
      </c>
      <c r="E1512">
        <v>3</v>
      </c>
      <c r="F1512">
        <f>MAX(-1,3-Tableau1[[#This Row],[Nb possédé (digital)]])</f>
        <v>0</v>
      </c>
      <c r="G1512">
        <v>3</v>
      </c>
      <c r="H1512">
        <f>MAX(-1,3-Tableau1[[#This Row],[Possédé (physique)]])</f>
        <v>0</v>
      </c>
      <c r="I1512" t="str">
        <f>IF(Tableau1[[#This Row],[Manque (physique)]]&gt;Tableau1[[#This Row],[Manque (digital)]],"POD",IF(Tableau1[[#This Row],[Manque (digital)]]&gt;Tableau1[[#This Row],[Manque (physique)]],"MarketPlace",""))</f>
        <v/>
      </c>
      <c r="J1512" t="s">
        <v>17</v>
      </c>
      <c r="K1512" t="s">
        <v>18</v>
      </c>
      <c r="L1512" t="s">
        <v>19</v>
      </c>
      <c r="M1512" t="s">
        <v>23</v>
      </c>
      <c r="Q1512" t="s">
        <v>416</v>
      </c>
    </row>
    <row r="1513" spans="1:17" hidden="1" x14ac:dyDescent="0.25">
      <c r="A1513" t="s">
        <v>421</v>
      </c>
      <c r="B1513" t="s">
        <v>22</v>
      </c>
      <c r="C1513" t="s">
        <v>45</v>
      </c>
      <c r="D1513" t="s">
        <v>16</v>
      </c>
      <c r="E1513">
        <v>3</v>
      </c>
      <c r="F1513">
        <f>MAX(-1,3-Tableau1[[#This Row],[Nb possédé (digital)]])</f>
        <v>0</v>
      </c>
      <c r="G1513">
        <v>3</v>
      </c>
      <c r="H1513">
        <f>MAX(-1,3-Tableau1[[#This Row],[Possédé (physique)]])</f>
        <v>0</v>
      </c>
      <c r="I1513" t="str">
        <f>IF(Tableau1[[#This Row],[Manque (physique)]]&gt;Tableau1[[#This Row],[Manque (digital)]],"POD",IF(Tableau1[[#This Row],[Manque (digital)]]&gt;Tableau1[[#This Row],[Manque (physique)]],"MarketPlace",""))</f>
        <v/>
      </c>
      <c r="J1513" t="s">
        <v>17</v>
      </c>
      <c r="K1513" t="s">
        <v>153</v>
      </c>
      <c r="L1513" t="s">
        <v>19</v>
      </c>
      <c r="M1513" t="s">
        <v>23</v>
      </c>
      <c r="Q1513" t="s">
        <v>423</v>
      </c>
    </row>
    <row r="1514" spans="1:17" hidden="1" x14ac:dyDescent="0.25">
      <c r="A1514" t="s">
        <v>62</v>
      </c>
      <c r="B1514" t="s">
        <v>22</v>
      </c>
      <c r="C1514" t="s">
        <v>45</v>
      </c>
      <c r="D1514" t="s">
        <v>16</v>
      </c>
      <c r="E1514">
        <v>3</v>
      </c>
      <c r="F1514">
        <f>MAX(-1,3-Tableau1[[#This Row],[Nb possédé (digital)]])</f>
        <v>0</v>
      </c>
      <c r="G1514">
        <v>3</v>
      </c>
      <c r="H1514">
        <f>MAX(-1,3-Tableau1[[#This Row],[Possédé (physique)]])</f>
        <v>0</v>
      </c>
      <c r="I1514" t="str">
        <f>IF(Tableau1[[#This Row],[Manque (physique)]]&gt;Tableau1[[#This Row],[Manque (digital)]],"POD",IF(Tableau1[[#This Row],[Manque (digital)]]&gt;Tableau1[[#This Row],[Manque (physique)]],"MarketPlace",""))</f>
        <v/>
      </c>
      <c r="J1514" t="s">
        <v>30</v>
      </c>
      <c r="K1514" t="s">
        <v>63</v>
      </c>
      <c r="L1514" t="s">
        <v>23</v>
      </c>
      <c r="M1514" t="s">
        <v>20</v>
      </c>
      <c r="N1514" t="s">
        <v>20</v>
      </c>
      <c r="O1514" t="s">
        <v>20</v>
      </c>
      <c r="P1514" t="s">
        <v>20</v>
      </c>
      <c r="Q1514" t="s">
        <v>66</v>
      </c>
    </row>
    <row r="1515" spans="1:17" hidden="1" x14ac:dyDescent="0.25">
      <c r="A1515" t="s">
        <v>160</v>
      </c>
      <c r="B1515" t="s">
        <v>22</v>
      </c>
      <c r="C1515" t="s">
        <v>45</v>
      </c>
      <c r="D1515" t="s">
        <v>16</v>
      </c>
      <c r="E1515">
        <v>3</v>
      </c>
      <c r="F1515">
        <f>MAX(-1,3-Tableau1[[#This Row],[Nb possédé (digital)]])</f>
        <v>0</v>
      </c>
      <c r="G1515">
        <v>3</v>
      </c>
      <c r="H1515">
        <f>MAX(-1,3-Tableau1[[#This Row],[Possédé (physique)]])</f>
        <v>0</v>
      </c>
      <c r="I1515" t="str">
        <f>IF(Tableau1[[#This Row],[Manque (physique)]]&gt;Tableau1[[#This Row],[Manque (digital)]],"POD",IF(Tableau1[[#This Row],[Manque (digital)]]&gt;Tableau1[[#This Row],[Manque (physique)]],"MarketPlace",""))</f>
        <v/>
      </c>
      <c r="J1515" t="s">
        <v>30</v>
      </c>
      <c r="K1515" t="s">
        <v>124</v>
      </c>
      <c r="L1515" t="s">
        <v>23</v>
      </c>
      <c r="M1515" t="s">
        <v>19</v>
      </c>
      <c r="N1515" t="s">
        <v>23</v>
      </c>
      <c r="O1515" t="s">
        <v>19</v>
      </c>
      <c r="P1515" t="s">
        <v>19</v>
      </c>
      <c r="Q1515" t="s">
        <v>161</v>
      </c>
    </row>
    <row r="1516" spans="1:17" hidden="1" x14ac:dyDescent="0.25">
      <c r="A1516" t="s">
        <v>67</v>
      </c>
      <c r="B1516" t="s">
        <v>22</v>
      </c>
      <c r="C1516" t="s">
        <v>45</v>
      </c>
      <c r="D1516" t="s">
        <v>16</v>
      </c>
      <c r="E1516">
        <v>3</v>
      </c>
      <c r="F1516">
        <f>MAX(-1,3-Tableau1[[#This Row],[Nb possédé (digital)]])</f>
        <v>0</v>
      </c>
      <c r="G1516">
        <v>3</v>
      </c>
      <c r="H1516">
        <f>MAX(-1,3-Tableau1[[#This Row],[Possédé (physique)]])</f>
        <v>0</v>
      </c>
      <c r="I1516" t="str">
        <f>IF(Tableau1[[#This Row],[Manque (physique)]]&gt;Tableau1[[#This Row],[Manque (digital)]],"POD",IF(Tableau1[[#This Row],[Manque (digital)]]&gt;Tableau1[[#This Row],[Manque (physique)]],"MarketPlace",""))</f>
        <v/>
      </c>
      <c r="J1516" t="s">
        <v>30</v>
      </c>
      <c r="K1516" t="s">
        <v>68</v>
      </c>
      <c r="L1516" t="s">
        <v>23</v>
      </c>
      <c r="M1516" t="s">
        <v>23</v>
      </c>
      <c r="N1516" t="s">
        <v>23</v>
      </c>
      <c r="O1516" t="s">
        <v>23</v>
      </c>
      <c r="P1516" t="s">
        <v>52</v>
      </c>
      <c r="Q1516" t="s">
        <v>69</v>
      </c>
    </row>
    <row r="1517" spans="1:17" hidden="1" x14ac:dyDescent="0.25">
      <c r="A1517" t="s">
        <v>207</v>
      </c>
      <c r="B1517" t="s">
        <v>22</v>
      </c>
      <c r="C1517" t="s">
        <v>45</v>
      </c>
      <c r="D1517" t="s">
        <v>16</v>
      </c>
      <c r="E1517">
        <v>3</v>
      </c>
      <c r="F1517">
        <f>MAX(-1,3-Tableau1[[#This Row],[Nb possédé (digital)]])</f>
        <v>0</v>
      </c>
      <c r="G1517">
        <v>3</v>
      </c>
      <c r="H1517">
        <f>MAX(-1,3-Tableau1[[#This Row],[Possédé (physique)]])</f>
        <v>0</v>
      </c>
      <c r="I1517" t="str">
        <f>IF(Tableau1[[#This Row],[Manque (physique)]]&gt;Tableau1[[#This Row],[Manque (digital)]],"POD",IF(Tableau1[[#This Row],[Manque (digital)]]&gt;Tableau1[[#This Row],[Manque (physique)]],"MarketPlace",""))</f>
        <v/>
      </c>
      <c r="J1517" t="s">
        <v>17</v>
      </c>
      <c r="K1517" t="s">
        <v>153</v>
      </c>
      <c r="L1517" t="s">
        <v>23</v>
      </c>
      <c r="M1517" t="s">
        <v>23</v>
      </c>
      <c r="Q1517" t="s">
        <v>208</v>
      </c>
    </row>
    <row r="1518" spans="1:17" hidden="1" x14ac:dyDescent="0.25">
      <c r="A1518" t="s">
        <v>331</v>
      </c>
      <c r="B1518" t="s">
        <v>22</v>
      </c>
      <c r="C1518" t="s">
        <v>45</v>
      </c>
      <c r="D1518" t="s">
        <v>16</v>
      </c>
      <c r="E1518">
        <v>3</v>
      </c>
      <c r="F1518">
        <f>MAX(-1,3-Tableau1[[#This Row],[Nb possédé (digital)]])</f>
        <v>0</v>
      </c>
      <c r="G1518">
        <v>3</v>
      </c>
      <c r="H1518">
        <f>MAX(-1,3-Tableau1[[#This Row],[Possédé (physique)]])</f>
        <v>0</v>
      </c>
      <c r="I1518" t="str">
        <f>IF(Tableau1[[#This Row],[Manque (physique)]]&gt;Tableau1[[#This Row],[Manque (digital)]],"POD",IF(Tableau1[[#This Row],[Manque (digital)]]&gt;Tableau1[[#This Row],[Manque (physique)]],"MarketPlace",""))</f>
        <v/>
      </c>
      <c r="J1518" t="s">
        <v>17</v>
      </c>
      <c r="K1518" t="s">
        <v>97</v>
      </c>
      <c r="L1518" t="s">
        <v>23</v>
      </c>
      <c r="M1518" t="s">
        <v>23</v>
      </c>
      <c r="Q1518" t="s">
        <v>333</v>
      </c>
    </row>
    <row r="1519" spans="1:17" hidden="1" x14ac:dyDescent="0.25">
      <c r="A1519" t="s">
        <v>906</v>
      </c>
      <c r="B1519" t="s">
        <v>22</v>
      </c>
      <c r="C1519" t="s">
        <v>45</v>
      </c>
      <c r="D1519" t="s">
        <v>16</v>
      </c>
      <c r="E1519">
        <v>3</v>
      </c>
      <c r="F1519">
        <f>MAX(-1,3-Tableau1[[#This Row],[Nb possédé (digital)]])</f>
        <v>0</v>
      </c>
      <c r="G1519">
        <v>3</v>
      </c>
      <c r="H1519">
        <f>MAX(-1,3-Tableau1[[#This Row],[Possédé (physique)]])</f>
        <v>0</v>
      </c>
      <c r="I1519" t="str">
        <f>IF(Tableau1[[#This Row],[Manque (physique)]]&gt;Tableau1[[#This Row],[Manque (digital)]],"POD",IF(Tableau1[[#This Row],[Manque (digital)]]&gt;Tableau1[[#This Row],[Manque (physique)]],"MarketPlace",""))</f>
        <v/>
      </c>
      <c r="J1519" t="s">
        <v>30</v>
      </c>
      <c r="K1519" t="s">
        <v>107</v>
      </c>
      <c r="L1519" t="s">
        <v>23</v>
      </c>
      <c r="M1519" t="s">
        <v>23</v>
      </c>
      <c r="N1519" t="s">
        <v>19</v>
      </c>
      <c r="O1519" t="s">
        <v>23</v>
      </c>
      <c r="P1519" t="s">
        <v>23</v>
      </c>
      <c r="Q1519" t="s">
        <v>907</v>
      </c>
    </row>
    <row r="1520" spans="1:17" hidden="1" x14ac:dyDescent="0.25">
      <c r="A1520" t="s">
        <v>1069</v>
      </c>
      <c r="B1520" t="s">
        <v>22</v>
      </c>
      <c r="C1520" t="s">
        <v>45</v>
      </c>
      <c r="D1520" t="s">
        <v>16</v>
      </c>
      <c r="E1520">
        <v>3</v>
      </c>
      <c r="F1520">
        <f>MAX(-1,3-Tableau1[[#This Row],[Nb possédé (digital)]])</f>
        <v>0</v>
      </c>
      <c r="G1520">
        <v>3</v>
      </c>
      <c r="H1520">
        <f>MAX(-1,3-Tableau1[[#This Row],[Possédé (physique)]])</f>
        <v>0</v>
      </c>
      <c r="I1520" t="str">
        <f>IF(Tableau1[[#This Row],[Manque (physique)]]&gt;Tableau1[[#This Row],[Manque (digital)]],"POD",IF(Tableau1[[#This Row],[Manque (digital)]]&gt;Tableau1[[#This Row],[Manque (physique)]],"MarketPlace",""))</f>
        <v/>
      </c>
      <c r="J1520" t="s">
        <v>30</v>
      </c>
      <c r="K1520" t="s">
        <v>335</v>
      </c>
      <c r="L1520" t="s">
        <v>23</v>
      </c>
      <c r="M1520" t="s">
        <v>23</v>
      </c>
      <c r="N1520" t="s">
        <v>23</v>
      </c>
      <c r="O1520" t="s">
        <v>23</v>
      </c>
      <c r="P1520" t="s">
        <v>19</v>
      </c>
      <c r="Q1520" t="s">
        <v>1071</v>
      </c>
    </row>
    <row r="1521" spans="1:17" hidden="1" x14ac:dyDescent="0.25">
      <c r="A1521" t="s">
        <v>1086</v>
      </c>
      <c r="B1521" t="s">
        <v>22</v>
      </c>
      <c r="C1521" t="s">
        <v>45</v>
      </c>
      <c r="D1521" t="s">
        <v>16</v>
      </c>
      <c r="E1521">
        <v>3</v>
      </c>
      <c r="F1521">
        <f>MAX(-1,3-Tableau1[[#This Row],[Nb possédé (digital)]])</f>
        <v>0</v>
      </c>
      <c r="G1521">
        <v>3</v>
      </c>
      <c r="H1521">
        <f>MAX(-1,3-Tableau1[[#This Row],[Possédé (physique)]])</f>
        <v>0</v>
      </c>
      <c r="I1521" t="str">
        <f>IF(Tableau1[[#This Row],[Manque (physique)]]&gt;Tableau1[[#This Row],[Manque (digital)]],"POD",IF(Tableau1[[#This Row],[Manque (digital)]]&gt;Tableau1[[#This Row],[Manque (physique)]],"MarketPlace",""))</f>
        <v/>
      </c>
      <c r="J1521" t="s">
        <v>217</v>
      </c>
      <c r="K1521" t="s">
        <v>218</v>
      </c>
      <c r="L1521" t="s">
        <v>23</v>
      </c>
      <c r="M1521" t="s">
        <v>23</v>
      </c>
      <c r="Q1521" t="s">
        <v>1087</v>
      </c>
    </row>
    <row r="1522" spans="1:17" hidden="1" x14ac:dyDescent="0.25">
      <c r="A1522" t="s">
        <v>1132</v>
      </c>
      <c r="B1522" t="s">
        <v>22</v>
      </c>
      <c r="C1522" t="s">
        <v>45</v>
      </c>
      <c r="D1522" t="s">
        <v>16</v>
      </c>
      <c r="E1522">
        <v>3</v>
      </c>
      <c r="F1522">
        <f>MAX(-1,3-Tableau1[[#This Row],[Nb possédé (digital)]])</f>
        <v>0</v>
      </c>
      <c r="G1522">
        <v>3</v>
      </c>
      <c r="H1522">
        <f>MAX(-1,3-Tableau1[[#This Row],[Possédé (physique)]])</f>
        <v>0</v>
      </c>
      <c r="I1522" t="str">
        <f>IF(Tableau1[[#This Row],[Manque (physique)]]&gt;Tableau1[[#This Row],[Manque (digital)]],"POD",IF(Tableau1[[#This Row],[Manque (digital)]]&gt;Tableau1[[#This Row],[Manque (physique)]],"MarketPlace",""))</f>
        <v/>
      </c>
      <c r="J1522" t="s">
        <v>17</v>
      </c>
      <c r="K1522" t="s">
        <v>153</v>
      </c>
      <c r="L1522" t="s">
        <v>23</v>
      </c>
      <c r="M1522" t="s">
        <v>52</v>
      </c>
      <c r="Q1522" t="s">
        <v>1134</v>
      </c>
    </row>
    <row r="1523" spans="1:17" hidden="1" x14ac:dyDescent="0.25">
      <c r="A1523" t="s">
        <v>465</v>
      </c>
      <c r="B1523" t="s">
        <v>22</v>
      </c>
      <c r="C1523" t="s">
        <v>45</v>
      </c>
      <c r="D1523" t="s">
        <v>16</v>
      </c>
      <c r="E1523">
        <v>3</v>
      </c>
      <c r="F1523">
        <f>MAX(-1,3-Tableau1[[#This Row],[Nb possédé (digital)]])</f>
        <v>0</v>
      </c>
      <c r="G1523">
        <v>3</v>
      </c>
      <c r="H1523">
        <f>MAX(-1,3-Tableau1[[#This Row],[Possédé (physique)]])</f>
        <v>0</v>
      </c>
      <c r="I1523" t="str">
        <f>IF(Tableau1[[#This Row],[Manque (physique)]]&gt;Tableau1[[#This Row],[Manque (digital)]],"POD",IF(Tableau1[[#This Row],[Manque (digital)]]&gt;Tableau1[[#This Row],[Manque (physique)]],"MarketPlace",""))</f>
        <v/>
      </c>
      <c r="J1523" t="s">
        <v>30</v>
      </c>
      <c r="K1523" t="s">
        <v>63</v>
      </c>
      <c r="L1523" t="s">
        <v>52</v>
      </c>
      <c r="M1523" t="s">
        <v>23</v>
      </c>
      <c r="N1523" t="s">
        <v>52</v>
      </c>
      <c r="O1523" t="s">
        <v>23</v>
      </c>
      <c r="P1523" t="s">
        <v>23</v>
      </c>
      <c r="Q1523" t="s">
        <v>467</v>
      </c>
    </row>
    <row r="1524" spans="1:17" hidden="1" x14ac:dyDescent="0.25">
      <c r="A1524" t="s">
        <v>618</v>
      </c>
      <c r="B1524" t="s">
        <v>22</v>
      </c>
      <c r="C1524" t="s">
        <v>45</v>
      </c>
      <c r="D1524" t="s">
        <v>16</v>
      </c>
      <c r="E1524">
        <v>3</v>
      </c>
      <c r="F1524">
        <f>MAX(-1,3-Tableau1[[#This Row],[Nb possédé (digital)]])</f>
        <v>0</v>
      </c>
      <c r="G1524">
        <v>3</v>
      </c>
      <c r="H1524">
        <f>MAX(-1,3-Tableau1[[#This Row],[Possédé (physique)]])</f>
        <v>0</v>
      </c>
      <c r="I1524" t="str">
        <f>IF(Tableau1[[#This Row],[Manque (physique)]]&gt;Tableau1[[#This Row],[Manque (digital)]],"POD",IF(Tableau1[[#This Row],[Manque (digital)]]&gt;Tableau1[[#This Row],[Manque (physique)]],"MarketPlace",""))</f>
        <v/>
      </c>
      <c r="J1524" t="s">
        <v>30</v>
      </c>
      <c r="K1524" t="s">
        <v>124</v>
      </c>
      <c r="L1524" t="s">
        <v>52</v>
      </c>
      <c r="M1524" t="s">
        <v>23</v>
      </c>
      <c r="N1524" t="s">
        <v>37</v>
      </c>
      <c r="O1524" t="s">
        <v>37</v>
      </c>
      <c r="P1524" t="s">
        <v>37</v>
      </c>
      <c r="Q1524" t="s">
        <v>620</v>
      </c>
    </row>
    <row r="1525" spans="1:17" hidden="1" x14ac:dyDescent="0.25">
      <c r="A1525" t="s">
        <v>162</v>
      </c>
      <c r="B1525" t="s">
        <v>22</v>
      </c>
      <c r="C1525" t="s">
        <v>45</v>
      </c>
      <c r="D1525" t="s">
        <v>16</v>
      </c>
      <c r="E1525">
        <v>3</v>
      </c>
      <c r="F1525">
        <f>MAX(-1,3-Tableau1[[#This Row],[Nb possédé (digital)]])</f>
        <v>0</v>
      </c>
      <c r="G1525">
        <v>3</v>
      </c>
      <c r="H1525">
        <f>MAX(-1,3-Tableau1[[#This Row],[Possédé (physique)]])</f>
        <v>0</v>
      </c>
      <c r="I1525" t="str">
        <f>IF(Tableau1[[#This Row],[Manque (physique)]]&gt;Tableau1[[#This Row],[Manque (digital)]],"POD",IF(Tableau1[[#This Row],[Manque (digital)]]&gt;Tableau1[[#This Row],[Manque (physique)]],"MarketPlace",""))</f>
        <v/>
      </c>
      <c r="J1525" t="s">
        <v>30</v>
      </c>
      <c r="K1525" t="s">
        <v>103</v>
      </c>
      <c r="L1525" t="s">
        <v>52</v>
      </c>
      <c r="M1525" t="s">
        <v>52</v>
      </c>
      <c r="N1525" t="s">
        <v>19</v>
      </c>
      <c r="O1525" t="s">
        <v>19</v>
      </c>
      <c r="P1525" t="s">
        <v>19</v>
      </c>
      <c r="Q1525" t="s">
        <v>164</v>
      </c>
    </row>
    <row r="1526" spans="1:17" hidden="1" x14ac:dyDescent="0.25">
      <c r="A1526" t="s">
        <v>886</v>
      </c>
      <c r="B1526" t="s">
        <v>22</v>
      </c>
      <c r="C1526" t="s">
        <v>45</v>
      </c>
      <c r="D1526" t="s">
        <v>16</v>
      </c>
      <c r="E1526">
        <v>3</v>
      </c>
      <c r="F1526">
        <f>MAX(-1,3-Tableau1[[#This Row],[Nb possédé (digital)]])</f>
        <v>0</v>
      </c>
      <c r="G1526">
        <v>3</v>
      </c>
      <c r="H1526">
        <f>MAX(-1,3-Tableau1[[#This Row],[Possédé (physique)]])</f>
        <v>0</v>
      </c>
      <c r="I1526" t="str">
        <f>IF(Tableau1[[#This Row],[Manque (physique)]]&gt;Tableau1[[#This Row],[Manque (digital)]],"POD",IF(Tableau1[[#This Row],[Manque (digital)]]&gt;Tableau1[[#This Row],[Manque (physique)]],"MarketPlace",""))</f>
        <v/>
      </c>
      <c r="J1526" t="s">
        <v>17</v>
      </c>
      <c r="K1526" t="s">
        <v>153</v>
      </c>
      <c r="L1526" t="s">
        <v>52</v>
      </c>
      <c r="M1526" t="s">
        <v>37</v>
      </c>
      <c r="Q1526" t="s">
        <v>888</v>
      </c>
    </row>
    <row r="1527" spans="1:17" hidden="1" x14ac:dyDescent="0.25">
      <c r="A1527" t="s">
        <v>979</v>
      </c>
      <c r="B1527" t="s">
        <v>22</v>
      </c>
      <c r="C1527" t="s">
        <v>45</v>
      </c>
      <c r="D1527" t="s">
        <v>16</v>
      </c>
      <c r="E1527">
        <v>3</v>
      </c>
      <c r="F1527">
        <f>MAX(-1,3-Tableau1[[#This Row],[Nb possédé (digital)]])</f>
        <v>0</v>
      </c>
      <c r="G1527">
        <v>3</v>
      </c>
      <c r="H1527">
        <f>MAX(-1,3-Tableau1[[#This Row],[Possédé (physique)]])</f>
        <v>0</v>
      </c>
      <c r="I1527" t="str">
        <f>IF(Tableau1[[#This Row],[Manque (physique)]]&gt;Tableau1[[#This Row],[Manque (digital)]],"POD",IF(Tableau1[[#This Row],[Manque (digital)]]&gt;Tableau1[[#This Row],[Manque (physique)]],"MarketPlace",""))</f>
        <v/>
      </c>
      <c r="J1527" t="s">
        <v>17</v>
      </c>
      <c r="K1527" t="s">
        <v>97</v>
      </c>
      <c r="L1527" t="s">
        <v>52</v>
      </c>
      <c r="M1527" t="s">
        <v>37</v>
      </c>
      <c r="Q1527" t="s">
        <v>981</v>
      </c>
    </row>
    <row r="1528" spans="1:17" hidden="1" x14ac:dyDescent="0.25">
      <c r="A1528" t="s">
        <v>91</v>
      </c>
      <c r="B1528" t="s">
        <v>22</v>
      </c>
      <c r="C1528" t="s">
        <v>45</v>
      </c>
      <c r="D1528" t="s">
        <v>16</v>
      </c>
      <c r="E1528">
        <v>3</v>
      </c>
      <c r="F1528">
        <f>MAX(-1,3-Tableau1[[#This Row],[Nb possédé (digital)]])</f>
        <v>0</v>
      </c>
      <c r="G1528">
        <v>3</v>
      </c>
      <c r="H1528">
        <f>MAX(-1,3-Tableau1[[#This Row],[Possédé (physique)]])</f>
        <v>0</v>
      </c>
      <c r="I1528" t="str">
        <f>IF(Tableau1[[#This Row],[Manque (physique)]]&gt;Tableau1[[#This Row],[Manque (digital)]],"POD",IF(Tableau1[[#This Row],[Manque (digital)]]&gt;Tableau1[[#This Row],[Manque (physique)]],"MarketPlace",""))</f>
        <v/>
      </c>
      <c r="J1528" t="s">
        <v>30</v>
      </c>
      <c r="K1528" t="s">
        <v>51</v>
      </c>
      <c r="L1528" t="s">
        <v>37</v>
      </c>
      <c r="M1528" t="s">
        <v>37</v>
      </c>
      <c r="N1528" t="s">
        <v>23</v>
      </c>
      <c r="O1528" t="s">
        <v>52</v>
      </c>
      <c r="P1528" t="s">
        <v>23</v>
      </c>
      <c r="Q1528" t="s">
        <v>92</v>
      </c>
    </row>
    <row r="1529" spans="1:17" hidden="1" x14ac:dyDescent="0.25">
      <c r="A1529" t="s">
        <v>338</v>
      </c>
      <c r="B1529" t="s">
        <v>22</v>
      </c>
      <c r="C1529" t="s">
        <v>45</v>
      </c>
      <c r="D1529" t="s">
        <v>16</v>
      </c>
      <c r="E1529">
        <v>3</v>
      </c>
      <c r="F1529">
        <f>MAX(-1,3-Tableau1[[#This Row],[Nb possédé (digital)]])</f>
        <v>0</v>
      </c>
      <c r="G1529">
        <v>3</v>
      </c>
      <c r="H1529">
        <f>MAX(-1,3-Tableau1[[#This Row],[Possédé (physique)]])</f>
        <v>0</v>
      </c>
      <c r="I1529" t="str">
        <f>IF(Tableau1[[#This Row],[Manque (physique)]]&gt;Tableau1[[#This Row],[Manque (digital)]],"POD",IF(Tableau1[[#This Row],[Manque (digital)]]&gt;Tableau1[[#This Row],[Manque (physique)]],"MarketPlace",""))</f>
        <v/>
      </c>
      <c r="J1529" t="s">
        <v>30</v>
      </c>
      <c r="K1529" t="s">
        <v>68</v>
      </c>
      <c r="L1529" t="s">
        <v>37</v>
      </c>
      <c r="M1529" t="s">
        <v>37</v>
      </c>
      <c r="N1529" t="s">
        <v>23</v>
      </c>
      <c r="O1529" t="s">
        <v>19</v>
      </c>
      <c r="P1529" t="s">
        <v>19</v>
      </c>
      <c r="Q1529" t="s">
        <v>340</v>
      </c>
    </row>
    <row r="1530" spans="1:17" hidden="1" x14ac:dyDescent="0.25">
      <c r="A1530" t="s">
        <v>471</v>
      </c>
      <c r="B1530" t="s">
        <v>22</v>
      </c>
      <c r="C1530" t="s">
        <v>45</v>
      </c>
      <c r="D1530" t="s">
        <v>16</v>
      </c>
      <c r="E1530">
        <v>3</v>
      </c>
      <c r="F1530">
        <f>MAX(-1,3-Tableau1[[#This Row],[Nb possédé (digital)]])</f>
        <v>0</v>
      </c>
      <c r="G1530">
        <v>3</v>
      </c>
      <c r="H1530">
        <f>MAX(-1,3-Tableau1[[#This Row],[Possédé (physique)]])</f>
        <v>0</v>
      </c>
      <c r="I1530" t="str">
        <f>IF(Tableau1[[#This Row],[Manque (physique)]]&gt;Tableau1[[#This Row],[Manque (digital)]],"POD",IF(Tableau1[[#This Row],[Manque (digital)]]&gt;Tableau1[[#This Row],[Manque (physique)]],"MarketPlace",""))</f>
        <v/>
      </c>
      <c r="J1530" t="s">
        <v>217</v>
      </c>
      <c r="K1530" t="s">
        <v>218</v>
      </c>
      <c r="L1530" t="s">
        <v>37</v>
      </c>
      <c r="M1530" t="s">
        <v>37</v>
      </c>
      <c r="Q1530" t="s">
        <v>473</v>
      </c>
    </row>
    <row r="1531" spans="1:17" hidden="1" x14ac:dyDescent="0.25">
      <c r="A1531" t="s">
        <v>477</v>
      </c>
      <c r="B1531" t="s">
        <v>22</v>
      </c>
      <c r="C1531" t="s">
        <v>45</v>
      </c>
      <c r="D1531" t="s">
        <v>16</v>
      </c>
      <c r="E1531">
        <v>3</v>
      </c>
      <c r="F1531">
        <f>MAX(-1,3-Tableau1[[#This Row],[Nb possédé (digital)]])</f>
        <v>0</v>
      </c>
      <c r="G1531">
        <v>3</v>
      </c>
      <c r="H1531">
        <f>MAX(-1,3-Tableau1[[#This Row],[Possédé (physique)]])</f>
        <v>0</v>
      </c>
      <c r="I1531" t="str">
        <f>IF(Tableau1[[#This Row],[Manque (physique)]]&gt;Tableau1[[#This Row],[Manque (digital)]],"POD",IF(Tableau1[[#This Row],[Manque (digital)]]&gt;Tableau1[[#This Row],[Manque (physique)]],"MarketPlace",""))</f>
        <v/>
      </c>
      <c r="J1531" t="s">
        <v>17</v>
      </c>
      <c r="K1531" t="s">
        <v>153</v>
      </c>
      <c r="L1531" t="s">
        <v>37</v>
      </c>
      <c r="M1531" t="s">
        <v>37</v>
      </c>
      <c r="Q1531" t="s">
        <v>479</v>
      </c>
    </row>
    <row r="1532" spans="1:17" hidden="1" x14ac:dyDescent="0.25">
      <c r="A1532" t="s">
        <v>961</v>
      </c>
      <c r="B1532" t="s">
        <v>22</v>
      </c>
      <c r="C1532" t="s">
        <v>45</v>
      </c>
      <c r="D1532" t="s">
        <v>16</v>
      </c>
      <c r="E1532">
        <v>3</v>
      </c>
      <c r="F1532">
        <f>MAX(-1,3-Tableau1[[#This Row],[Nb possédé (digital)]])</f>
        <v>0</v>
      </c>
      <c r="G1532">
        <v>3</v>
      </c>
      <c r="H1532">
        <f>MAX(-1,3-Tableau1[[#This Row],[Possédé (physique)]])</f>
        <v>0</v>
      </c>
      <c r="I1532" t="str">
        <f>IF(Tableau1[[#This Row],[Manque (physique)]]&gt;Tableau1[[#This Row],[Manque (digital)]],"POD",IF(Tableau1[[#This Row],[Manque (digital)]]&gt;Tableau1[[#This Row],[Manque (physique)]],"MarketPlace",""))</f>
        <v/>
      </c>
      <c r="J1532" t="s">
        <v>217</v>
      </c>
      <c r="K1532" t="s">
        <v>218</v>
      </c>
      <c r="L1532" t="s">
        <v>37</v>
      </c>
      <c r="M1532" t="s">
        <v>37</v>
      </c>
      <c r="Q1532" t="s">
        <v>962</v>
      </c>
    </row>
    <row r="1533" spans="1:17" hidden="1" x14ac:dyDescent="0.25">
      <c r="A1533" t="s">
        <v>514</v>
      </c>
      <c r="B1533" t="s">
        <v>22</v>
      </c>
      <c r="C1533" t="s">
        <v>45</v>
      </c>
      <c r="D1533" t="s">
        <v>16</v>
      </c>
      <c r="E1533">
        <v>3</v>
      </c>
      <c r="F1533">
        <f>MAX(-1,3-Tableau1[[#This Row],[Nb possédé (digital)]])</f>
        <v>0</v>
      </c>
      <c r="G1533">
        <v>3</v>
      </c>
      <c r="H1533">
        <f>MAX(-1,3-Tableau1[[#This Row],[Possédé (physique)]])</f>
        <v>0</v>
      </c>
      <c r="I1533" t="str">
        <f>IF(Tableau1[[#This Row],[Manque (physique)]]&gt;Tableau1[[#This Row],[Manque (digital)]],"POD",IF(Tableau1[[#This Row],[Manque (digital)]]&gt;Tableau1[[#This Row],[Manque (physique)]],"MarketPlace",""))</f>
        <v/>
      </c>
      <c r="J1533" t="s">
        <v>217</v>
      </c>
      <c r="K1533" t="s">
        <v>218</v>
      </c>
      <c r="L1533" t="s">
        <v>39</v>
      </c>
      <c r="M1533" t="s">
        <v>39</v>
      </c>
      <c r="Q1533" t="s">
        <v>515</v>
      </c>
    </row>
    <row r="1534" spans="1:17" hidden="1" x14ac:dyDescent="0.25">
      <c r="A1534" t="s">
        <v>587</v>
      </c>
      <c r="B1534" t="s">
        <v>22</v>
      </c>
      <c r="C1534" t="s">
        <v>45</v>
      </c>
      <c r="D1534" t="s">
        <v>16</v>
      </c>
      <c r="E1534">
        <v>3</v>
      </c>
      <c r="F1534">
        <f>MAX(-1,3-Tableau1[[#This Row],[Nb possédé (digital)]])</f>
        <v>0</v>
      </c>
      <c r="G1534">
        <v>3</v>
      </c>
      <c r="H1534">
        <f>MAX(-1,3-Tableau1[[#This Row],[Possédé (physique)]])</f>
        <v>0</v>
      </c>
      <c r="I1534" t="str">
        <f>IF(Tableau1[[#This Row],[Manque (physique)]]&gt;Tableau1[[#This Row],[Manque (digital)]],"POD",IF(Tableau1[[#This Row],[Manque (digital)]]&gt;Tableau1[[#This Row],[Manque (physique)]],"MarketPlace",""))</f>
        <v/>
      </c>
      <c r="J1534" t="s">
        <v>30</v>
      </c>
      <c r="K1534" t="s">
        <v>335</v>
      </c>
      <c r="L1534" t="s">
        <v>39</v>
      </c>
      <c r="M1534" t="s">
        <v>39</v>
      </c>
      <c r="N1534" t="s">
        <v>52</v>
      </c>
      <c r="O1534" t="s">
        <v>52</v>
      </c>
      <c r="P1534" t="s">
        <v>52</v>
      </c>
      <c r="Q1534" t="s">
        <v>588</v>
      </c>
    </row>
    <row r="1535" spans="1:17" hidden="1" x14ac:dyDescent="0.25">
      <c r="A1535" t="s">
        <v>873</v>
      </c>
      <c r="B1535" t="s">
        <v>22</v>
      </c>
      <c r="C1535" t="s">
        <v>45</v>
      </c>
      <c r="D1535" t="s">
        <v>16</v>
      </c>
      <c r="E1535">
        <v>3</v>
      </c>
      <c r="F1535">
        <f>MAX(-1,3-Tableau1[[#This Row],[Nb possédé (digital)]])</f>
        <v>0</v>
      </c>
      <c r="G1535">
        <v>3</v>
      </c>
      <c r="H1535">
        <f>MAX(-1,3-Tableau1[[#This Row],[Possédé (physique)]])</f>
        <v>0</v>
      </c>
      <c r="I1535" t="str">
        <f>IF(Tableau1[[#This Row],[Manque (physique)]]&gt;Tableau1[[#This Row],[Manque (digital)]],"POD",IF(Tableau1[[#This Row],[Manque (digital)]]&gt;Tableau1[[#This Row],[Manque (physique)]],"MarketPlace",""))</f>
        <v/>
      </c>
      <c r="J1535" t="s">
        <v>17</v>
      </c>
      <c r="K1535" t="s">
        <v>201</v>
      </c>
      <c r="L1535" t="s">
        <v>39</v>
      </c>
      <c r="M1535" t="s">
        <v>380</v>
      </c>
      <c r="Q1535" t="s">
        <v>875</v>
      </c>
    </row>
    <row r="1536" spans="1:17" hidden="1" x14ac:dyDescent="0.25">
      <c r="A1536" t="s">
        <v>972</v>
      </c>
      <c r="B1536" t="s">
        <v>22</v>
      </c>
      <c r="C1536" t="s">
        <v>45</v>
      </c>
      <c r="D1536" t="s">
        <v>16</v>
      </c>
      <c r="E1536">
        <v>3</v>
      </c>
      <c r="F1536">
        <f>MAX(-1,3-Tableau1[[#This Row],[Nb possédé (digital)]])</f>
        <v>0</v>
      </c>
      <c r="G1536">
        <v>3</v>
      </c>
      <c r="H1536">
        <f>MAX(-1,3-Tableau1[[#This Row],[Possédé (physique)]])</f>
        <v>0</v>
      </c>
      <c r="I1536" t="str">
        <f>IF(Tableau1[[#This Row],[Manque (physique)]]&gt;Tableau1[[#This Row],[Manque (digital)]],"POD",IF(Tableau1[[#This Row],[Manque (digital)]]&gt;Tableau1[[#This Row],[Manque (physique)]],"MarketPlace",""))</f>
        <v/>
      </c>
      <c r="J1536" t="s">
        <v>30</v>
      </c>
      <c r="K1536" t="s">
        <v>51</v>
      </c>
      <c r="L1536" t="s">
        <v>380</v>
      </c>
      <c r="M1536" t="s">
        <v>52</v>
      </c>
      <c r="N1536" t="s">
        <v>37</v>
      </c>
      <c r="O1536" t="s">
        <v>37</v>
      </c>
      <c r="P1536" t="s">
        <v>37</v>
      </c>
      <c r="Q1536" t="s">
        <v>974</v>
      </c>
    </row>
    <row r="1537" spans="1:17" hidden="1" x14ac:dyDescent="0.25">
      <c r="A1537" t="s">
        <v>434</v>
      </c>
      <c r="B1537" t="s">
        <v>22</v>
      </c>
      <c r="C1537" t="s">
        <v>45</v>
      </c>
      <c r="D1537" t="s">
        <v>16</v>
      </c>
      <c r="E1537">
        <v>3</v>
      </c>
      <c r="F1537">
        <f>MAX(-1,3-Tableau1[[#This Row],[Nb possédé (digital)]])</f>
        <v>0</v>
      </c>
      <c r="G1537">
        <v>3</v>
      </c>
      <c r="H1537">
        <f>MAX(-1,3-Tableau1[[#This Row],[Possédé (physique)]])</f>
        <v>0</v>
      </c>
      <c r="I1537" t="str">
        <f>IF(Tableau1[[#This Row],[Manque (physique)]]&gt;Tableau1[[#This Row],[Manque (digital)]],"POD",IF(Tableau1[[#This Row],[Manque (digital)]]&gt;Tableau1[[#This Row],[Manque (physique)]],"MarketPlace",""))</f>
        <v/>
      </c>
      <c r="J1537" t="s">
        <v>17</v>
      </c>
      <c r="K1537" t="s">
        <v>153</v>
      </c>
      <c r="L1537" t="s">
        <v>380</v>
      </c>
      <c r="M1537" t="s">
        <v>380</v>
      </c>
      <c r="Q1537" t="s">
        <v>436</v>
      </c>
    </row>
    <row r="1538" spans="1:17" hidden="1" x14ac:dyDescent="0.25">
      <c r="A1538" t="s">
        <v>695</v>
      </c>
      <c r="B1538" t="s">
        <v>22</v>
      </c>
      <c r="C1538" t="s">
        <v>45</v>
      </c>
      <c r="D1538" t="s">
        <v>16</v>
      </c>
      <c r="E1538">
        <v>3</v>
      </c>
      <c r="F1538">
        <f>MAX(-1,3-Tableau1[[#This Row],[Nb possédé (digital)]])</f>
        <v>0</v>
      </c>
      <c r="G1538">
        <v>3</v>
      </c>
      <c r="H1538">
        <f>MAX(-1,3-Tableau1[[#This Row],[Possédé (physique)]])</f>
        <v>0</v>
      </c>
      <c r="I1538" t="str">
        <f>IF(Tableau1[[#This Row],[Manque (physique)]]&gt;Tableau1[[#This Row],[Manque (digital)]],"POD",IF(Tableau1[[#This Row],[Manque (digital)]]&gt;Tableau1[[#This Row],[Manque (physique)]],"MarketPlace",""))</f>
        <v/>
      </c>
      <c r="J1538" t="s">
        <v>30</v>
      </c>
      <c r="K1538" t="s">
        <v>601</v>
      </c>
      <c r="L1538" t="s">
        <v>380</v>
      </c>
      <c r="M1538" t="s">
        <v>380</v>
      </c>
      <c r="N1538" t="s">
        <v>89</v>
      </c>
      <c r="O1538" t="s">
        <v>89</v>
      </c>
      <c r="P1538" t="s">
        <v>101</v>
      </c>
      <c r="Q1538" t="s">
        <v>697</v>
      </c>
    </row>
    <row r="1539" spans="1:17" hidden="1" x14ac:dyDescent="0.25">
      <c r="A1539" t="s">
        <v>597</v>
      </c>
      <c r="B1539" t="s">
        <v>22</v>
      </c>
      <c r="C1539" t="s">
        <v>45</v>
      </c>
      <c r="D1539" t="s">
        <v>16</v>
      </c>
      <c r="E1539">
        <v>3</v>
      </c>
      <c r="F1539">
        <f>MAX(-1,3-Tableau1[[#This Row],[Nb possédé (digital)]])</f>
        <v>0</v>
      </c>
      <c r="G1539">
        <v>3</v>
      </c>
      <c r="H1539">
        <f>MAX(-1,3-Tableau1[[#This Row],[Possédé (physique)]])</f>
        <v>0</v>
      </c>
      <c r="I1539" t="str">
        <f>IF(Tableau1[[#This Row],[Manque (physique)]]&gt;Tableau1[[#This Row],[Manque (digital)]],"POD",IF(Tableau1[[#This Row],[Manque (digital)]]&gt;Tableau1[[#This Row],[Manque (physique)]],"MarketPlace",""))</f>
        <v/>
      </c>
      <c r="J1539" t="s">
        <v>17</v>
      </c>
      <c r="K1539" t="s">
        <v>201</v>
      </c>
      <c r="L1539" t="s">
        <v>101</v>
      </c>
      <c r="M1539" t="s">
        <v>101</v>
      </c>
      <c r="Q1539" t="s">
        <v>599</v>
      </c>
    </row>
    <row r="1540" spans="1:17" hidden="1" x14ac:dyDescent="0.25">
      <c r="A1540" t="s">
        <v>692</v>
      </c>
      <c r="B1540" t="s">
        <v>22</v>
      </c>
      <c r="C1540" t="s">
        <v>45</v>
      </c>
      <c r="D1540" t="s">
        <v>16</v>
      </c>
      <c r="E1540">
        <v>3</v>
      </c>
      <c r="F1540">
        <f>MAX(-1,3-Tableau1[[#This Row],[Nb possédé (digital)]])</f>
        <v>0</v>
      </c>
      <c r="G1540">
        <v>3</v>
      </c>
      <c r="H1540">
        <f>MAX(-1,3-Tableau1[[#This Row],[Possédé (physique)]])</f>
        <v>0</v>
      </c>
      <c r="I1540" t="str">
        <f>IF(Tableau1[[#This Row],[Manque (physique)]]&gt;Tableau1[[#This Row],[Manque (digital)]],"POD",IF(Tableau1[[#This Row],[Manque (digital)]]&gt;Tableau1[[#This Row],[Manque (physique)]],"MarketPlace",""))</f>
        <v/>
      </c>
      <c r="J1540" t="s">
        <v>217</v>
      </c>
      <c r="K1540" t="s">
        <v>218</v>
      </c>
      <c r="L1540" t="s">
        <v>101</v>
      </c>
      <c r="M1540" t="s">
        <v>101</v>
      </c>
      <c r="Q1540" t="s">
        <v>694</v>
      </c>
    </row>
    <row r="1541" spans="1:17" hidden="1" x14ac:dyDescent="0.25">
      <c r="A1541" t="s">
        <v>115</v>
      </c>
      <c r="B1541" t="s">
        <v>22</v>
      </c>
      <c r="C1541" t="s">
        <v>45</v>
      </c>
      <c r="D1541" t="s">
        <v>58</v>
      </c>
      <c r="E1541">
        <v>3</v>
      </c>
      <c r="F1541">
        <f>MAX(-1,3-Tableau1[[#This Row],[Nb possédé (digital)]])</f>
        <v>0</v>
      </c>
      <c r="G1541">
        <v>3</v>
      </c>
      <c r="H1541">
        <f>MAX(-1,3-Tableau1[[#This Row],[Possédé (physique)]])</f>
        <v>0</v>
      </c>
      <c r="I1541" t="str">
        <f>IF(Tableau1[[#This Row],[Manque (physique)]]&gt;Tableau1[[#This Row],[Manque (digital)]],"POD",IF(Tableau1[[#This Row],[Manque (digital)]]&gt;Tableau1[[#This Row],[Manque (physique)]],"MarketPlace",""))</f>
        <v/>
      </c>
      <c r="J1541" t="s">
        <v>116</v>
      </c>
      <c r="K1541" t="s">
        <v>117</v>
      </c>
      <c r="L1541" t="s">
        <v>20</v>
      </c>
      <c r="M1541" t="s">
        <v>20</v>
      </c>
      <c r="Q1541" t="s">
        <v>119</v>
      </c>
    </row>
    <row r="1542" spans="1:17" hidden="1" x14ac:dyDescent="0.25">
      <c r="A1542" t="s">
        <v>679</v>
      </c>
      <c r="B1542" t="s">
        <v>22</v>
      </c>
      <c r="C1542" t="s">
        <v>45</v>
      </c>
      <c r="D1542" t="s">
        <v>58</v>
      </c>
      <c r="E1542">
        <v>3</v>
      </c>
      <c r="F1542">
        <f>MAX(-1,3-Tableau1[[#This Row],[Nb possédé (digital)]])</f>
        <v>0</v>
      </c>
      <c r="G1542">
        <v>3</v>
      </c>
      <c r="H1542">
        <f>MAX(-1,3-Tableau1[[#This Row],[Possédé (physique)]])</f>
        <v>0</v>
      </c>
      <c r="I1542" t="str">
        <f>IF(Tableau1[[#This Row],[Manque (physique)]]&gt;Tableau1[[#This Row],[Manque (digital)]],"POD",IF(Tableau1[[#This Row],[Manque (digital)]]&gt;Tableau1[[#This Row],[Manque (physique)]],"MarketPlace",""))</f>
        <v/>
      </c>
      <c r="J1542" t="s">
        <v>30</v>
      </c>
      <c r="K1542" t="s">
        <v>79</v>
      </c>
      <c r="L1542" t="s">
        <v>20</v>
      </c>
      <c r="M1542" t="s">
        <v>20</v>
      </c>
      <c r="N1542" t="s">
        <v>20</v>
      </c>
      <c r="O1542" t="s">
        <v>89</v>
      </c>
      <c r="P1542" t="s">
        <v>20</v>
      </c>
      <c r="Q1542" t="s">
        <v>681</v>
      </c>
    </row>
    <row r="1543" spans="1:17" hidden="1" x14ac:dyDescent="0.25">
      <c r="A1543" t="s">
        <v>1080</v>
      </c>
      <c r="B1543" t="s">
        <v>22</v>
      </c>
      <c r="C1543" t="s">
        <v>45</v>
      </c>
      <c r="D1543" t="s">
        <v>58</v>
      </c>
      <c r="E1543">
        <v>3</v>
      </c>
      <c r="F1543">
        <f>MAX(-1,3-Tableau1[[#This Row],[Nb possédé (digital)]])</f>
        <v>0</v>
      </c>
      <c r="G1543">
        <v>3</v>
      </c>
      <c r="H1543">
        <f>MAX(-1,3-Tableau1[[#This Row],[Possédé (physique)]])</f>
        <v>0</v>
      </c>
      <c r="I1543" t="str">
        <f>IF(Tableau1[[#This Row],[Manque (physique)]]&gt;Tableau1[[#This Row],[Manque (digital)]],"POD",IF(Tableau1[[#This Row],[Manque (digital)]]&gt;Tableau1[[#This Row],[Manque (physique)]],"MarketPlace",""))</f>
        <v/>
      </c>
      <c r="J1543" t="s">
        <v>17</v>
      </c>
      <c r="K1543" t="s">
        <v>97</v>
      </c>
      <c r="L1543" t="s">
        <v>20</v>
      </c>
      <c r="M1543" t="s">
        <v>20</v>
      </c>
      <c r="Q1543" t="s">
        <v>1083</v>
      </c>
    </row>
    <row r="1544" spans="1:17" hidden="1" x14ac:dyDescent="0.25">
      <c r="A1544" t="s">
        <v>1117</v>
      </c>
      <c r="B1544" t="s">
        <v>22</v>
      </c>
      <c r="C1544" t="s">
        <v>45</v>
      </c>
      <c r="D1544" t="s">
        <v>58</v>
      </c>
      <c r="E1544">
        <v>3</v>
      </c>
      <c r="F1544">
        <f>MAX(-1,3-Tableau1[[#This Row],[Nb possédé (digital)]])</f>
        <v>0</v>
      </c>
      <c r="G1544">
        <v>3</v>
      </c>
      <c r="H1544">
        <f>MAX(-1,3-Tableau1[[#This Row],[Possédé (physique)]])</f>
        <v>0</v>
      </c>
      <c r="I1544" t="str">
        <f>IF(Tableau1[[#This Row],[Manque (physique)]]&gt;Tableau1[[#This Row],[Manque (digital)]],"POD",IF(Tableau1[[#This Row],[Manque (digital)]]&gt;Tableau1[[#This Row],[Manque (physique)]],"MarketPlace",""))</f>
        <v/>
      </c>
      <c r="J1544" t="s">
        <v>17</v>
      </c>
      <c r="K1544" t="s">
        <v>201</v>
      </c>
      <c r="L1544" t="s">
        <v>20</v>
      </c>
      <c r="M1544" t="s">
        <v>20</v>
      </c>
      <c r="Q1544" t="s">
        <v>1120</v>
      </c>
    </row>
    <row r="1545" spans="1:17" hidden="1" x14ac:dyDescent="0.25">
      <c r="A1545" t="s">
        <v>507</v>
      </c>
      <c r="B1545" t="s">
        <v>22</v>
      </c>
      <c r="C1545" t="s">
        <v>45</v>
      </c>
      <c r="D1545" t="s">
        <v>58</v>
      </c>
      <c r="E1545">
        <v>3</v>
      </c>
      <c r="F1545">
        <f>MAX(-1,3-Tableau1[[#This Row],[Nb possédé (digital)]])</f>
        <v>0</v>
      </c>
      <c r="G1545">
        <v>3</v>
      </c>
      <c r="H1545">
        <f>MAX(-1,3-Tableau1[[#This Row],[Possédé (physique)]])</f>
        <v>0</v>
      </c>
      <c r="I1545" t="str">
        <f>IF(Tableau1[[#This Row],[Manque (physique)]]&gt;Tableau1[[#This Row],[Manque (digital)]],"POD",IF(Tableau1[[#This Row],[Manque (digital)]]&gt;Tableau1[[#This Row],[Manque (physique)]],"MarketPlace",""))</f>
        <v/>
      </c>
      <c r="J1545" t="s">
        <v>17</v>
      </c>
      <c r="K1545" t="s">
        <v>153</v>
      </c>
      <c r="L1545" t="s">
        <v>20</v>
      </c>
      <c r="M1545" t="s">
        <v>19</v>
      </c>
      <c r="Q1545" t="s">
        <v>509</v>
      </c>
    </row>
    <row r="1546" spans="1:17" hidden="1" x14ac:dyDescent="0.25">
      <c r="A1546" t="s">
        <v>257</v>
      </c>
      <c r="B1546" t="s">
        <v>22</v>
      </c>
      <c r="C1546" t="s">
        <v>45</v>
      </c>
      <c r="D1546" t="s">
        <v>58</v>
      </c>
      <c r="E1546">
        <v>3</v>
      </c>
      <c r="F1546">
        <f>MAX(-1,3-Tableau1[[#This Row],[Nb possédé (digital)]])</f>
        <v>0</v>
      </c>
      <c r="G1546">
        <v>3</v>
      </c>
      <c r="H1546">
        <f>MAX(-1,3-Tableau1[[#This Row],[Possédé (physique)]])</f>
        <v>0</v>
      </c>
      <c r="I1546" t="str">
        <f>IF(Tableau1[[#This Row],[Manque (physique)]]&gt;Tableau1[[#This Row],[Manque (digital)]],"POD",IF(Tableau1[[#This Row],[Manque (digital)]]&gt;Tableau1[[#This Row],[Manque (physique)]],"MarketPlace",""))</f>
        <v/>
      </c>
      <c r="J1546" t="s">
        <v>30</v>
      </c>
      <c r="K1546" t="s">
        <v>79</v>
      </c>
      <c r="L1546" t="s">
        <v>19</v>
      </c>
      <c r="M1546" t="s">
        <v>19</v>
      </c>
      <c r="N1546" t="s">
        <v>19</v>
      </c>
      <c r="O1546" t="s">
        <v>19</v>
      </c>
      <c r="P1546" t="s">
        <v>19</v>
      </c>
      <c r="Q1546" t="s">
        <v>259</v>
      </c>
    </row>
    <row r="1547" spans="1:17" hidden="1" x14ac:dyDescent="0.25">
      <c r="A1547" t="s">
        <v>271</v>
      </c>
      <c r="B1547" t="s">
        <v>22</v>
      </c>
      <c r="C1547" t="s">
        <v>45</v>
      </c>
      <c r="D1547" t="s">
        <v>58</v>
      </c>
      <c r="E1547">
        <v>3</v>
      </c>
      <c r="F1547">
        <f>MAX(-1,3-Tableau1[[#This Row],[Nb possédé (digital)]])</f>
        <v>0</v>
      </c>
      <c r="G1547">
        <v>3</v>
      </c>
      <c r="H1547">
        <f>MAX(-1,3-Tableau1[[#This Row],[Possédé (physique)]])</f>
        <v>0</v>
      </c>
      <c r="I1547" t="str">
        <f>IF(Tableau1[[#This Row],[Manque (physique)]]&gt;Tableau1[[#This Row],[Manque (digital)]],"POD",IF(Tableau1[[#This Row],[Manque (digital)]]&gt;Tableau1[[#This Row],[Manque (physique)]],"MarketPlace",""))</f>
        <v/>
      </c>
      <c r="J1547" t="s">
        <v>30</v>
      </c>
      <c r="K1547" t="s">
        <v>68</v>
      </c>
      <c r="L1547" t="s">
        <v>19</v>
      </c>
      <c r="M1547" t="s">
        <v>19</v>
      </c>
      <c r="N1547" t="s">
        <v>89</v>
      </c>
      <c r="O1547" t="s">
        <v>23</v>
      </c>
      <c r="P1547" t="s">
        <v>19</v>
      </c>
      <c r="Q1547" t="s">
        <v>273</v>
      </c>
    </row>
    <row r="1548" spans="1:17" hidden="1" x14ac:dyDescent="0.25">
      <c r="A1548" t="s">
        <v>664</v>
      </c>
      <c r="B1548" t="s">
        <v>22</v>
      </c>
      <c r="C1548" t="s">
        <v>45</v>
      </c>
      <c r="D1548" t="s">
        <v>58</v>
      </c>
      <c r="E1548">
        <v>3</v>
      </c>
      <c r="F1548">
        <f>MAX(-1,3-Tableau1[[#This Row],[Nb possédé (digital)]])</f>
        <v>0</v>
      </c>
      <c r="G1548">
        <v>3</v>
      </c>
      <c r="H1548">
        <f>MAX(-1,3-Tableau1[[#This Row],[Possédé (physique)]])</f>
        <v>0</v>
      </c>
      <c r="I1548" t="str">
        <f>IF(Tableau1[[#This Row],[Manque (physique)]]&gt;Tableau1[[#This Row],[Manque (digital)]],"POD",IF(Tableau1[[#This Row],[Manque (digital)]]&gt;Tableau1[[#This Row],[Manque (physique)]],"MarketPlace",""))</f>
        <v/>
      </c>
      <c r="J1548" t="s">
        <v>268</v>
      </c>
      <c r="K1548" t="s">
        <v>269</v>
      </c>
      <c r="L1548" t="s">
        <v>19</v>
      </c>
      <c r="M1548" t="s">
        <v>19</v>
      </c>
      <c r="Q1548" t="s">
        <v>665</v>
      </c>
    </row>
    <row r="1549" spans="1:17" hidden="1" x14ac:dyDescent="0.25">
      <c r="A1549" t="s">
        <v>674</v>
      </c>
      <c r="B1549" t="s">
        <v>22</v>
      </c>
      <c r="C1549" t="s">
        <v>45</v>
      </c>
      <c r="D1549" t="s">
        <v>58</v>
      </c>
      <c r="E1549">
        <v>3</v>
      </c>
      <c r="F1549">
        <f>MAX(-1,3-Tableau1[[#This Row],[Nb possédé (digital)]])</f>
        <v>0</v>
      </c>
      <c r="G1549">
        <v>3</v>
      </c>
      <c r="H1549">
        <f>MAX(-1,3-Tableau1[[#This Row],[Possédé (physique)]])</f>
        <v>0</v>
      </c>
      <c r="I1549" t="str">
        <f>IF(Tableau1[[#This Row],[Manque (physique)]]&gt;Tableau1[[#This Row],[Manque (digital)]],"POD",IF(Tableau1[[#This Row],[Manque (digital)]]&gt;Tableau1[[#This Row],[Manque (physique)]],"MarketPlace",""))</f>
        <v/>
      </c>
      <c r="J1549" t="s">
        <v>116</v>
      </c>
      <c r="K1549" t="s">
        <v>117</v>
      </c>
      <c r="L1549" t="s">
        <v>19</v>
      </c>
      <c r="M1549" t="s">
        <v>19</v>
      </c>
      <c r="Q1549" t="s">
        <v>675</v>
      </c>
    </row>
    <row r="1550" spans="1:17" x14ac:dyDescent="0.25">
      <c r="A1550" t="s">
        <v>770</v>
      </c>
      <c r="B1550" t="s">
        <v>22</v>
      </c>
      <c r="C1550" t="s">
        <v>45</v>
      </c>
      <c r="D1550" t="s">
        <v>58</v>
      </c>
      <c r="E1550">
        <v>4</v>
      </c>
      <c r="F1550">
        <f>MAX(-1,3-Tableau1[[#This Row],[Nb possédé (digital)]])</f>
        <v>-1</v>
      </c>
      <c r="G1550">
        <v>4</v>
      </c>
      <c r="H1550">
        <f>MAX(-1,3-Tableau1[[#This Row],[Possédé (physique)]])</f>
        <v>-1</v>
      </c>
      <c r="I1550" t="str">
        <f>IF(Tableau1[[#This Row],[Manque (physique)]]&gt;Tableau1[[#This Row],[Manque (digital)]],"POD",IF(Tableau1[[#This Row],[Manque (digital)]]&gt;Tableau1[[#This Row],[Manque (physique)]],"MarketPlace",""))</f>
        <v/>
      </c>
      <c r="J1550" t="s">
        <v>30</v>
      </c>
      <c r="K1550" t="s">
        <v>79</v>
      </c>
      <c r="L1550" t="s">
        <v>19</v>
      </c>
      <c r="M1550" t="s">
        <v>19</v>
      </c>
      <c r="N1550" t="s">
        <v>19</v>
      </c>
      <c r="O1550" t="s">
        <v>89</v>
      </c>
      <c r="P1550" t="s">
        <v>23</v>
      </c>
      <c r="Q1550" t="s">
        <v>772</v>
      </c>
    </row>
    <row r="1551" spans="1:17" hidden="1" x14ac:dyDescent="0.25">
      <c r="A1551" t="s">
        <v>849</v>
      </c>
      <c r="B1551" t="s">
        <v>22</v>
      </c>
      <c r="C1551" t="s">
        <v>45</v>
      </c>
      <c r="D1551" t="s">
        <v>58</v>
      </c>
      <c r="E1551">
        <v>3</v>
      </c>
      <c r="F1551">
        <f>MAX(-1,3-Tableau1[[#This Row],[Nb possédé (digital)]])</f>
        <v>0</v>
      </c>
      <c r="G1551">
        <v>3</v>
      </c>
      <c r="H1551">
        <f>MAX(-1,3-Tableau1[[#This Row],[Possédé (physique)]])</f>
        <v>0</v>
      </c>
      <c r="I1551" t="str">
        <f>IF(Tableau1[[#This Row],[Manque (physique)]]&gt;Tableau1[[#This Row],[Manque (digital)]],"POD",IF(Tableau1[[#This Row],[Manque (digital)]]&gt;Tableau1[[#This Row],[Manque (physique)]],"MarketPlace",""))</f>
        <v/>
      </c>
      <c r="J1551" t="s">
        <v>30</v>
      </c>
      <c r="K1551" t="s">
        <v>59</v>
      </c>
      <c r="L1551" t="s">
        <v>19</v>
      </c>
      <c r="M1551" t="s">
        <v>19</v>
      </c>
      <c r="N1551" t="s">
        <v>20</v>
      </c>
      <c r="O1551" t="s">
        <v>23</v>
      </c>
      <c r="P1551" t="s">
        <v>23</v>
      </c>
      <c r="Q1551" t="s">
        <v>850</v>
      </c>
    </row>
    <row r="1552" spans="1:17" hidden="1" x14ac:dyDescent="0.25">
      <c r="A1552" t="s">
        <v>924</v>
      </c>
      <c r="B1552" t="s">
        <v>22</v>
      </c>
      <c r="C1552" t="s">
        <v>45</v>
      </c>
      <c r="D1552" t="s">
        <v>58</v>
      </c>
      <c r="E1552">
        <v>3</v>
      </c>
      <c r="F1552">
        <f>MAX(-1,3-Tableau1[[#This Row],[Nb possédé (digital)]])</f>
        <v>0</v>
      </c>
      <c r="G1552">
        <v>3</v>
      </c>
      <c r="H1552">
        <f>MAX(-1,3-Tableau1[[#This Row],[Possédé (physique)]])</f>
        <v>0</v>
      </c>
      <c r="I1552" t="str">
        <f>IF(Tableau1[[#This Row],[Manque (physique)]]&gt;Tableau1[[#This Row],[Manque (digital)]],"POD",IF(Tableau1[[#This Row],[Manque (digital)]]&gt;Tableau1[[#This Row],[Manque (physique)]],"MarketPlace",""))</f>
        <v/>
      </c>
      <c r="J1552" t="s">
        <v>116</v>
      </c>
      <c r="K1552" t="s">
        <v>117</v>
      </c>
      <c r="L1552" t="s">
        <v>19</v>
      </c>
      <c r="M1552" t="s">
        <v>19</v>
      </c>
      <c r="Q1552" t="s">
        <v>925</v>
      </c>
    </row>
    <row r="1553" spans="1:17" hidden="1" x14ac:dyDescent="0.25">
      <c r="A1553" t="s">
        <v>942</v>
      </c>
      <c r="B1553" t="s">
        <v>22</v>
      </c>
      <c r="C1553" t="s">
        <v>45</v>
      </c>
      <c r="D1553" t="s">
        <v>58</v>
      </c>
      <c r="E1553">
        <v>3</v>
      </c>
      <c r="F1553">
        <f>MAX(-1,3-Tableau1[[#This Row],[Nb possédé (digital)]])</f>
        <v>0</v>
      </c>
      <c r="G1553">
        <v>3</v>
      </c>
      <c r="H1553">
        <f>MAX(-1,3-Tableau1[[#This Row],[Possédé (physique)]])</f>
        <v>0</v>
      </c>
      <c r="I1553" t="str">
        <f>IF(Tableau1[[#This Row],[Manque (physique)]]&gt;Tableau1[[#This Row],[Manque (digital)]],"POD",IF(Tableau1[[#This Row],[Manque (digital)]]&gt;Tableau1[[#This Row],[Manque (physique)]],"MarketPlace",""))</f>
        <v/>
      </c>
      <c r="J1553" t="s">
        <v>17</v>
      </c>
      <c r="K1553" t="s">
        <v>201</v>
      </c>
      <c r="L1553" t="s">
        <v>19</v>
      </c>
      <c r="M1553" t="s">
        <v>19</v>
      </c>
      <c r="Q1553" t="s">
        <v>943</v>
      </c>
    </row>
    <row r="1554" spans="1:17" hidden="1" x14ac:dyDescent="0.25">
      <c r="A1554" t="s">
        <v>1025</v>
      </c>
      <c r="B1554" t="s">
        <v>22</v>
      </c>
      <c r="C1554" t="s">
        <v>45</v>
      </c>
      <c r="D1554" t="s">
        <v>58</v>
      </c>
      <c r="E1554">
        <v>3</v>
      </c>
      <c r="F1554">
        <f>MAX(-1,3-Tableau1[[#This Row],[Nb possédé (digital)]])</f>
        <v>0</v>
      </c>
      <c r="G1554">
        <v>3</v>
      </c>
      <c r="H1554">
        <f>MAX(-1,3-Tableau1[[#This Row],[Possédé (physique)]])</f>
        <v>0</v>
      </c>
      <c r="I1554" t="str">
        <f>IF(Tableau1[[#This Row],[Manque (physique)]]&gt;Tableau1[[#This Row],[Manque (digital)]],"POD",IF(Tableau1[[#This Row],[Manque (digital)]]&gt;Tableau1[[#This Row],[Manque (physique)]],"MarketPlace",""))</f>
        <v/>
      </c>
      <c r="J1554" t="s">
        <v>30</v>
      </c>
      <c r="K1554" t="s">
        <v>1026</v>
      </c>
      <c r="L1554" t="s">
        <v>19</v>
      </c>
      <c r="M1554" t="s">
        <v>19</v>
      </c>
      <c r="N1554" t="s">
        <v>20</v>
      </c>
      <c r="O1554" t="s">
        <v>20</v>
      </c>
      <c r="P1554" t="s">
        <v>19</v>
      </c>
      <c r="Q1554" t="s">
        <v>1027</v>
      </c>
    </row>
    <row r="1555" spans="1:17" hidden="1" x14ac:dyDescent="0.25">
      <c r="A1555" t="s">
        <v>1078</v>
      </c>
      <c r="B1555" t="s">
        <v>22</v>
      </c>
      <c r="C1555" t="s">
        <v>45</v>
      </c>
      <c r="D1555" t="s">
        <v>58</v>
      </c>
      <c r="E1555">
        <v>3</v>
      </c>
      <c r="F1555">
        <f>MAX(-1,3-Tableau1[[#This Row],[Nb possédé (digital)]])</f>
        <v>0</v>
      </c>
      <c r="G1555">
        <v>3</v>
      </c>
      <c r="H1555">
        <f>MAX(-1,3-Tableau1[[#This Row],[Possédé (physique)]])</f>
        <v>0</v>
      </c>
      <c r="I1555" t="str">
        <f>IF(Tableau1[[#This Row],[Manque (physique)]]&gt;Tableau1[[#This Row],[Manque (digital)]],"POD",IF(Tableau1[[#This Row],[Manque (digital)]]&gt;Tableau1[[#This Row],[Manque (physique)]],"MarketPlace",""))</f>
        <v/>
      </c>
      <c r="J1555" t="s">
        <v>268</v>
      </c>
      <c r="K1555" t="s">
        <v>269</v>
      </c>
      <c r="L1555" t="s">
        <v>19</v>
      </c>
      <c r="M1555" t="s">
        <v>19</v>
      </c>
      <c r="Q1555" t="s">
        <v>1079</v>
      </c>
    </row>
    <row r="1556" spans="1:17" hidden="1" x14ac:dyDescent="0.25">
      <c r="A1556" t="s">
        <v>1099</v>
      </c>
      <c r="B1556" t="s">
        <v>22</v>
      </c>
      <c r="C1556" t="s">
        <v>45</v>
      </c>
      <c r="D1556" t="s">
        <v>58</v>
      </c>
      <c r="E1556">
        <v>3</v>
      </c>
      <c r="F1556">
        <f>MAX(-1,3-Tableau1[[#This Row],[Nb possédé (digital)]])</f>
        <v>0</v>
      </c>
      <c r="G1556">
        <v>3</v>
      </c>
      <c r="H1556">
        <f>MAX(-1,3-Tableau1[[#This Row],[Possédé (physique)]])</f>
        <v>0</v>
      </c>
      <c r="I1556" t="str">
        <f>IF(Tableau1[[#This Row],[Manque (physique)]]&gt;Tableau1[[#This Row],[Manque (digital)]],"POD",IF(Tableau1[[#This Row],[Manque (digital)]]&gt;Tableau1[[#This Row],[Manque (physique)]],"MarketPlace",""))</f>
        <v/>
      </c>
      <c r="J1556" t="s">
        <v>30</v>
      </c>
      <c r="K1556" t="s">
        <v>42</v>
      </c>
      <c r="L1556" t="s">
        <v>19</v>
      </c>
      <c r="M1556" t="s">
        <v>19</v>
      </c>
      <c r="N1556" t="s">
        <v>20</v>
      </c>
      <c r="O1556" t="s">
        <v>19</v>
      </c>
      <c r="P1556" t="s">
        <v>19</v>
      </c>
      <c r="Q1556" t="s">
        <v>1101</v>
      </c>
    </row>
    <row r="1557" spans="1:17" hidden="1" x14ac:dyDescent="0.25">
      <c r="A1557" t="s">
        <v>182</v>
      </c>
      <c r="B1557" t="s">
        <v>22</v>
      </c>
      <c r="C1557" t="s">
        <v>45</v>
      </c>
      <c r="D1557" t="s">
        <v>58</v>
      </c>
      <c r="E1557">
        <v>3</v>
      </c>
      <c r="F1557">
        <f>MAX(-1,3-Tableau1[[#This Row],[Nb possédé (digital)]])</f>
        <v>0</v>
      </c>
      <c r="G1557">
        <v>3</v>
      </c>
      <c r="H1557">
        <f>MAX(-1,3-Tableau1[[#This Row],[Possédé (physique)]])</f>
        <v>0</v>
      </c>
      <c r="I1557" t="str">
        <f>IF(Tableau1[[#This Row],[Manque (physique)]]&gt;Tableau1[[#This Row],[Manque (digital)]],"POD",IF(Tableau1[[#This Row],[Manque (digital)]]&gt;Tableau1[[#This Row],[Manque (physique)]],"MarketPlace",""))</f>
        <v/>
      </c>
      <c r="J1557" t="s">
        <v>30</v>
      </c>
      <c r="K1557" t="s">
        <v>79</v>
      </c>
      <c r="L1557" t="s">
        <v>23</v>
      </c>
      <c r="M1557" t="s">
        <v>19</v>
      </c>
      <c r="N1557" t="s">
        <v>23</v>
      </c>
      <c r="O1557" t="s">
        <v>89</v>
      </c>
      <c r="P1557" t="s">
        <v>23</v>
      </c>
      <c r="Q1557" t="s">
        <v>184</v>
      </c>
    </row>
    <row r="1558" spans="1:17" hidden="1" x14ac:dyDescent="0.25">
      <c r="A1558" t="s">
        <v>267</v>
      </c>
      <c r="B1558" t="s">
        <v>22</v>
      </c>
      <c r="C1558" t="s">
        <v>45</v>
      </c>
      <c r="D1558" t="s">
        <v>58</v>
      </c>
      <c r="E1558">
        <v>3</v>
      </c>
      <c r="F1558">
        <f>MAX(-1,3-Tableau1[[#This Row],[Nb possédé (digital)]])</f>
        <v>0</v>
      </c>
      <c r="G1558">
        <v>3</v>
      </c>
      <c r="H1558">
        <f>MAX(-1,3-Tableau1[[#This Row],[Possédé (physique)]])</f>
        <v>0</v>
      </c>
      <c r="I1558" t="str">
        <f>IF(Tableau1[[#This Row],[Manque (physique)]]&gt;Tableau1[[#This Row],[Manque (digital)]],"POD",IF(Tableau1[[#This Row],[Manque (digital)]]&gt;Tableau1[[#This Row],[Manque (physique)]],"MarketPlace",""))</f>
        <v/>
      </c>
      <c r="J1558" t="s">
        <v>268</v>
      </c>
      <c r="K1558" t="s">
        <v>269</v>
      </c>
      <c r="L1558" t="s">
        <v>23</v>
      </c>
      <c r="M1558" t="s">
        <v>23</v>
      </c>
      <c r="Q1558" t="s">
        <v>270</v>
      </c>
    </row>
    <row r="1559" spans="1:17" hidden="1" x14ac:dyDescent="0.25">
      <c r="A1559" t="s">
        <v>712</v>
      </c>
      <c r="B1559" t="s">
        <v>22</v>
      </c>
      <c r="C1559" t="s">
        <v>45</v>
      </c>
      <c r="D1559" t="s">
        <v>58</v>
      </c>
      <c r="E1559">
        <v>3</v>
      </c>
      <c r="F1559">
        <f>MAX(-1,3-Tableau1[[#This Row],[Nb possédé (digital)]])</f>
        <v>0</v>
      </c>
      <c r="G1559">
        <v>3</v>
      </c>
      <c r="H1559">
        <f>MAX(-1,3-Tableau1[[#This Row],[Possédé (physique)]])</f>
        <v>0</v>
      </c>
      <c r="I1559" t="str">
        <f>IF(Tableau1[[#This Row],[Manque (physique)]]&gt;Tableau1[[#This Row],[Manque (digital)]],"POD",IF(Tableau1[[#This Row],[Manque (digital)]]&gt;Tableau1[[#This Row],[Manque (physique)]],"MarketPlace",""))</f>
        <v/>
      </c>
      <c r="J1559" t="s">
        <v>268</v>
      </c>
      <c r="K1559" t="s">
        <v>269</v>
      </c>
      <c r="L1559" t="s">
        <v>23</v>
      </c>
      <c r="M1559" t="s">
        <v>23</v>
      </c>
      <c r="Q1559" t="s">
        <v>715</v>
      </c>
    </row>
    <row r="1560" spans="1:17" x14ac:dyDescent="0.25">
      <c r="A1560" t="s">
        <v>830</v>
      </c>
      <c r="B1560" t="s">
        <v>22</v>
      </c>
      <c r="C1560" t="s">
        <v>45</v>
      </c>
      <c r="D1560" t="s">
        <v>58</v>
      </c>
      <c r="E1560">
        <v>4</v>
      </c>
      <c r="F1560">
        <f>MAX(-1,3-Tableau1[[#This Row],[Nb possédé (digital)]])</f>
        <v>-1</v>
      </c>
      <c r="G1560">
        <v>4</v>
      </c>
      <c r="H1560">
        <f>MAX(-1,3-Tableau1[[#This Row],[Possédé (physique)]])</f>
        <v>-1</v>
      </c>
      <c r="I1560" t="str">
        <f>IF(Tableau1[[#This Row],[Manque (physique)]]&gt;Tableau1[[#This Row],[Manque (digital)]],"POD",IF(Tableau1[[#This Row],[Manque (digital)]]&gt;Tableau1[[#This Row],[Manque (physique)]],"MarketPlace",""))</f>
        <v/>
      </c>
      <c r="J1560" t="s">
        <v>30</v>
      </c>
      <c r="K1560" t="s">
        <v>124</v>
      </c>
      <c r="L1560" t="s">
        <v>23</v>
      </c>
      <c r="M1560" t="s">
        <v>23</v>
      </c>
      <c r="N1560" t="s">
        <v>23</v>
      </c>
      <c r="O1560" t="s">
        <v>23</v>
      </c>
      <c r="P1560" t="s">
        <v>89</v>
      </c>
      <c r="Q1560" t="s">
        <v>831</v>
      </c>
    </row>
    <row r="1561" spans="1:17" hidden="1" x14ac:dyDescent="0.25">
      <c r="A1561" t="s">
        <v>889</v>
      </c>
      <c r="B1561" t="s">
        <v>22</v>
      </c>
      <c r="C1561" t="s">
        <v>45</v>
      </c>
      <c r="D1561" t="s">
        <v>58</v>
      </c>
      <c r="E1561">
        <v>3</v>
      </c>
      <c r="F1561">
        <f>MAX(-1,3-Tableau1[[#This Row],[Nb possédé (digital)]])</f>
        <v>0</v>
      </c>
      <c r="G1561">
        <v>3</v>
      </c>
      <c r="H1561">
        <f>MAX(-1,3-Tableau1[[#This Row],[Possédé (physique)]])</f>
        <v>0</v>
      </c>
      <c r="I1561" t="str">
        <f>IF(Tableau1[[#This Row],[Manque (physique)]]&gt;Tableau1[[#This Row],[Manque (digital)]],"POD",IF(Tableau1[[#This Row],[Manque (digital)]]&gt;Tableau1[[#This Row],[Manque (physique)]],"MarketPlace",""))</f>
        <v/>
      </c>
      <c r="J1561" t="s">
        <v>30</v>
      </c>
      <c r="K1561" t="s">
        <v>83</v>
      </c>
      <c r="L1561" t="s">
        <v>23</v>
      </c>
      <c r="M1561" t="s">
        <v>23</v>
      </c>
      <c r="N1561" t="s">
        <v>19</v>
      </c>
      <c r="O1561" t="s">
        <v>23</v>
      </c>
      <c r="P1561" t="s">
        <v>19</v>
      </c>
      <c r="Q1561" t="s">
        <v>891</v>
      </c>
    </row>
    <row r="1562" spans="1:17" hidden="1" x14ac:dyDescent="0.25">
      <c r="A1562" t="s">
        <v>1022</v>
      </c>
      <c r="B1562" t="s">
        <v>22</v>
      </c>
      <c r="C1562" t="s">
        <v>45</v>
      </c>
      <c r="D1562" t="s">
        <v>58</v>
      </c>
      <c r="E1562">
        <v>3</v>
      </c>
      <c r="F1562">
        <f>MAX(-1,3-Tableau1[[#This Row],[Nb possédé (digital)]])</f>
        <v>0</v>
      </c>
      <c r="G1562">
        <v>3</v>
      </c>
      <c r="H1562">
        <f>MAX(-1,3-Tableau1[[#This Row],[Possédé (physique)]])</f>
        <v>0</v>
      </c>
      <c r="I1562" t="str">
        <f>IF(Tableau1[[#This Row],[Manque (physique)]]&gt;Tableau1[[#This Row],[Manque (digital)]],"POD",IF(Tableau1[[#This Row],[Manque (digital)]]&gt;Tableau1[[#This Row],[Manque (physique)]],"MarketPlace",""))</f>
        <v/>
      </c>
      <c r="J1562" t="s">
        <v>30</v>
      </c>
      <c r="K1562" t="s">
        <v>36</v>
      </c>
      <c r="L1562" t="s">
        <v>23</v>
      </c>
      <c r="M1562" t="s">
        <v>23</v>
      </c>
      <c r="N1562" t="s">
        <v>52</v>
      </c>
      <c r="O1562" t="s">
        <v>52</v>
      </c>
      <c r="P1562" t="s">
        <v>52</v>
      </c>
      <c r="Q1562" t="s">
        <v>1023</v>
      </c>
    </row>
    <row r="1563" spans="1:17" x14ac:dyDescent="0.25">
      <c r="A1563" t="s">
        <v>493</v>
      </c>
      <c r="B1563" t="s">
        <v>22</v>
      </c>
      <c r="C1563" t="s">
        <v>45</v>
      </c>
      <c r="D1563" t="s">
        <v>58</v>
      </c>
      <c r="E1563">
        <v>4</v>
      </c>
      <c r="F1563">
        <f>MAX(-1,3-Tableau1[[#This Row],[Nb possédé (digital)]])</f>
        <v>-1</v>
      </c>
      <c r="G1563">
        <v>4</v>
      </c>
      <c r="H1563">
        <f>MAX(-1,3-Tableau1[[#This Row],[Possédé (physique)]])</f>
        <v>-1</v>
      </c>
      <c r="I1563" t="str">
        <f>IF(Tableau1[[#This Row],[Manque (physique)]]&gt;Tableau1[[#This Row],[Manque (digital)]],"POD",IF(Tableau1[[#This Row],[Manque (digital)]]&gt;Tableau1[[#This Row],[Manque (physique)]],"MarketPlace",""))</f>
        <v/>
      </c>
      <c r="J1563" t="s">
        <v>17</v>
      </c>
      <c r="K1563" t="s">
        <v>153</v>
      </c>
      <c r="L1563" t="s">
        <v>23</v>
      </c>
      <c r="M1563" t="s">
        <v>52</v>
      </c>
      <c r="Q1563" t="s">
        <v>495</v>
      </c>
    </row>
    <row r="1564" spans="1:17" hidden="1" x14ac:dyDescent="0.25">
      <c r="A1564" t="s">
        <v>123</v>
      </c>
      <c r="B1564" t="s">
        <v>22</v>
      </c>
      <c r="C1564" t="s">
        <v>45</v>
      </c>
      <c r="D1564" t="s">
        <v>58</v>
      </c>
      <c r="E1564">
        <v>3</v>
      </c>
      <c r="F1564">
        <f>MAX(-1,3-Tableau1[[#This Row],[Nb possédé (digital)]])</f>
        <v>0</v>
      </c>
      <c r="G1564">
        <v>3</v>
      </c>
      <c r="H1564">
        <f>MAX(-1,3-Tableau1[[#This Row],[Possédé (physique)]])</f>
        <v>0</v>
      </c>
      <c r="I1564" t="str">
        <f>IF(Tableau1[[#This Row],[Manque (physique)]]&gt;Tableau1[[#This Row],[Manque (digital)]],"POD",IF(Tableau1[[#This Row],[Manque (digital)]]&gt;Tableau1[[#This Row],[Manque (physique)]],"MarketPlace",""))</f>
        <v/>
      </c>
      <c r="J1564" t="s">
        <v>30</v>
      </c>
      <c r="K1564" t="s">
        <v>124</v>
      </c>
      <c r="L1564" t="s">
        <v>52</v>
      </c>
      <c r="M1564" t="s">
        <v>23</v>
      </c>
      <c r="N1564" t="s">
        <v>23</v>
      </c>
      <c r="O1564" t="s">
        <v>23</v>
      </c>
      <c r="P1564" t="s">
        <v>23</v>
      </c>
      <c r="Q1564" t="s">
        <v>127</v>
      </c>
    </row>
    <row r="1565" spans="1:17" hidden="1" x14ac:dyDescent="0.25">
      <c r="A1565" t="s">
        <v>584</v>
      </c>
      <c r="B1565" t="s">
        <v>22</v>
      </c>
      <c r="C1565" t="s">
        <v>45</v>
      </c>
      <c r="D1565" t="s">
        <v>58</v>
      </c>
      <c r="E1565">
        <v>3</v>
      </c>
      <c r="F1565">
        <f>MAX(-1,3-Tableau1[[#This Row],[Nb possédé (digital)]])</f>
        <v>0</v>
      </c>
      <c r="G1565">
        <v>5</v>
      </c>
      <c r="H1565">
        <f>MAX(-1,3-Tableau1[[#This Row],[Possédé (physique)]])</f>
        <v>-1</v>
      </c>
      <c r="I1565" t="str">
        <f>IF(Tableau1[[#This Row],[Manque (physique)]]&gt;Tableau1[[#This Row],[Manque (digital)]],"POD",IF(Tableau1[[#This Row],[Manque (digital)]]&gt;Tableau1[[#This Row],[Manque (physique)]],"MarketPlace",""))</f>
        <v>MarketPlace</v>
      </c>
      <c r="J1565" t="s">
        <v>17</v>
      </c>
      <c r="K1565" t="s">
        <v>201</v>
      </c>
      <c r="L1565" t="s">
        <v>52</v>
      </c>
      <c r="M1565" t="s">
        <v>23</v>
      </c>
      <c r="Q1565" t="s">
        <v>586</v>
      </c>
    </row>
    <row r="1566" spans="1:17" hidden="1" x14ac:dyDescent="0.25">
      <c r="A1566" t="s">
        <v>388</v>
      </c>
      <c r="B1566" t="s">
        <v>22</v>
      </c>
      <c r="C1566" t="s">
        <v>45</v>
      </c>
      <c r="D1566" t="s">
        <v>58</v>
      </c>
      <c r="E1566">
        <v>3</v>
      </c>
      <c r="F1566">
        <f>MAX(-1,3-Tableau1[[#This Row],[Nb possédé (digital)]])</f>
        <v>0</v>
      </c>
      <c r="G1566">
        <v>3</v>
      </c>
      <c r="H1566">
        <f>MAX(-1,3-Tableau1[[#This Row],[Possédé (physique)]])</f>
        <v>0</v>
      </c>
      <c r="I1566" t="str">
        <f>IF(Tableau1[[#This Row],[Manque (physique)]]&gt;Tableau1[[#This Row],[Manque (digital)]],"POD",IF(Tableau1[[#This Row],[Manque (digital)]]&gt;Tableau1[[#This Row],[Manque (physique)]],"MarketPlace",""))</f>
        <v/>
      </c>
      <c r="J1566" t="s">
        <v>17</v>
      </c>
      <c r="K1566" t="s">
        <v>97</v>
      </c>
      <c r="L1566" t="s">
        <v>52</v>
      </c>
      <c r="M1566" t="s">
        <v>52</v>
      </c>
      <c r="Q1566" t="s">
        <v>391</v>
      </c>
    </row>
    <row r="1567" spans="1:17" hidden="1" x14ac:dyDescent="0.25">
      <c r="A1567" t="s">
        <v>78</v>
      </c>
      <c r="B1567" t="s">
        <v>22</v>
      </c>
      <c r="C1567" t="s">
        <v>45</v>
      </c>
      <c r="D1567" t="s">
        <v>58</v>
      </c>
      <c r="E1567">
        <v>3</v>
      </c>
      <c r="F1567">
        <f>MAX(-1,3-Tableau1[[#This Row],[Nb possédé (digital)]])</f>
        <v>0</v>
      </c>
      <c r="G1567">
        <v>3</v>
      </c>
      <c r="H1567">
        <f>MAX(-1,3-Tableau1[[#This Row],[Possédé (physique)]])</f>
        <v>0</v>
      </c>
      <c r="I1567" t="str">
        <f>IF(Tableau1[[#This Row],[Manque (physique)]]&gt;Tableau1[[#This Row],[Manque (digital)]],"POD",IF(Tableau1[[#This Row],[Manque (digital)]]&gt;Tableau1[[#This Row],[Manque (physique)]],"MarketPlace",""))</f>
        <v/>
      </c>
      <c r="J1567" t="s">
        <v>30</v>
      </c>
      <c r="K1567" t="s">
        <v>79</v>
      </c>
      <c r="L1567" t="s">
        <v>37</v>
      </c>
      <c r="M1567" t="s">
        <v>37</v>
      </c>
      <c r="N1567" t="s">
        <v>52</v>
      </c>
      <c r="O1567" t="s">
        <v>23</v>
      </c>
      <c r="P1567" t="s">
        <v>23</v>
      </c>
      <c r="Q1567" t="s">
        <v>80</v>
      </c>
    </row>
    <row r="1568" spans="1:17" hidden="1" x14ac:dyDescent="0.25">
      <c r="A1568" t="s">
        <v>192</v>
      </c>
      <c r="B1568" t="s">
        <v>22</v>
      </c>
      <c r="C1568" t="s">
        <v>45</v>
      </c>
      <c r="D1568" t="s">
        <v>58</v>
      </c>
      <c r="E1568">
        <v>3</v>
      </c>
      <c r="F1568">
        <f>MAX(-1,3-Tableau1[[#This Row],[Nb possédé (digital)]])</f>
        <v>0</v>
      </c>
      <c r="G1568">
        <v>3</v>
      </c>
      <c r="H1568">
        <f>MAX(-1,3-Tableau1[[#This Row],[Possédé (physique)]])</f>
        <v>0</v>
      </c>
      <c r="I1568" t="str">
        <f>IF(Tableau1[[#This Row],[Manque (physique)]]&gt;Tableau1[[#This Row],[Manque (digital)]],"POD",IF(Tableau1[[#This Row],[Manque (digital)]]&gt;Tableau1[[#This Row],[Manque (physique)]],"MarketPlace",""))</f>
        <v/>
      </c>
      <c r="J1568" t="s">
        <v>17</v>
      </c>
      <c r="K1568" t="s">
        <v>153</v>
      </c>
      <c r="L1568" t="s">
        <v>37</v>
      </c>
      <c r="M1568" t="s">
        <v>37</v>
      </c>
      <c r="Q1568" t="s">
        <v>195</v>
      </c>
    </row>
    <row r="1569" spans="1:17" hidden="1" x14ac:dyDescent="0.25">
      <c r="A1569" t="s">
        <v>656</v>
      </c>
      <c r="B1569" t="s">
        <v>22</v>
      </c>
      <c r="C1569" t="s">
        <v>45</v>
      </c>
      <c r="D1569" t="s">
        <v>58</v>
      </c>
      <c r="E1569">
        <v>3</v>
      </c>
      <c r="F1569">
        <f>MAX(-1,3-Tableau1[[#This Row],[Nb possédé (digital)]])</f>
        <v>0</v>
      </c>
      <c r="G1569">
        <v>3</v>
      </c>
      <c r="H1569">
        <f>MAX(-1,3-Tableau1[[#This Row],[Possédé (physique)]])</f>
        <v>0</v>
      </c>
      <c r="I1569" t="str">
        <f>IF(Tableau1[[#This Row],[Manque (physique)]]&gt;Tableau1[[#This Row],[Manque (digital)]],"POD",IF(Tableau1[[#This Row],[Manque (digital)]]&gt;Tableau1[[#This Row],[Manque (physique)]],"MarketPlace",""))</f>
        <v/>
      </c>
      <c r="J1569" t="s">
        <v>30</v>
      </c>
      <c r="K1569" t="s">
        <v>657</v>
      </c>
      <c r="L1569" t="s">
        <v>380</v>
      </c>
      <c r="M1569" t="s">
        <v>380</v>
      </c>
      <c r="N1569" t="s">
        <v>23</v>
      </c>
      <c r="O1569" t="s">
        <v>23</v>
      </c>
      <c r="P1569" t="s">
        <v>23</v>
      </c>
      <c r="Q1569" t="s">
        <v>659</v>
      </c>
    </row>
    <row r="1570" spans="1:17" hidden="1" x14ac:dyDescent="0.25">
      <c r="A1570" t="s">
        <v>827</v>
      </c>
      <c r="B1570" t="s">
        <v>22</v>
      </c>
      <c r="C1570" t="s">
        <v>45</v>
      </c>
      <c r="D1570" t="s">
        <v>58</v>
      </c>
      <c r="E1570">
        <v>3</v>
      </c>
      <c r="F1570">
        <f>MAX(-1,3-Tableau1[[#This Row],[Nb possédé (digital)]])</f>
        <v>0</v>
      </c>
      <c r="G1570">
        <v>3</v>
      </c>
      <c r="H1570">
        <f>MAX(-1,3-Tableau1[[#This Row],[Possédé (physique)]])</f>
        <v>0</v>
      </c>
      <c r="I1570" t="str">
        <f>IF(Tableau1[[#This Row],[Manque (physique)]]&gt;Tableau1[[#This Row],[Manque (digital)]],"POD",IF(Tableau1[[#This Row],[Manque (digital)]]&gt;Tableau1[[#This Row],[Manque (physique)]],"MarketPlace",""))</f>
        <v/>
      </c>
      <c r="J1570" t="s">
        <v>17</v>
      </c>
      <c r="K1570" t="s">
        <v>201</v>
      </c>
      <c r="L1570" t="s">
        <v>380</v>
      </c>
      <c r="M1570" t="s">
        <v>380</v>
      </c>
      <c r="Q1570" t="s">
        <v>829</v>
      </c>
    </row>
    <row r="1571" spans="1:17" hidden="1" x14ac:dyDescent="0.25">
      <c r="A1571" t="s">
        <v>823</v>
      </c>
      <c r="B1571" t="s">
        <v>22</v>
      </c>
      <c r="C1571" t="s">
        <v>45</v>
      </c>
      <c r="D1571" t="s">
        <v>58</v>
      </c>
      <c r="E1571">
        <v>3</v>
      </c>
      <c r="F1571">
        <f>MAX(-1,3-Tableau1[[#This Row],[Nb possédé (digital)]])</f>
        <v>0</v>
      </c>
      <c r="G1571">
        <v>3</v>
      </c>
      <c r="H1571">
        <f>MAX(-1,3-Tableau1[[#This Row],[Possédé (physique)]])</f>
        <v>0</v>
      </c>
      <c r="I1571" t="str">
        <f>IF(Tableau1[[#This Row],[Manque (physique)]]&gt;Tableau1[[#This Row],[Manque (digital)]],"POD",IF(Tableau1[[#This Row],[Manque (digital)]]&gt;Tableau1[[#This Row],[Manque (physique)]],"MarketPlace",""))</f>
        <v/>
      </c>
      <c r="J1571" t="s">
        <v>17</v>
      </c>
      <c r="K1571" t="s">
        <v>824</v>
      </c>
      <c r="L1571" t="s">
        <v>101</v>
      </c>
      <c r="M1571" t="s">
        <v>101</v>
      </c>
      <c r="Q1571" t="s">
        <v>826</v>
      </c>
    </row>
    <row r="1572" spans="1:17" hidden="1" x14ac:dyDescent="0.25">
      <c r="A1572" t="s">
        <v>1559</v>
      </c>
      <c r="B1572" t="s">
        <v>22</v>
      </c>
      <c r="C1572" t="s">
        <v>45</v>
      </c>
      <c r="D1572" t="s">
        <v>1496</v>
      </c>
      <c r="E1572">
        <v>0</v>
      </c>
      <c r="F1572">
        <f>MAX(-1,3-Tableau1[[#This Row],[Nb possédé (digital)]])</f>
        <v>3</v>
      </c>
      <c r="G1572">
        <v>3</v>
      </c>
      <c r="H1572">
        <f>MAX(-1,3-Tableau1[[#This Row],[Possédé (physique)]])</f>
        <v>0</v>
      </c>
      <c r="I1572" t="str">
        <f>IF(Tableau1[[#This Row],[Manque (physique)]]&gt;Tableau1[[#This Row],[Manque (digital)]],"POD",IF(Tableau1[[#This Row],[Manque (digital)]]&gt;Tableau1[[#This Row],[Manque (physique)]],"MarketPlace",""))</f>
        <v>MarketPlace</v>
      </c>
      <c r="J1572" t="s">
        <v>30</v>
      </c>
      <c r="K1572" t="s">
        <v>148</v>
      </c>
      <c r="L1572" t="s">
        <v>20</v>
      </c>
      <c r="M1572" t="s">
        <v>20</v>
      </c>
      <c r="N1572" t="s">
        <v>89</v>
      </c>
      <c r="O1572" t="s">
        <v>20</v>
      </c>
      <c r="P1572" t="s">
        <v>20</v>
      </c>
      <c r="Q1572" t="s">
        <v>1736</v>
      </c>
    </row>
    <row r="1573" spans="1:17" hidden="1" x14ac:dyDescent="0.25">
      <c r="A1573" t="s">
        <v>1530</v>
      </c>
      <c r="B1573" t="s">
        <v>22</v>
      </c>
      <c r="C1573" t="s">
        <v>45</v>
      </c>
      <c r="D1573" t="s">
        <v>1496</v>
      </c>
      <c r="E1573">
        <v>3</v>
      </c>
      <c r="F1573">
        <f>MAX(-1,3-Tableau1[[#This Row],[Nb possédé (digital)]])</f>
        <v>0</v>
      </c>
      <c r="G1573">
        <v>3</v>
      </c>
      <c r="H1573">
        <f>MAX(-1,3-Tableau1[[#This Row],[Possédé (physique)]])</f>
        <v>0</v>
      </c>
      <c r="I1573" t="str">
        <f>IF(Tableau1[[#This Row],[Manque (physique)]]&gt;Tableau1[[#This Row],[Manque (digital)]],"POD",IF(Tableau1[[#This Row],[Manque (digital)]]&gt;Tableau1[[#This Row],[Manque (physique)]],"MarketPlace",""))</f>
        <v/>
      </c>
      <c r="J1573" t="s">
        <v>30</v>
      </c>
      <c r="K1573" t="s">
        <v>1043</v>
      </c>
      <c r="L1573" t="s">
        <v>19</v>
      </c>
      <c r="M1573" t="s">
        <v>20</v>
      </c>
      <c r="N1573" t="s">
        <v>20</v>
      </c>
      <c r="O1573" t="s">
        <v>20</v>
      </c>
      <c r="P1573" t="s">
        <v>89</v>
      </c>
      <c r="Q1573" t="s">
        <v>1673</v>
      </c>
    </row>
    <row r="1574" spans="1:17" hidden="1" x14ac:dyDescent="0.25">
      <c r="A1574" t="s">
        <v>1571</v>
      </c>
      <c r="B1574" t="s">
        <v>22</v>
      </c>
      <c r="C1574" t="s">
        <v>45</v>
      </c>
      <c r="D1574" t="s">
        <v>1496</v>
      </c>
      <c r="E1574">
        <v>1</v>
      </c>
      <c r="F1574">
        <f>MAX(-1,3-Tableau1[[#This Row],[Nb possédé (digital)]])</f>
        <v>2</v>
      </c>
      <c r="G1574">
        <v>3</v>
      </c>
      <c r="H1574">
        <f>MAX(-1,3-Tableau1[[#This Row],[Possédé (physique)]])</f>
        <v>0</v>
      </c>
      <c r="I1574" t="str">
        <f>IF(Tableau1[[#This Row],[Manque (physique)]]&gt;Tableau1[[#This Row],[Manque (digital)]],"POD",IF(Tableau1[[#This Row],[Manque (digital)]]&gt;Tableau1[[#This Row],[Manque (physique)]],"MarketPlace",""))</f>
        <v>MarketPlace</v>
      </c>
      <c r="J1574" t="s">
        <v>17</v>
      </c>
      <c r="K1574" t="s">
        <v>1756</v>
      </c>
      <c r="L1574" t="s">
        <v>19</v>
      </c>
      <c r="M1574" t="s">
        <v>20</v>
      </c>
      <c r="Q1574" t="s">
        <v>1760</v>
      </c>
    </row>
    <row r="1575" spans="1:17" x14ac:dyDescent="0.25">
      <c r="A1575" t="s">
        <v>1499</v>
      </c>
      <c r="B1575" t="s">
        <v>22</v>
      </c>
      <c r="C1575" t="s">
        <v>45</v>
      </c>
      <c r="D1575" t="s">
        <v>1496</v>
      </c>
      <c r="E1575">
        <v>4</v>
      </c>
      <c r="F1575">
        <f>MAX(-1,3-Tableau1[[#This Row],[Nb possédé (digital)]])</f>
        <v>-1</v>
      </c>
      <c r="G1575">
        <v>4</v>
      </c>
      <c r="H1575">
        <f>MAX(-1,3-Tableau1[[#This Row],[Possédé (physique)]])</f>
        <v>-1</v>
      </c>
      <c r="I1575" t="str">
        <f>IF(Tableau1[[#This Row],[Manque (physique)]]&gt;Tableau1[[#This Row],[Manque (digital)]],"POD",IF(Tableau1[[#This Row],[Manque (digital)]]&gt;Tableau1[[#This Row],[Manque (physique)]],"MarketPlace",""))</f>
        <v/>
      </c>
      <c r="J1575" t="s">
        <v>116</v>
      </c>
      <c r="K1575" t="s">
        <v>117</v>
      </c>
      <c r="L1575" t="s">
        <v>19</v>
      </c>
      <c r="M1575" t="s">
        <v>19</v>
      </c>
      <c r="Q1575" t="s">
        <v>1605</v>
      </c>
    </row>
    <row r="1576" spans="1:17" hidden="1" x14ac:dyDescent="0.25">
      <c r="A1576" t="s">
        <v>1501</v>
      </c>
      <c r="B1576" t="s">
        <v>22</v>
      </c>
      <c r="C1576" t="s">
        <v>45</v>
      </c>
      <c r="D1576" t="s">
        <v>1496</v>
      </c>
      <c r="E1576">
        <v>0</v>
      </c>
      <c r="F1576">
        <f>MAX(-1,3-Tableau1[[#This Row],[Nb possédé (digital)]])</f>
        <v>3</v>
      </c>
      <c r="G1576">
        <v>3</v>
      </c>
      <c r="H1576">
        <f>MAX(-1,3-Tableau1[[#This Row],[Possédé (physique)]])</f>
        <v>0</v>
      </c>
      <c r="I1576" t="str">
        <f>IF(Tableau1[[#This Row],[Manque (physique)]]&gt;Tableau1[[#This Row],[Manque (digital)]],"POD",IF(Tableau1[[#This Row],[Manque (digital)]]&gt;Tableau1[[#This Row],[Manque (physique)]],"MarketPlace",""))</f>
        <v>MarketPlace</v>
      </c>
      <c r="J1576" t="s">
        <v>30</v>
      </c>
      <c r="K1576" t="s">
        <v>171</v>
      </c>
      <c r="L1576" t="s">
        <v>19</v>
      </c>
      <c r="M1576" t="s">
        <v>19</v>
      </c>
      <c r="N1576" t="s">
        <v>19</v>
      </c>
      <c r="O1576" t="s">
        <v>19</v>
      </c>
      <c r="P1576" t="s">
        <v>19</v>
      </c>
      <c r="Q1576" t="s">
        <v>1610</v>
      </c>
    </row>
    <row r="1577" spans="1:17" hidden="1" x14ac:dyDescent="0.25">
      <c r="A1577" t="s">
        <v>1519</v>
      </c>
      <c r="B1577" t="s">
        <v>22</v>
      </c>
      <c r="C1577" t="s">
        <v>45</v>
      </c>
      <c r="D1577" t="s">
        <v>1496</v>
      </c>
      <c r="E1577">
        <v>3</v>
      </c>
      <c r="F1577">
        <f>MAX(-1,3-Tableau1[[#This Row],[Nb possédé (digital)]])</f>
        <v>0</v>
      </c>
      <c r="G1577">
        <v>3</v>
      </c>
      <c r="H1577">
        <f>MAX(-1,3-Tableau1[[#This Row],[Possédé (physique)]])</f>
        <v>0</v>
      </c>
      <c r="I1577" t="str">
        <f>IF(Tableau1[[#This Row],[Manque (physique)]]&gt;Tableau1[[#This Row],[Manque (digital)]],"POD",IF(Tableau1[[#This Row],[Manque (digital)]]&gt;Tableau1[[#This Row],[Manque (physique)]],"MarketPlace",""))</f>
        <v/>
      </c>
      <c r="J1577" t="s">
        <v>268</v>
      </c>
      <c r="K1577" t="s">
        <v>269</v>
      </c>
      <c r="L1577" t="s">
        <v>19</v>
      </c>
      <c r="M1577" t="s">
        <v>19</v>
      </c>
      <c r="Q1577" t="s">
        <v>1647</v>
      </c>
    </row>
    <row r="1578" spans="1:17" hidden="1" x14ac:dyDescent="0.25">
      <c r="A1578" t="s">
        <v>1543</v>
      </c>
      <c r="B1578" t="s">
        <v>22</v>
      </c>
      <c r="C1578" t="s">
        <v>45</v>
      </c>
      <c r="D1578" t="s">
        <v>1496</v>
      </c>
      <c r="E1578">
        <v>0</v>
      </c>
      <c r="F1578">
        <f>MAX(-1,3-Tableau1[[#This Row],[Nb possédé (digital)]])</f>
        <v>3</v>
      </c>
      <c r="G1578">
        <v>3</v>
      </c>
      <c r="H1578">
        <f>MAX(-1,3-Tableau1[[#This Row],[Possédé (physique)]])</f>
        <v>0</v>
      </c>
      <c r="I1578" t="str">
        <f>IF(Tableau1[[#This Row],[Manque (physique)]]&gt;Tableau1[[#This Row],[Manque (digital)]],"POD",IF(Tableau1[[#This Row],[Manque (digital)]]&gt;Tableau1[[#This Row],[Manque (physique)]],"MarketPlace",""))</f>
        <v>MarketPlace</v>
      </c>
      <c r="J1578" t="s">
        <v>268</v>
      </c>
      <c r="K1578" t="s">
        <v>269</v>
      </c>
      <c r="L1578" t="s">
        <v>19</v>
      </c>
      <c r="M1578" t="s">
        <v>19</v>
      </c>
      <c r="Q1578" t="s">
        <v>1698</v>
      </c>
    </row>
    <row r="1579" spans="1:17" hidden="1" x14ac:dyDescent="0.25">
      <c r="A1579" t="s">
        <v>1551</v>
      </c>
      <c r="B1579" t="s">
        <v>22</v>
      </c>
      <c r="C1579" t="s">
        <v>45</v>
      </c>
      <c r="D1579" t="s">
        <v>1496</v>
      </c>
      <c r="E1579">
        <v>1</v>
      </c>
      <c r="F1579">
        <f>MAX(-1,3-Tableau1[[#This Row],[Nb possédé (digital)]])</f>
        <v>2</v>
      </c>
      <c r="G1579">
        <v>3</v>
      </c>
      <c r="H1579">
        <f>MAX(-1,3-Tableau1[[#This Row],[Possédé (physique)]])</f>
        <v>0</v>
      </c>
      <c r="I1579" t="str">
        <f>IF(Tableau1[[#This Row],[Manque (physique)]]&gt;Tableau1[[#This Row],[Manque (digital)]],"POD",IF(Tableau1[[#This Row],[Manque (digital)]]&gt;Tableau1[[#This Row],[Manque (physique)]],"MarketPlace",""))</f>
        <v>MarketPlace</v>
      </c>
      <c r="J1579" t="s">
        <v>30</v>
      </c>
      <c r="K1579" t="s">
        <v>171</v>
      </c>
      <c r="L1579" t="s">
        <v>19</v>
      </c>
      <c r="M1579" t="s">
        <v>19</v>
      </c>
      <c r="N1579" t="s">
        <v>20</v>
      </c>
      <c r="O1579" t="s">
        <v>20</v>
      </c>
      <c r="P1579" t="s">
        <v>19</v>
      </c>
      <c r="Q1579" t="s">
        <v>1716</v>
      </c>
    </row>
    <row r="1580" spans="1:17" hidden="1" x14ac:dyDescent="0.25">
      <c r="A1580" t="s">
        <v>1556</v>
      </c>
      <c r="B1580" t="s">
        <v>22</v>
      </c>
      <c r="C1580" t="s">
        <v>45</v>
      </c>
      <c r="D1580" t="s">
        <v>1496</v>
      </c>
      <c r="E1580">
        <v>1</v>
      </c>
      <c r="F1580">
        <f>MAX(-1,3-Tableau1[[#This Row],[Nb possédé (digital)]])</f>
        <v>2</v>
      </c>
      <c r="G1580">
        <v>3</v>
      </c>
      <c r="H1580">
        <f>MAX(-1,3-Tableau1[[#This Row],[Possédé (physique)]])</f>
        <v>0</v>
      </c>
      <c r="I1580" t="str">
        <f>IF(Tableau1[[#This Row],[Manque (physique)]]&gt;Tableau1[[#This Row],[Manque (digital)]],"POD",IF(Tableau1[[#This Row],[Manque (digital)]]&gt;Tableau1[[#This Row],[Manque (physique)]],"MarketPlace",""))</f>
        <v>MarketPlace</v>
      </c>
      <c r="J1580" t="s">
        <v>30</v>
      </c>
      <c r="K1580" t="s">
        <v>111</v>
      </c>
      <c r="L1580" t="s">
        <v>19</v>
      </c>
      <c r="M1580" t="s">
        <v>19</v>
      </c>
      <c r="N1580" t="s">
        <v>19</v>
      </c>
      <c r="O1580" t="s">
        <v>19</v>
      </c>
      <c r="P1580" t="s">
        <v>19</v>
      </c>
      <c r="Q1580" t="s">
        <v>1729</v>
      </c>
    </row>
    <row r="1581" spans="1:17" hidden="1" x14ac:dyDescent="0.25">
      <c r="A1581" t="s">
        <v>1560</v>
      </c>
      <c r="B1581" t="s">
        <v>22</v>
      </c>
      <c r="C1581" t="s">
        <v>45</v>
      </c>
      <c r="D1581" t="s">
        <v>1496</v>
      </c>
      <c r="E1581">
        <v>0</v>
      </c>
      <c r="F1581">
        <f>MAX(-1,3-Tableau1[[#This Row],[Nb possédé (digital)]])</f>
        <v>3</v>
      </c>
      <c r="G1581">
        <v>3</v>
      </c>
      <c r="H1581">
        <f>MAX(-1,3-Tableau1[[#This Row],[Possédé (physique)]])</f>
        <v>0</v>
      </c>
      <c r="I1581" t="str">
        <f>IF(Tableau1[[#This Row],[Manque (physique)]]&gt;Tableau1[[#This Row],[Manque (digital)]],"POD",IF(Tableau1[[#This Row],[Manque (digital)]]&gt;Tableau1[[#This Row],[Manque (physique)]],"MarketPlace",""))</f>
        <v>MarketPlace</v>
      </c>
      <c r="J1581" t="s">
        <v>30</v>
      </c>
      <c r="K1581" t="s">
        <v>124</v>
      </c>
      <c r="L1581" t="s">
        <v>19</v>
      </c>
      <c r="M1581" t="s">
        <v>19</v>
      </c>
      <c r="N1581" t="s">
        <v>89</v>
      </c>
      <c r="O1581" t="s">
        <v>23</v>
      </c>
      <c r="P1581" t="s">
        <v>23</v>
      </c>
      <c r="Q1581" t="s">
        <v>1739</v>
      </c>
    </row>
    <row r="1582" spans="1:17" x14ac:dyDescent="0.25">
      <c r="A1582" t="s">
        <v>1577</v>
      </c>
      <c r="B1582" t="s">
        <v>22</v>
      </c>
      <c r="C1582" t="s">
        <v>45</v>
      </c>
      <c r="D1582" t="s">
        <v>1496</v>
      </c>
      <c r="E1582">
        <v>4</v>
      </c>
      <c r="F1582">
        <f>MAX(-1,3-Tableau1[[#This Row],[Nb possédé (digital)]])</f>
        <v>-1</v>
      </c>
      <c r="G1582">
        <v>4</v>
      </c>
      <c r="H1582">
        <f>MAX(-1,3-Tableau1[[#This Row],[Possédé (physique)]])</f>
        <v>-1</v>
      </c>
      <c r="I1582" t="str">
        <f>IF(Tableau1[[#This Row],[Manque (physique)]]&gt;Tableau1[[#This Row],[Manque (digital)]],"POD",IF(Tableau1[[#This Row],[Manque (digital)]]&gt;Tableau1[[#This Row],[Manque (physique)]],"MarketPlace",""))</f>
        <v/>
      </c>
      <c r="J1582" t="s">
        <v>30</v>
      </c>
      <c r="K1582" t="s">
        <v>1618</v>
      </c>
      <c r="L1582" t="s">
        <v>19</v>
      </c>
      <c r="M1582" t="s">
        <v>19</v>
      </c>
      <c r="N1582" t="s">
        <v>20</v>
      </c>
      <c r="O1582" t="s">
        <v>20</v>
      </c>
      <c r="P1582" t="s">
        <v>20</v>
      </c>
      <c r="Q1582" t="s">
        <v>1774</v>
      </c>
    </row>
    <row r="1583" spans="1:17" hidden="1" x14ac:dyDescent="0.25">
      <c r="A1583" t="s">
        <v>1586</v>
      </c>
      <c r="B1583" t="s">
        <v>22</v>
      </c>
      <c r="C1583" t="s">
        <v>45</v>
      </c>
      <c r="D1583" t="s">
        <v>1496</v>
      </c>
      <c r="E1583">
        <v>2</v>
      </c>
      <c r="F1583">
        <f>MAX(-1,3-Tableau1[[#This Row],[Nb possédé (digital)]])</f>
        <v>1</v>
      </c>
      <c r="G1583">
        <v>3</v>
      </c>
      <c r="H1583">
        <f>MAX(-1,3-Tableau1[[#This Row],[Possédé (physique)]])</f>
        <v>0</v>
      </c>
      <c r="I1583" t="str">
        <f>IF(Tableau1[[#This Row],[Manque (physique)]]&gt;Tableau1[[#This Row],[Manque (digital)]],"POD",IF(Tableau1[[#This Row],[Manque (digital)]]&gt;Tableau1[[#This Row],[Manque (physique)]],"MarketPlace",""))</f>
        <v>MarketPlace</v>
      </c>
      <c r="J1583" t="s">
        <v>30</v>
      </c>
      <c r="K1583" t="s">
        <v>1796</v>
      </c>
      <c r="L1583" t="s">
        <v>19</v>
      </c>
      <c r="M1583" t="s">
        <v>19</v>
      </c>
      <c r="N1583" t="s">
        <v>23</v>
      </c>
      <c r="O1583" t="s">
        <v>19</v>
      </c>
      <c r="P1583" t="s">
        <v>19</v>
      </c>
      <c r="Q1583" t="s">
        <v>1798</v>
      </c>
    </row>
    <row r="1584" spans="1:17" hidden="1" x14ac:dyDescent="0.25">
      <c r="A1584" t="s">
        <v>1505</v>
      </c>
      <c r="B1584" t="s">
        <v>22</v>
      </c>
      <c r="C1584" t="s">
        <v>45</v>
      </c>
      <c r="D1584" t="s">
        <v>1496</v>
      </c>
      <c r="E1584">
        <v>1</v>
      </c>
      <c r="F1584">
        <f>MAX(-1,3-Tableau1[[#This Row],[Nb possédé (digital)]])</f>
        <v>2</v>
      </c>
      <c r="G1584">
        <v>3</v>
      </c>
      <c r="H1584">
        <f>MAX(-1,3-Tableau1[[#This Row],[Possédé (physique)]])</f>
        <v>0</v>
      </c>
      <c r="I1584" t="str">
        <f>IF(Tableau1[[#This Row],[Manque (physique)]]&gt;Tableau1[[#This Row],[Manque (digital)]],"POD",IF(Tableau1[[#This Row],[Manque (digital)]]&gt;Tableau1[[#This Row],[Manque (physique)]],"MarketPlace",""))</f>
        <v>MarketPlace</v>
      </c>
      <c r="J1584" t="s">
        <v>30</v>
      </c>
      <c r="K1584" t="s">
        <v>1618</v>
      </c>
      <c r="L1584" t="s">
        <v>23</v>
      </c>
      <c r="M1584" t="s">
        <v>19</v>
      </c>
      <c r="N1584" t="s">
        <v>23</v>
      </c>
      <c r="O1584" t="s">
        <v>23</v>
      </c>
      <c r="P1584" t="s">
        <v>89</v>
      </c>
      <c r="Q1584" t="s">
        <v>1620</v>
      </c>
    </row>
    <row r="1585" spans="1:17" hidden="1" x14ac:dyDescent="0.25">
      <c r="A1585" t="s">
        <v>1506</v>
      </c>
      <c r="B1585" t="s">
        <v>22</v>
      </c>
      <c r="C1585" t="s">
        <v>45</v>
      </c>
      <c r="D1585" t="s">
        <v>1496</v>
      </c>
      <c r="E1585">
        <v>2</v>
      </c>
      <c r="F1585">
        <f>MAX(-1,3-Tableau1[[#This Row],[Nb possédé (digital)]])</f>
        <v>1</v>
      </c>
      <c r="G1585">
        <v>3</v>
      </c>
      <c r="H1585">
        <f>MAX(-1,3-Tableau1[[#This Row],[Possédé (physique)]])</f>
        <v>0</v>
      </c>
      <c r="I1585" t="str">
        <f>IF(Tableau1[[#This Row],[Manque (physique)]]&gt;Tableau1[[#This Row],[Manque (digital)]],"POD",IF(Tableau1[[#This Row],[Manque (digital)]]&gt;Tableau1[[#This Row],[Manque (physique)]],"MarketPlace",""))</f>
        <v>MarketPlace</v>
      </c>
      <c r="J1585" t="s">
        <v>30</v>
      </c>
      <c r="K1585" t="s">
        <v>79</v>
      </c>
      <c r="L1585" t="s">
        <v>23</v>
      </c>
      <c r="M1585" t="s">
        <v>19</v>
      </c>
      <c r="N1585" t="s">
        <v>23</v>
      </c>
      <c r="O1585" t="s">
        <v>19</v>
      </c>
      <c r="P1585" t="s">
        <v>23</v>
      </c>
      <c r="Q1585" t="s">
        <v>1622</v>
      </c>
    </row>
    <row r="1586" spans="1:17" hidden="1" x14ac:dyDescent="0.25">
      <c r="A1586" t="s">
        <v>1575</v>
      </c>
      <c r="B1586" t="s">
        <v>22</v>
      </c>
      <c r="C1586" t="s">
        <v>45</v>
      </c>
      <c r="D1586" t="s">
        <v>1496</v>
      </c>
      <c r="E1586">
        <v>2</v>
      </c>
      <c r="F1586">
        <f>MAX(-1,3-Tableau1[[#This Row],[Nb possédé (digital)]])</f>
        <v>1</v>
      </c>
      <c r="G1586">
        <v>3</v>
      </c>
      <c r="H1586">
        <f>MAX(-1,3-Tableau1[[#This Row],[Possédé (physique)]])</f>
        <v>0</v>
      </c>
      <c r="I1586" t="str">
        <f>IF(Tableau1[[#This Row],[Manque (physique)]]&gt;Tableau1[[#This Row],[Manque (digital)]],"POD",IF(Tableau1[[#This Row],[Manque (digital)]]&gt;Tableau1[[#This Row],[Manque (physique)]],"MarketPlace",""))</f>
        <v>MarketPlace</v>
      </c>
      <c r="J1586" t="s">
        <v>30</v>
      </c>
      <c r="K1586" t="s">
        <v>68</v>
      </c>
      <c r="L1586" t="s">
        <v>23</v>
      </c>
      <c r="M1586" t="s">
        <v>19</v>
      </c>
      <c r="N1586" t="s">
        <v>19</v>
      </c>
      <c r="O1586" t="s">
        <v>19</v>
      </c>
      <c r="P1586" t="s">
        <v>23</v>
      </c>
      <c r="Q1586" t="s">
        <v>1770</v>
      </c>
    </row>
    <row r="1587" spans="1:17" hidden="1" x14ac:dyDescent="0.25">
      <c r="A1587" t="s">
        <v>1582</v>
      </c>
      <c r="B1587" t="s">
        <v>22</v>
      </c>
      <c r="C1587" t="s">
        <v>45</v>
      </c>
      <c r="D1587" t="s">
        <v>1496</v>
      </c>
      <c r="E1587">
        <v>0</v>
      </c>
      <c r="F1587">
        <f>MAX(-1,3-Tableau1[[#This Row],[Nb possédé (digital)]])</f>
        <v>3</v>
      </c>
      <c r="G1587">
        <v>3</v>
      </c>
      <c r="H1587">
        <f>MAX(-1,3-Tableau1[[#This Row],[Possédé (physique)]])</f>
        <v>0</v>
      </c>
      <c r="I1587" t="str">
        <f>IF(Tableau1[[#This Row],[Manque (physique)]]&gt;Tableau1[[#This Row],[Manque (digital)]],"POD",IF(Tableau1[[#This Row],[Manque (digital)]]&gt;Tableau1[[#This Row],[Manque (physique)]],"MarketPlace",""))</f>
        <v>MarketPlace</v>
      </c>
      <c r="J1587" t="s">
        <v>30</v>
      </c>
      <c r="K1587" t="s">
        <v>68</v>
      </c>
      <c r="L1587" t="s">
        <v>23</v>
      </c>
      <c r="M1587" t="s">
        <v>19</v>
      </c>
      <c r="N1587" t="s">
        <v>19</v>
      </c>
      <c r="O1587" t="s">
        <v>19</v>
      </c>
      <c r="P1587" t="s">
        <v>23</v>
      </c>
      <c r="Q1587" t="s">
        <v>1788</v>
      </c>
    </row>
    <row r="1588" spans="1:17" hidden="1" x14ac:dyDescent="0.25">
      <c r="A1588" t="s">
        <v>1518</v>
      </c>
      <c r="B1588" t="s">
        <v>22</v>
      </c>
      <c r="C1588" t="s">
        <v>45</v>
      </c>
      <c r="D1588" t="s">
        <v>1496</v>
      </c>
      <c r="E1588">
        <v>1</v>
      </c>
      <c r="F1588">
        <f>MAX(-1,3-Tableau1[[#This Row],[Nb possédé (digital)]])</f>
        <v>2</v>
      </c>
      <c r="G1588">
        <v>3</v>
      </c>
      <c r="H1588">
        <f>MAX(-1,3-Tableau1[[#This Row],[Possédé (physique)]])</f>
        <v>0</v>
      </c>
      <c r="I1588" t="str">
        <f>IF(Tableau1[[#This Row],[Manque (physique)]]&gt;Tableau1[[#This Row],[Manque (digital)]],"POD",IF(Tableau1[[#This Row],[Manque (digital)]]&gt;Tableau1[[#This Row],[Manque (physique)]],"MarketPlace",""))</f>
        <v>MarketPlace</v>
      </c>
      <c r="J1588" t="s">
        <v>30</v>
      </c>
      <c r="K1588" t="s">
        <v>252</v>
      </c>
      <c r="L1588" t="s">
        <v>23</v>
      </c>
      <c r="M1588" t="s">
        <v>23</v>
      </c>
      <c r="N1588" t="s">
        <v>23</v>
      </c>
      <c r="O1588" t="s">
        <v>23</v>
      </c>
      <c r="P1588" t="s">
        <v>23</v>
      </c>
      <c r="Q1588" t="s">
        <v>1645</v>
      </c>
    </row>
    <row r="1589" spans="1:17" hidden="1" x14ac:dyDescent="0.25">
      <c r="A1589" t="s">
        <v>1523</v>
      </c>
      <c r="B1589" t="s">
        <v>22</v>
      </c>
      <c r="C1589" t="s">
        <v>45</v>
      </c>
      <c r="D1589" t="s">
        <v>1496</v>
      </c>
      <c r="E1589">
        <v>3</v>
      </c>
      <c r="F1589">
        <f>MAX(-1,3-Tableau1[[#This Row],[Nb possédé (digital)]])</f>
        <v>0</v>
      </c>
      <c r="G1589">
        <v>3</v>
      </c>
      <c r="H1589">
        <f>MAX(-1,3-Tableau1[[#This Row],[Possédé (physique)]])</f>
        <v>0</v>
      </c>
      <c r="I1589" t="str">
        <f>IF(Tableau1[[#This Row],[Manque (physique)]]&gt;Tableau1[[#This Row],[Manque (digital)]],"POD",IF(Tableau1[[#This Row],[Manque (digital)]]&gt;Tableau1[[#This Row],[Manque (physique)]],"MarketPlace",""))</f>
        <v/>
      </c>
      <c r="J1589" t="s">
        <v>268</v>
      </c>
      <c r="K1589" t="s">
        <v>269</v>
      </c>
      <c r="L1589" t="s">
        <v>23</v>
      </c>
      <c r="M1589" t="s">
        <v>23</v>
      </c>
      <c r="Q1589" t="s">
        <v>1657</v>
      </c>
    </row>
    <row r="1590" spans="1:17" hidden="1" x14ac:dyDescent="0.25">
      <c r="A1590" t="s">
        <v>1539</v>
      </c>
      <c r="B1590" t="s">
        <v>22</v>
      </c>
      <c r="C1590" t="s">
        <v>45</v>
      </c>
      <c r="D1590" t="s">
        <v>1496</v>
      </c>
      <c r="E1590">
        <v>2</v>
      </c>
      <c r="F1590">
        <f>MAX(-1,3-Tableau1[[#This Row],[Nb possédé (digital)]])</f>
        <v>1</v>
      </c>
      <c r="G1590">
        <v>3</v>
      </c>
      <c r="H1590">
        <f>MAX(-1,3-Tableau1[[#This Row],[Possédé (physique)]])</f>
        <v>0</v>
      </c>
      <c r="I1590" t="str">
        <f>IF(Tableau1[[#This Row],[Manque (physique)]]&gt;Tableau1[[#This Row],[Manque (digital)]],"POD",IF(Tableau1[[#This Row],[Manque (digital)]]&gt;Tableau1[[#This Row],[Manque (physique)]],"MarketPlace",""))</f>
        <v>MarketPlace</v>
      </c>
      <c r="J1590" t="s">
        <v>268</v>
      </c>
      <c r="K1590" t="s">
        <v>269</v>
      </c>
      <c r="L1590" t="s">
        <v>23</v>
      </c>
      <c r="M1590" t="s">
        <v>23</v>
      </c>
      <c r="Q1590" t="s">
        <v>1689</v>
      </c>
    </row>
    <row r="1591" spans="1:17" hidden="1" x14ac:dyDescent="0.25">
      <c r="A1591" t="s">
        <v>1555</v>
      </c>
      <c r="B1591" t="s">
        <v>22</v>
      </c>
      <c r="C1591" t="s">
        <v>45</v>
      </c>
      <c r="D1591" t="s">
        <v>1496</v>
      </c>
      <c r="E1591">
        <v>1</v>
      </c>
      <c r="F1591">
        <f>MAX(-1,3-Tableau1[[#This Row],[Nb possédé (digital)]])</f>
        <v>2</v>
      </c>
      <c r="G1591">
        <v>3</v>
      </c>
      <c r="H1591">
        <f>MAX(-1,3-Tableau1[[#This Row],[Possédé (physique)]])</f>
        <v>0</v>
      </c>
      <c r="I1591" t="str">
        <f>IF(Tableau1[[#This Row],[Manque (physique)]]&gt;Tableau1[[#This Row],[Manque (digital)]],"POD",IF(Tableau1[[#This Row],[Manque (digital)]]&gt;Tableau1[[#This Row],[Manque (physique)]],"MarketPlace",""))</f>
        <v>MarketPlace</v>
      </c>
      <c r="J1591" t="s">
        <v>30</v>
      </c>
      <c r="K1591" t="s">
        <v>1724</v>
      </c>
      <c r="L1591" t="s">
        <v>23</v>
      </c>
      <c r="M1591" t="s">
        <v>23</v>
      </c>
      <c r="N1591" t="s">
        <v>23</v>
      </c>
      <c r="O1591" t="s">
        <v>23</v>
      </c>
      <c r="P1591" t="s">
        <v>23</v>
      </c>
      <c r="Q1591" t="s">
        <v>1726</v>
      </c>
    </row>
    <row r="1592" spans="1:17" hidden="1" x14ac:dyDescent="0.25">
      <c r="A1592" t="s">
        <v>1581</v>
      </c>
      <c r="B1592" t="s">
        <v>22</v>
      </c>
      <c r="C1592" t="s">
        <v>45</v>
      </c>
      <c r="D1592" t="s">
        <v>1496</v>
      </c>
      <c r="E1592">
        <v>2</v>
      </c>
      <c r="F1592">
        <f>MAX(-1,3-Tableau1[[#This Row],[Nb possédé (digital)]])</f>
        <v>1</v>
      </c>
      <c r="G1592">
        <v>3</v>
      </c>
      <c r="H1592">
        <f>MAX(-1,3-Tableau1[[#This Row],[Possédé (physique)]])</f>
        <v>0</v>
      </c>
      <c r="I1592" t="str">
        <f>IF(Tableau1[[#This Row],[Manque (physique)]]&gt;Tableau1[[#This Row],[Manque (digital)]],"POD",IF(Tableau1[[#This Row],[Manque (digital)]]&gt;Tableau1[[#This Row],[Manque (physique)]],"MarketPlace",""))</f>
        <v>MarketPlace</v>
      </c>
      <c r="J1592" t="s">
        <v>30</v>
      </c>
      <c r="K1592" t="s">
        <v>36</v>
      </c>
      <c r="L1592" t="s">
        <v>23</v>
      </c>
      <c r="M1592" t="s">
        <v>23</v>
      </c>
      <c r="N1592" t="s">
        <v>23</v>
      </c>
      <c r="O1592" t="s">
        <v>23</v>
      </c>
      <c r="P1592" t="s">
        <v>23</v>
      </c>
      <c r="Q1592" t="s">
        <v>1786</v>
      </c>
    </row>
    <row r="1593" spans="1:17" hidden="1" x14ac:dyDescent="0.25">
      <c r="A1593" t="s">
        <v>1584</v>
      </c>
      <c r="B1593" t="s">
        <v>22</v>
      </c>
      <c r="C1593" t="s">
        <v>45</v>
      </c>
      <c r="D1593" t="s">
        <v>1496</v>
      </c>
      <c r="E1593">
        <v>2</v>
      </c>
      <c r="F1593">
        <f>MAX(-1,3-Tableau1[[#This Row],[Nb possédé (digital)]])</f>
        <v>1</v>
      </c>
      <c r="G1593">
        <v>3</v>
      </c>
      <c r="H1593">
        <f>MAX(-1,3-Tableau1[[#This Row],[Possédé (physique)]])</f>
        <v>0</v>
      </c>
      <c r="I1593" t="str">
        <f>IF(Tableau1[[#This Row],[Manque (physique)]]&gt;Tableau1[[#This Row],[Manque (digital)]],"POD",IF(Tableau1[[#This Row],[Manque (digital)]]&gt;Tableau1[[#This Row],[Manque (physique)]],"MarketPlace",""))</f>
        <v>MarketPlace</v>
      </c>
      <c r="J1593" t="s">
        <v>17</v>
      </c>
      <c r="K1593" t="s">
        <v>824</v>
      </c>
      <c r="L1593" t="s">
        <v>23</v>
      </c>
      <c r="M1593" t="s">
        <v>23</v>
      </c>
      <c r="Q1593" t="s">
        <v>1792</v>
      </c>
    </row>
    <row r="1594" spans="1:17" hidden="1" x14ac:dyDescent="0.25">
      <c r="A1594" t="s">
        <v>1592</v>
      </c>
      <c r="B1594" t="s">
        <v>22</v>
      </c>
      <c r="C1594" t="s">
        <v>45</v>
      </c>
      <c r="D1594" t="s">
        <v>1496</v>
      </c>
      <c r="E1594">
        <v>1</v>
      </c>
      <c r="F1594">
        <f>MAX(-1,3-Tableau1[[#This Row],[Nb possédé (digital)]])</f>
        <v>2</v>
      </c>
      <c r="G1594">
        <v>3</v>
      </c>
      <c r="H1594">
        <f>MAX(-1,3-Tableau1[[#This Row],[Possédé (physique)]])</f>
        <v>0</v>
      </c>
      <c r="I1594" t="str">
        <f>IF(Tableau1[[#This Row],[Manque (physique)]]&gt;Tableau1[[#This Row],[Manque (digital)]],"POD",IF(Tableau1[[#This Row],[Manque (digital)]]&gt;Tableau1[[#This Row],[Manque (physique)]],"MarketPlace",""))</f>
        <v>MarketPlace</v>
      </c>
      <c r="J1594" t="s">
        <v>30</v>
      </c>
      <c r="K1594" t="s">
        <v>68</v>
      </c>
      <c r="L1594" t="s">
        <v>23</v>
      </c>
      <c r="M1594" t="s">
        <v>23</v>
      </c>
      <c r="N1594" t="s">
        <v>52</v>
      </c>
      <c r="O1594" t="s">
        <v>89</v>
      </c>
      <c r="P1594" t="s">
        <v>52</v>
      </c>
      <c r="Q1594" t="s">
        <v>1811</v>
      </c>
    </row>
    <row r="1595" spans="1:17" hidden="1" x14ac:dyDescent="0.25">
      <c r="A1595" t="s">
        <v>1572</v>
      </c>
      <c r="B1595" t="s">
        <v>22</v>
      </c>
      <c r="C1595" t="s">
        <v>45</v>
      </c>
      <c r="D1595" t="s">
        <v>1496</v>
      </c>
      <c r="E1595">
        <v>0</v>
      </c>
      <c r="F1595">
        <f>MAX(-1,3-Tableau1[[#This Row],[Nb possédé (digital)]])</f>
        <v>3</v>
      </c>
      <c r="G1595">
        <v>3</v>
      </c>
      <c r="H1595">
        <f>MAX(-1,3-Tableau1[[#This Row],[Possédé (physique)]])</f>
        <v>0</v>
      </c>
      <c r="I1595" t="str">
        <f>IF(Tableau1[[#This Row],[Manque (physique)]]&gt;Tableau1[[#This Row],[Manque (digital)]],"POD",IF(Tableau1[[#This Row],[Manque (digital)]]&gt;Tableau1[[#This Row],[Manque (physique)]],"MarketPlace",""))</f>
        <v>MarketPlace</v>
      </c>
      <c r="J1595" t="s">
        <v>17</v>
      </c>
      <c r="K1595" t="s">
        <v>1271</v>
      </c>
      <c r="L1595" t="s">
        <v>52</v>
      </c>
      <c r="M1595" t="s">
        <v>19</v>
      </c>
      <c r="Q1595" t="s">
        <v>1762</v>
      </c>
    </row>
    <row r="1596" spans="1:17" hidden="1" x14ac:dyDescent="0.25">
      <c r="A1596" t="s">
        <v>1502</v>
      </c>
      <c r="B1596" t="s">
        <v>22</v>
      </c>
      <c r="C1596" t="s">
        <v>45</v>
      </c>
      <c r="D1596" t="s">
        <v>1496</v>
      </c>
      <c r="E1596">
        <v>2</v>
      </c>
      <c r="F1596">
        <f>MAX(-1,3-Tableau1[[#This Row],[Nb possédé (digital)]])</f>
        <v>1</v>
      </c>
      <c r="G1596">
        <v>3</v>
      </c>
      <c r="H1596">
        <f>MAX(-1,3-Tableau1[[#This Row],[Possédé (physique)]])</f>
        <v>0</v>
      </c>
      <c r="I1596" t="str">
        <f>IF(Tableau1[[#This Row],[Manque (physique)]]&gt;Tableau1[[#This Row],[Manque (digital)]],"POD",IF(Tableau1[[#This Row],[Manque (digital)]]&gt;Tableau1[[#This Row],[Manque (physique)]],"MarketPlace",""))</f>
        <v>MarketPlace</v>
      </c>
      <c r="J1596" t="s">
        <v>30</v>
      </c>
      <c r="K1596" t="s">
        <v>42</v>
      </c>
      <c r="L1596" t="s">
        <v>52</v>
      </c>
      <c r="M1596" t="s">
        <v>23</v>
      </c>
      <c r="N1596" t="s">
        <v>23</v>
      </c>
      <c r="O1596" t="s">
        <v>52</v>
      </c>
      <c r="P1596" t="s">
        <v>52</v>
      </c>
      <c r="Q1596" t="s">
        <v>1612</v>
      </c>
    </row>
    <row r="1597" spans="1:17" hidden="1" x14ac:dyDescent="0.25">
      <c r="A1597" t="s">
        <v>1524</v>
      </c>
      <c r="B1597" t="s">
        <v>22</v>
      </c>
      <c r="C1597" t="s">
        <v>45</v>
      </c>
      <c r="D1597" t="s">
        <v>1496</v>
      </c>
      <c r="E1597">
        <v>0</v>
      </c>
      <c r="F1597">
        <f>MAX(-1,3-Tableau1[[#This Row],[Nb possédé (digital)]])</f>
        <v>3</v>
      </c>
      <c r="G1597">
        <v>3</v>
      </c>
      <c r="H1597">
        <f>MAX(-1,3-Tableau1[[#This Row],[Possédé (physique)]])</f>
        <v>0</v>
      </c>
      <c r="I1597" t="str">
        <f>IF(Tableau1[[#This Row],[Manque (physique)]]&gt;Tableau1[[#This Row],[Manque (digital)]],"POD",IF(Tableau1[[#This Row],[Manque (digital)]]&gt;Tableau1[[#This Row],[Manque (physique)]],"MarketPlace",""))</f>
        <v>MarketPlace</v>
      </c>
      <c r="J1597" t="s">
        <v>17</v>
      </c>
      <c r="K1597" t="s">
        <v>824</v>
      </c>
      <c r="L1597" t="s">
        <v>52</v>
      </c>
      <c r="M1597" t="s">
        <v>52</v>
      </c>
      <c r="Q1597" t="s">
        <v>1659</v>
      </c>
    </row>
    <row r="1598" spans="1:17" hidden="1" x14ac:dyDescent="0.25">
      <c r="A1598" t="s">
        <v>1562</v>
      </c>
      <c r="B1598" t="s">
        <v>22</v>
      </c>
      <c r="C1598" t="s">
        <v>45</v>
      </c>
      <c r="D1598" t="s">
        <v>1496</v>
      </c>
      <c r="E1598">
        <v>1</v>
      </c>
      <c r="F1598">
        <f>MAX(-1,3-Tableau1[[#This Row],[Nb possédé (digital)]])</f>
        <v>2</v>
      </c>
      <c r="G1598">
        <v>3</v>
      </c>
      <c r="H1598">
        <f>MAX(-1,3-Tableau1[[#This Row],[Possédé (physique)]])</f>
        <v>0</v>
      </c>
      <c r="I1598" t="str">
        <f>IF(Tableau1[[#This Row],[Manque (physique)]]&gt;Tableau1[[#This Row],[Manque (digital)]],"POD",IF(Tableau1[[#This Row],[Manque (digital)]]&gt;Tableau1[[#This Row],[Manque (physique)]],"MarketPlace",""))</f>
        <v>MarketPlace</v>
      </c>
      <c r="J1598" t="s">
        <v>17</v>
      </c>
      <c r="K1598" t="s">
        <v>97</v>
      </c>
      <c r="L1598" t="s">
        <v>52</v>
      </c>
      <c r="M1598" t="s">
        <v>52</v>
      </c>
      <c r="Q1598" t="s">
        <v>1742</v>
      </c>
    </row>
    <row r="1599" spans="1:17" hidden="1" x14ac:dyDescent="0.25">
      <c r="A1599" t="s">
        <v>1587</v>
      </c>
      <c r="B1599" t="s">
        <v>22</v>
      </c>
      <c r="C1599" t="s">
        <v>45</v>
      </c>
      <c r="D1599" t="s">
        <v>1496</v>
      </c>
      <c r="E1599">
        <v>0</v>
      </c>
      <c r="F1599">
        <f>MAX(-1,3-Tableau1[[#This Row],[Nb possédé (digital)]])</f>
        <v>3</v>
      </c>
      <c r="G1599">
        <v>3</v>
      </c>
      <c r="H1599">
        <f>MAX(-1,3-Tableau1[[#This Row],[Possédé (physique)]])</f>
        <v>0</v>
      </c>
      <c r="I1599" t="str">
        <f>IF(Tableau1[[#This Row],[Manque (physique)]]&gt;Tableau1[[#This Row],[Manque (digital)]],"POD",IF(Tableau1[[#This Row],[Manque (digital)]]&gt;Tableau1[[#This Row],[Manque (physique)]],"MarketPlace",""))</f>
        <v>MarketPlace</v>
      </c>
      <c r="J1599" t="s">
        <v>17</v>
      </c>
      <c r="K1599" t="s">
        <v>824</v>
      </c>
      <c r="L1599" t="s">
        <v>52</v>
      </c>
      <c r="M1599" t="s">
        <v>380</v>
      </c>
      <c r="Q1599" t="s">
        <v>1800</v>
      </c>
    </row>
    <row r="1600" spans="1:17" hidden="1" x14ac:dyDescent="0.25">
      <c r="A1600" t="s">
        <v>1554</v>
      </c>
      <c r="B1600" t="s">
        <v>22</v>
      </c>
      <c r="C1600" t="s">
        <v>45</v>
      </c>
      <c r="D1600" t="s">
        <v>1496</v>
      </c>
      <c r="E1600">
        <v>3</v>
      </c>
      <c r="F1600">
        <f>MAX(-1,3-Tableau1[[#This Row],[Nb possédé (digital)]])</f>
        <v>0</v>
      </c>
      <c r="G1600">
        <v>3</v>
      </c>
      <c r="H1600">
        <f>MAX(-1,3-Tableau1[[#This Row],[Possédé (physique)]])</f>
        <v>0</v>
      </c>
      <c r="I1600" t="str">
        <f>IF(Tableau1[[#This Row],[Manque (physique)]]&gt;Tableau1[[#This Row],[Manque (digital)]],"POD",IF(Tableau1[[#This Row],[Manque (digital)]]&gt;Tableau1[[#This Row],[Manque (physique)]],"MarketPlace",""))</f>
        <v/>
      </c>
      <c r="J1600" t="s">
        <v>30</v>
      </c>
      <c r="K1600" t="s">
        <v>1721</v>
      </c>
      <c r="L1600" t="s">
        <v>37</v>
      </c>
      <c r="M1600" t="s">
        <v>19</v>
      </c>
      <c r="N1600" t="s">
        <v>19</v>
      </c>
      <c r="O1600" t="s">
        <v>20</v>
      </c>
      <c r="P1600" t="s">
        <v>19</v>
      </c>
      <c r="Q1600" t="s">
        <v>1723</v>
      </c>
    </row>
    <row r="1601" spans="1:17" x14ac:dyDescent="0.25">
      <c r="A1601" t="s">
        <v>1498</v>
      </c>
      <c r="B1601" t="s">
        <v>22</v>
      </c>
      <c r="C1601" t="s">
        <v>45</v>
      </c>
      <c r="D1601" t="s">
        <v>1496</v>
      </c>
      <c r="E1601">
        <v>4</v>
      </c>
      <c r="F1601">
        <f>MAX(-1,3-Tableau1[[#This Row],[Nb possédé (digital)]])</f>
        <v>-1</v>
      </c>
      <c r="G1601">
        <v>4</v>
      </c>
      <c r="H1601">
        <f>MAX(-1,3-Tableau1[[#This Row],[Possédé (physique)]])</f>
        <v>-1</v>
      </c>
      <c r="I1601" t="str">
        <f>IF(Tableau1[[#This Row],[Manque (physique)]]&gt;Tableau1[[#This Row],[Manque (digital)]],"POD",IF(Tableau1[[#This Row],[Manque (digital)]]&gt;Tableau1[[#This Row],[Manque (physique)]],"MarketPlace",""))</f>
        <v/>
      </c>
      <c r="J1601" t="s">
        <v>30</v>
      </c>
      <c r="K1601" t="s">
        <v>1601</v>
      </c>
      <c r="L1601" t="s">
        <v>37</v>
      </c>
      <c r="M1601" t="s">
        <v>23</v>
      </c>
      <c r="N1601" t="s">
        <v>23</v>
      </c>
      <c r="O1601" t="s">
        <v>52</v>
      </c>
      <c r="P1601" t="s">
        <v>23</v>
      </c>
      <c r="Q1601" t="s">
        <v>1603</v>
      </c>
    </row>
    <row r="1602" spans="1:17" hidden="1" x14ac:dyDescent="0.25">
      <c r="A1602" t="s">
        <v>1832</v>
      </c>
      <c r="B1602" t="s">
        <v>1819</v>
      </c>
      <c r="C1602" t="s">
        <v>45</v>
      </c>
      <c r="D1602" t="s">
        <v>1496</v>
      </c>
      <c r="E1602">
        <v>3</v>
      </c>
      <c r="F1602">
        <f>MAX(-1,3-Tableau1[[#This Row],[Nb possédé (digital)]])</f>
        <v>0</v>
      </c>
      <c r="G1602">
        <v>3</v>
      </c>
      <c r="H1602">
        <f>MAX(-1,3-Tableau1[[#This Row],[Possédé (physique)]])</f>
        <v>0</v>
      </c>
      <c r="I1602" t="str">
        <f>IF(Tableau1[[#This Row],[Manque (physique)]]&gt;Tableau1[[#This Row],[Manque (digital)]],"POD",IF(Tableau1[[#This Row],[Manque (digital)]]&gt;Tableau1[[#This Row],[Manque (physique)]],"MarketPlace",""))</f>
        <v/>
      </c>
      <c r="J1602" t="s">
        <v>1833</v>
      </c>
      <c r="K1602" t="s">
        <v>1834</v>
      </c>
      <c r="L1602">
        <v>7</v>
      </c>
      <c r="M1602">
        <v>3</v>
      </c>
      <c r="N1602">
        <v>3</v>
      </c>
      <c r="O1602">
        <v>3</v>
      </c>
      <c r="P1602">
        <v>4</v>
      </c>
      <c r="Q1602" t="s">
        <v>1835</v>
      </c>
    </row>
    <row r="1603" spans="1:17" hidden="1" x14ac:dyDescent="0.25">
      <c r="A1603" t="s">
        <v>1509</v>
      </c>
      <c r="B1603" t="s">
        <v>22</v>
      </c>
      <c r="C1603" t="s">
        <v>45</v>
      </c>
      <c r="D1603" t="s">
        <v>1496</v>
      </c>
      <c r="E1603">
        <v>2</v>
      </c>
      <c r="F1603">
        <f>MAX(-1,3-Tableau1[[#This Row],[Nb possédé (digital)]])</f>
        <v>1</v>
      </c>
      <c r="G1603">
        <v>3</v>
      </c>
      <c r="H1603">
        <f>MAX(-1,3-Tableau1[[#This Row],[Possédé (physique)]])</f>
        <v>0</v>
      </c>
      <c r="I1603" t="str">
        <f>IF(Tableau1[[#This Row],[Manque (physique)]]&gt;Tableau1[[#This Row],[Manque (digital)]],"POD",IF(Tableau1[[#This Row],[Manque (digital)]]&gt;Tableau1[[#This Row],[Manque (physique)]],"MarketPlace",""))</f>
        <v>MarketPlace</v>
      </c>
      <c r="J1603" t="s">
        <v>17</v>
      </c>
      <c r="K1603" t="s">
        <v>824</v>
      </c>
      <c r="L1603" t="s">
        <v>380</v>
      </c>
      <c r="M1603" t="s">
        <v>380</v>
      </c>
      <c r="Q1603" t="s">
        <v>1629</v>
      </c>
    </row>
    <row r="1604" spans="1:17" hidden="1" x14ac:dyDescent="0.25">
      <c r="A1604" t="s">
        <v>1569</v>
      </c>
      <c r="B1604" t="s">
        <v>22</v>
      </c>
      <c r="C1604" t="s">
        <v>45</v>
      </c>
      <c r="D1604" t="s">
        <v>1496</v>
      </c>
      <c r="E1604">
        <v>3</v>
      </c>
      <c r="F1604">
        <f>MAX(-1,3-Tableau1[[#This Row],[Nb possédé (digital)]])</f>
        <v>0</v>
      </c>
      <c r="G1604">
        <v>3</v>
      </c>
      <c r="H1604">
        <f>MAX(-1,3-Tableau1[[#This Row],[Possédé (physique)]])</f>
        <v>0</v>
      </c>
      <c r="I1604" t="str">
        <f>IF(Tableau1[[#This Row],[Manque (physique)]]&gt;Tableau1[[#This Row],[Manque (digital)]],"POD",IF(Tableau1[[#This Row],[Manque (digital)]]&gt;Tableau1[[#This Row],[Manque (physique)]],"MarketPlace",""))</f>
        <v/>
      </c>
      <c r="J1604" t="s">
        <v>17</v>
      </c>
      <c r="K1604" t="s">
        <v>201</v>
      </c>
      <c r="L1604" t="s">
        <v>380</v>
      </c>
      <c r="M1604" t="s">
        <v>380</v>
      </c>
      <c r="Q1604" t="s">
        <v>1755</v>
      </c>
    </row>
    <row r="1605" spans="1:17" hidden="1" x14ac:dyDescent="0.25">
      <c r="A1605" t="s">
        <v>517</v>
      </c>
      <c r="B1605" t="s">
        <v>22</v>
      </c>
      <c r="C1605" t="s">
        <v>45</v>
      </c>
      <c r="D1605" t="s">
        <v>29</v>
      </c>
      <c r="E1605">
        <v>1</v>
      </c>
      <c r="F1605">
        <f>MAX(-1,3-Tableau1[[#This Row],[Nb possédé (digital)]])</f>
        <v>2</v>
      </c>
      <c r="G1605">
        <v>3</v>
      </c>
      <c r="H1605">
        <f>MAX(-1,3-Tableau1[[#This Row],[Possédé (physique)]])</f>
        <v>0</v>
      </c>
      <c r="I1605" t="str">
        <f>IF(Tableau1[[#This Row],[Manque (physique)]]&gt;Tableau1[[#This Row],[Manque (digital)]],"POD",IF(Tableau1[[#This Row],[Manque (digital)]]&gt;Tableau1[[#This Row],[Manque (physique)]],"MarketPlace",""))</f>
        <v>MarketPlace</v>
      </c>
      <c r="J1605" t="s">
        <v>30</v>
      </c>
      <c r="K1605" t="s">
        <v>79</v>
      </c>
      <c r="L1605" t="s">
        <v>20</v>
      </c>
      <c r="M1605" t="s">
        <v>19</v>
      </c>
      <c r="N1605" t="s">
        <v>20</v>
      </c>
      <c r="O1605" t="s">
        <v>20</v>
      </c>
      <c r="P1605" t="s">
        <v>20</v>
      </c>
      <c r="Q1605" t="s">
        <v>519</v>
      </c>
    </row>
    <row r="1606" spans="1:17" hidden="1" x14ac:dyDescent="0.25">
      <c r="A1606" t="s">
        <v>301</v>
      </c>
      <c r="B1606" t="s">
        <v>22</v>
      </c>
      <c r="C1606" t="s">
        <v>45</v>
      </c>
      <c r="D1606" t="s">
        <v>29</v>
      </c>
      <c r="E1606">
        <v>2</v>
      </c>
      <c r="F1606">
        <f>MAX(-1,3-Tableau1[[#This Row],[Nb possédé (digital)]])</f>
        <v>1</v>
      </c>
      <c r="G1606">
        <v>3</v>
      </c>
      <c r="H1606">
        <f>MAX(-1,3-Tableau1[[#This Row],[Possédé (physique)]])</f>
        <v>0</v>
      </c>
      <c r="I1606" t="str">
        <f>IF(Tableau1[[#This Row],[Manque (physique)]]&gt;Tableau1[[#This Row],[Manque (digital)]],"POD",IF(Tableau1[[#This Row],[Manque (digital)]]&gt;Tableau1[[#This Row],[Manque (physique)]],"MarketPlace",""))</f>
        <v>MarketPlace</v>
      </c>
      <c r="J1606" t="s">
        <v>30</v>
      </c>
      <c r="K1606" t="s">
        <v>79</v>
      </c>
      <c r="L1606" t="s">
        <v>20</v>
      </c>
      <c r="M1606" t="s">
        <v>23</v>
      </c>
      <c r="N1606" t="s">
        <v>20</v>
      </c>
      <c r="O1606" t="s">
        <v>20</v>
      </c>
      <c r="P1606" t="s">
        <v>20</v>
      </c>
      <c r="Q1606" t="s">
        <v>303</v>
      </c>
    </row>
    <row r="1607" spans="1:17" hidden="1" x14ac:dyDescent="0.25">
      <c r="A1607" t="s">
        <v>572</v>
      </c>
      <c r="B1607" t="s">
        <v>22</v>
      </c>
      <c r="C1607" t="s">
        <v>45</v>
      </c>
      <c r="D1607" t="s">
        <v>29</v>
      </c>
      <c r="E1607">
        <v>1</v>
      </c>
      <c r="F1607">
        <f>MAX(-1,3-Tableau1[[#This Row],[Nb possédé (digital)]])</f>
        <v>2</v>
      </c>
      <c r="G1607">
        <v>3</v>
      </c>
      <c r="H1607">
        <f>MAX(-1,3-Tableau1[[#This Row],[Possédé (physique)]])</f>
        <v>0</v>
      </c>
      <c r="I1607" t="str">
        <f>IF(Tableau1[[#This Row],[Manque (physique)]]&gt;Tableau1[[#This Row],[Manque (digital)]],"POD",IF(Tableau1[[#This Row],[Manque (digital)]]&gt;Tableau1[[#This Row],[Manque (physique)]],"MarketPlace",""))</f>
        <v>MarketPlace</v>
      </c>
      <c r="J1607" t="s">
        <v>17</v>
      </c>
      <c r="K1607" t="s">
        <v>18</v>
      </c>
      <c r="L1607" t="s">
        <v>20</v>
      </c>
      <c r="M1607" t="s">
        <v>23</v>
      </c>
      <c r="Q1607" t="s">
        <v>575</v>
      </c>
    </row>
    <row r="1608" spans="1:17" hidden="1" x14ac:dyDescent="0.25">
      <c r="A1608" t="s">
        <v>286</v>
      </c>
      <c r="B1608" t="s">
        <v>22</v>
      </c>
      <c r="C1608" t="s">
        <v>45</v>
      </c>
      <c r="D1608" t="s">
        <v>29</v>
      </c>
      <c r="E1608">
        <v>1</v>
      </c>
      <c r="F1608">
        <f>MAX(-1,3-Tableau1[[#This Row],[Nb possédé (digital)]])</f>
        <v>2</v>
      </c>
      <c r="G1608">
        <v>3</v>
      </c>
      <c r="H1608">
        <f>MAX(-1,3-Tableau1[[#This Row],[Possédé (physique)]])</f>
        <v>0</v>
      </c>
      <c r="I1608" t="str">
        <f>IF(Tableau1[[#This Row],[Manque (physique)]]&gt;Tableau1[[#This Row],[Manque (digital)]],"POD",IF(Tableau1[[#This Row],[Manque (digital)]]&gt;Tableau1[[#This Row],[Manque (physique)]],"MarketPlace",""))</f>
        <v>MarketPlace</v>
      </c>
      <c r="J1608" t="s">
        <v>17</v>
      </c>
      <c r="K1608" t="s">
        <v>201</v>
      </c>
      <c r="L1608" t="s">
        <v>19</v>
      </c>
      <c r="M1608" t="s">
        <v>19</v>
      </c>
      <c r="Q1608" t="s">
        <v>288</v>
      </c>
    </row>
    <row r="1609" spans="1:17" hidden="1" x14ac:dyDescent="0.25">
      <c r="A1609" t="s">
        <v>660</v>
      </c>
      <c r="B1609" t="s">
        <v>22</v>
      </c>
      <c r="C1609" t="s">
        <v>45</v>
      </c>
      <c r="D1609" t="s">
        <v>29</v>
      </c>
      <c r="E1609">
        <v>2</v>
      </c>
      <c r="F1609">
        <f>MAX(-1,3-Tableau1[[#This Row],[Nb possédé (digital)]])</f>
        <v>1</v>
      </c>
      <c r="G1609">
        <v>3</v>
      </c>
      <c r="H1609">
        <f>MAX(-1,3-Tableau1[[#This Row],[Possédé (physique)]])</f>
        <v>0</v>
      </c>
      <c r="I1609" t="str">
        <f>IF(Tableau1[[#This Row],[Manque (physique)]]&gt;Tableau1[[#This Row],[Manque (digital)]],"POD",IF(Tableau1[[#This Row],[Manque (digital)]]&gt;Tableau1[[#This Row],[Manque (physique)]],"MarketPlace",""))</f>
        <v>MarketPlace</v>
      </c>
      <c r="J1609" t="s">
        <v>268</v>
      </c>
      <c r="K1609" t="s">
        <v>438</v>
      </c>
      <c r="L1609" t="s">
        <v>19</v>
      </c>
      <c r="M1609" t="s">
        <v>19</v>
      </c>
      <c r="Q1609" t="s">
        <v>663</v>
      </c>
    </row>
    <row r="1610" spans="1:17" hidden="1" x14ac:dyDescent="0.25">
      <c r="A1610" t="s">
        <v>701</v>
      </c>
      <c r="B1610" t="s">
        <v>22</v>
      </c>
      <c r="C1610" t="s">
        <v>45</v>
      </c>
      <c r="D1610" t="s">
        <v>29</v>
      </c>
      <c r="E1610">
        <v>2</v>
      </c>
      <c r="F1610">
        <f>MAX(-1,3-Tableau1[[#This Row],[Nb possédé (digital)]])</f>
        <v>1</v>
      </c>
      <c r="G1610">
        <v>3</v>
      </c>
      <c r="H1610">
        <f>MAX(-1,3-Tableau1[[#This Row],[Possédé (physique)]])</f>
        <v>0</v>
      </c>
      <c r="I1610" t="str">
        <f>IF(Tableau1[[#This Row],[Manque (physique)]]&gt;Tableau1[[#This Row],[Manque (digital)]],"POD",IF(Tableau1[[#This Row],[Manque (digital)]]&gt;Tableau1[[#This Row],[Manque (physique)]],"MarketPlace",""))</f>
        <v>MarketPlace</v>
      </c>
      <c r="J1610" t="s">
        <v>268</v>
      </c>
      <c r="K1610" t="s">
        <v>438</v>
      </c>
      <c r="L1610" t="s">
        <v>19</v>
      </c>
      <c r="M1610" t="s">
        <v>19</v>
      </c>
      <c r="Q1610" t="s">
        <v>703</v>
      </c>
    </row>
    <row r="1611" spans="1:17" hidden="1" x14ac:dyDescent="0.25">
      <c r="A1611" t="s">
        <v>726</v>
      </c>
      <c r="B1611" t="s">
        <v>22</v>
      </c>
      <c r="C1611" t="s">
        <v>45</v>
      </c>
      <c r="D1611" t="s">
        <v>29</v>
      </c>
      <c r="E1611">
        <v>1</v>
      </c>
      <c r="F1611">
        <f>MAX(-1,3-Tableau1[[#This Row],[Nb possédé (digital)]])</f>
        <v>2</v>
      </c>
      <c r="G1611">
        <v>3</v>
      </c>
      <c r="H1611">
        <f>MAX(-1,3-Tableau1[[#This Row],[Possédé (physique)]])</f>
        <v>0</v>
      </c>
      <c r="I1611" t="str">
        <f>IF(Tableau1[[#This Row],[Manque (physique)]]&gt;Tableau1[[#This Row],[Manque (digital)]],"POD",IF(Tableau1[[#This Row],[Manque (digital)]]&gt;Tableau1[[#This Row],[Manque (physique)]],"MarketPlace",""))</f>
        <v>MarketPlace</v>
      </c>
      <c r="J1611" t="s">
        <v>268</v>
      </c>
      <c r="K1611" t="s">
        <v>269</v>
      </c>
      <c r="L1611" t="s">
        <v>19</v>
      </c>
      <c r="M1611" t="s">
        <v>19</v>
      </c>
      <c r="Q1611" t="s">
        <v>729</v>
      </c>
    </row>
    <row r="1612" spans="1:17" hidden="1" x14ac:dyDescent="0.25">
      <c r="A1612" t="s">
        <v>811</v>
      </c>
      <c r="B1612" t="s">
        <v>22</v>
      </c>
      <c r="C1612" t="s">
        <v>45</v>
      </c>
      <c r="D1612" t="s">
        <v>29</v>
      </c>
      <c r="E1612">
        <v>2</v>
      </c>
      <c r="F1612">
        <f>MAX(-1,3-Tableau1[[#This Row],[Nb possédé (digital)]])</f>
        <v>1</v>
      </c>
      <c r="G1612">
        <v>3</v>
      </c>
      <c r="H1612">
        <f>MAX(-1,3-Tableau1[[#This Row],[Possédé (physique)]])</f>
        <v>0</v>
      </c>
      <c r="I1612" t="str">
        <f>IF(Tableau1[[#This Row],[Manque (physique)]]&gt;Tableau1[[#This Row],[Manque (digital)]],"POD",IF(Tableau1[[#This Row],[Manque (digital)]]&gt;Tableau1[[#This Row],[Manque (physique)]],"MarketPlace",""))</f>
        <v>MarketPlace</v>
      </c>
      <c r="J1612" t="s">
        <v>17</v>
      </c>
      <c r="K1612" t="s">
        <v>153</v>
      </c>
      <c r="L1612" t="s">
        <v>19</v>
      </c>
      <c r="M1612" t="s">
        <v>19</v>
      </c>
      <c r="Q1612" t="s">
        <v>813</v>
      </c>
    </row>
    <row r="1613" spans="1:17" hidden="1" x14ac:dyDescent="0.25">
      <c r="A1613" t="s">
        <v>854</v>
      </c>
      <c r="B1613" t="s">
        <v>22</v>
      </c>
      <c r="C1613" t="s">
        <v>45</v>
      </c>
      <c r="D1613" t="s">
        <v>29</v>
      </c>
      <c r="E1613">
        <v>1</v>
      </c>
      <c r="F1613">
        <f>MAX(-1,3-Tableau1[[#This Row],[Nb possédé (digital)]])</f>
        <v>2</v>
      </c>
      <c r="G1613">
        <v>3</v>
      </c>
      <c r="H1613">
        <f>MAX(-1,3-Tableau1[[#This Row],[Possédé (physique)]])</f>
        <v>0</v>
      </c>
      <c r="I1613" t="str">
        <f>IF(Tableau1[[#This Row],[Manque (physique)]]&gt;Tableau1[[#This Row],[Manque (digital)]],"POD",IF(Tableau1[[#This Row],[Manque (digital)]]&gt;Tableau1[[#This Row],[Manque (physique)]],"MarketPlace",""))</f>
        <v>MarketPlace</v>
      </c>
      <c r="J1613" t="s">
        <v>30</v>
      </c>
      <c r="K1613" t="s">
        <v>846</v>
      </c>
      <c r="L1613" t="s">
        <v>19</v>
      </c>
      <c r="M1613" t="s">
        <v>19</v>
      </c>
      <c r="N1613" t="s">
        <v>89</v>
      </c>
      <c r="O1613" t="s">
        <v>89</v>
      </c>
      <c r="P1613" t="s">
        <v>89</v>
      </c>
      <c r="Q1613" t="s">
        <v>856</v>
      </c>
    </row>
    <row r="1614" spans="1:17" hidden="1" x14ac:dyDescent="0.25">
      <c r="A1614" t="s">
        <v>939</v>
      </c>
      <c r="B1614" t="s">
        <v>22</v>
      </c>
      <c r="C1614" t="s">
        <v>45</v>
      </c>
      <c r="D1614" t="s">
        <v>29</v>
      </c>
      <c r="E1614">
        <v>2</v>
      </c>
      <c r="F1614">
        <f>MAX(-1,3-Tableau1[[#This Row],[Nb possédé (digital)]])</f>
        <v>1</v>
      </c>
      <c r="G1614">
        <v>3</v>
      </c>
      <c r="H1614">
        <f>MAX(-1,3-Tableau1[[#This Row],[Possédé (physique)]])</f>
        <v>0</v>
      </c>
      <c r="I1614" t="str">
        <f>IF(Tableau1[[#This Row],[Manque (physique)]]&gt;Tableau1[[#This Row],[Manque (digital)]],"POD",IF(Tableau1[[#This Row],[Manque (digital)]]&gt;Tableau1[[#This Row],[Manque (physique)]],"MarketPlace",""))</f>
        <v>MarketPlace</v>
      </c>
      <c r="J1614" t="s">
        <v>30</v>
      </c>
      <c r="K1614" t="s">
        <v>79</v>
      </c>
      <c r="L1614" t="s">
        <v>19</v>
      </c>
      <c r="M1614" t="s">
        <v>19</v>
      </c>
      <c r="N1614" t="s">
        <v>23</v>
      </c>
      <c r="O1614" t="s">
        <v>20</v>
      </c>
      <c r="P1614" t="s">
        <v>23</v>
      </c>
      <c r="Q1614" t="s">
        <v>941</v>
      </c>
    </row>
    <row r="1615" spans="1:17" hidden="1" x14ac:dyDescent="0.25">
      <c r="A1615" t="s">
        <v>952</v>
      </c>
      <c r="B1615" t="s">
        <v>22</v>
      </c>
      <c r="C1615" t="s">
        <v>45</v>
      </c>
      <c r="D1615" t="s">
        <v>29</v>
      </c>
      <c r="E1615">
        <v>1</v>
      </c>
      <c r="F1615">
        <f>MAX(-1,3-Tableau1[[#This Row],[Nb possédé (digital)]])</f>
        <v>2</v>
      </c>
      <c r="G1615">
        <v>3</v>
      </c>
      <c r="H1615">
        <f>MAX(-1,3-Tableau1[[#This Row],[Possédé (physique)]])</f>
        <v>0</v>
      </c>
      <c r="I1615" t="str">
        <f>IF(Tableau1[[#This Row],[Manque (physique)]]&gt;Tableau1[[#This Row],[Manque (digital)]],"POD",IF(Tableau1[[#This Row],[Manque (digital)]]&gt;Tableau1[[#This Row],[Manque (physique)]],"MarketPlace",""))</f>
        <v>MarketPlace</v>
      </c>
      <c r="J1615" t="s">
        <v>17</v>
      </c>
      <c r="K1615" t="s">
        <v>824</v>
      </c>
      <c r="L1615" t="s">
        <v>19</v>
      </c>
      <c r="M1615" t="s">
        <v>19</v>
      </c>
      <c r="Q1615" t="s">
        <v>954</v>
      </c>
    </row>
    <row r="1616" spans="1:17" hidden="1" x14ac:dyDescent="0.25">
      <c r="A1616" t="s">
        <v>1066</v>
      </c>
      <c r="B1616" t="s">
        <v>22</v>
      </c>
      <c r="C1616" t="s">
        <v>45</v>
      </c>
      <c r="D1616" t="s">
        <v>29</v>
      </c>
      <c r="E1616">
        <v>1</v>
      </c>
      <c r="F1616">
        <f>MAX(-1,3-Tableau1[[#This Row],[Nb possédé (digital)]])</f>
        <v>2</v>
      </c>
      <c r="G1616">
        <v>3</v>
      </c>
      <c r="H1616">
        <f>MAX(-1,3-Tableau1[[#This Row],[Possédé (physique)]])</f>
        <v>0</v>
      </c>
      <c r="I1616" t="str">
        <f>IF(Tableau1[[#This Row],[Manque (physique)]]&gt;Tableau1[[#This Row],[Manque (digital)]],"POD",IF(Tableau1[[#This Row],[Manque (digital)]]&gt;Tableau1[[#This Row],[Manque (physique)]],"MarketPlace",""))</f>
        <v>MarketPlace</v>
      </c>
      <c r="J1616" t="s">
        <v>116</v>
      </c>
      <c r="K1616" t="s">
        <v>117</v>
      </c>
      <c r="L1616" t="s">
        <v>19</v>
      </c>
      <c r="M1616" t="s">
        <v>19</v>
      </c>
      <c r="Q1616" t="s">
        <v>1067</v>
      </c>
    </row>
    <row r="1617" spans="1:17" hidden="1" x14ac:dyDescent="0.25">
      <c r="A1617" t="s">
        <v>170</v>
      </c>
      <c r="B1617" t="s">
        <v>22</v>
      </c>
      <c r="C1617" t="s">
        <v>45</v>
      </c>
      <c r="D1617" t="s">
        <v>29</v>
      </c>
      <c r="E1617">
        <v>2</v>
      </c>
      <c r="F1617">
        <f>MAX(-1,3-Tableau1[[#This Row],[Nb possédé (digital)]])</f>
        <v>1</v>
      </c>
      <c r="G1617">
        <v>3</v>
      </c>
      <c r="H1617">
        <f>MAX(-1,3-Tableau1[[#This Row],[Possédé (physique)]])</f>
        <v>0</v>
      </c>
      <c r="I1617" t="str">
        <f>IF(Tableau1[[#This Row],[Manque (physique)]]&gt;Tableau1[[#This Row],[Manque (digital)]],"POD",IF(Tableau1[[#This Row],[Manque (digital)]]&gt;Tableau1[[#This Row],[Manque (physique)]],"MarketPlace",""))</f>
        <v>MarketPlace</v>
      </c>
      <c r="J1617" t="s">
        <v>30</v>
      </c>
      <c r="K1617" t="s">
        <v>171</v>
      </c>
      <c r="L1617" t="s">
        <v>19</v>
      </c>
      <c r="M1617" t="s">
        <v>23</v>
      </c>
      <c r="N1617" t="s">
        <v>89</v>
      </c>
      <c r="O1617" t="s">
        <v>89</v>
      </c>
      <c r="P1617" t="s">
        <v>23</v>
      </c>
      <c r="Q1617" t="s">
        <v>173</v>
      </c>
    </row>
    <row r="1618" spans="1:17" hidden="1" x14ac:dyDescent="0.25">
      <c r="A1618" t="s">
        <v>1042</v>
      </c>
      <c r="B1618" t="s">
        <v>22</v>
      </c>
      <c r="C1618" t="s">
        <v>45</v>
      </c>
      <c r="D1618" t="s">
        <v>29</v>
      </c>
      <c r="E1618">
        <v>2</v>
      </c>
      <c r="F1618">
        <f>MAX(-1,3-Tableau1[[#This Row],[Nb possédé (digital)]])</f>
        <v>1</v>
      </c>
      <c r="G1618">
        <v>3</v>
      </c>
      <c r="H1618">
        <f>MAX(-1,3-Tableau1[[#This Row],[Possédé (physique)]])</f>
        <v>0</v>
      </c>
      <c r="I1618" t="str">
        <f>IF(Tableau1[[#This Row],[Manque (physique)]]&gt;Tableau1[[#This Row],[Manque (digital)]],"POD",IF(Tableau1[[#This Row],[Manque (digital)]]&gt;Tableau1[[#This Row],[Manque (physique)]],"MarketPlace",""))</f>
        <v>MarketPlace</v>
      </c>
      <c r="J1618" t="s">
        <v>30</v>
      </c>
      <c r="K1618" t="s">
        <v>1043</v>
      </c>
      <c r="L1618" t="s">
        <v>19</v>
      </c>
      <c r="M1618" t="s">
        <v>23</v>
      </c>
      <c r="N1618" t="s">
        <v>19</v>
      </c>
      <c r="O1618" t="s">
        <v>19</v>
      </c>
      <c r="P1618" t="s">
        <v>89</v>
      </c>
      <c r="Q1618" t="s">
        <v>1046</v>
      </c>
    </row>
    <row r="1619" spans="1:17" hidden="1" x14ac:dyDescent="0.25">
      <c r="A1619" t="s">
        <v>1144</v>
      </c>
      <c r="B1619" t="s">
        <v>22</v>
      </c>
      <c r="C1619" t="s">
        <v>45</v>
      </c>
      <c r="D1619" t="s">
        <v>29</v>
      </c>
      <c r="E1619">
        <v>2</v>
      </c>
      <c r="F1619">
        <f>MAX(-1,3-Tableau1[[#This Row],[Nb possédé (digital)]])</f>
        <v>1</v>
      </c>
      <c r="G1619">
        <v>3</v>
      </c>
      <c r="H1619">
        <f>MAX(-1,3-Tableau1[[#This Row],[Possédé (physique)]])</f>
        <v>0</v>
      </c>
      <c r="I1619" t="str">
        <f>IF(Tableau1[[#This Row],[Manque (physique)]]&gt;Tableau1[[#This Row],[Manque (digital)]],"POD",IF(Tableau1[[#This Row],[Manque (digital)]]&gt;Tableau1[[#This Row],[Manque (physique)]],"MarketPlace",""))</f>
        <v>MarketPlace</v>
      </c>
      <c r="J1619" t="s">
        <v>17</v>
      </c>
      <c r="K1619" t="s">
        <v>153</v>
      </c>
      <c r="L1619" t="s">
        <v>19</v>
      </c>
      <c r="M1619" t="s">
        <v>52</v>
      </c>
      <c r="Q1619" t="s">
        <v>1147</v>
      </c>
    </row>
    <row r="1620" spans="1:17" hidden="1" x14ac:dyDescent="0.25">
      <c r="A1620" t="s">
        <v>398</v>
      </c>
      <c r="B1620" t="s">
        <v>22</v>
      </c>
      <c r="C1620" t="s">
        <v>45</v>
      </c>
      <c r="D1620" t="s">
        <v>29</v>
      </c>
      <c r="E1620">
        <v>2</v>
      </c>
      <c r="F1620">
        <f>MAX(-1,3-Tableau1[[#This Row],[Nb possédé (digital)]])</f>
        <v>1</v>
      </c>
      <c r="G1620">
        <v>3</v>
      </c>
      <c r="H1620">
        <f>MAX(-1,3-Tableau1[[#This Row],[Possédé (physique)]])</f>
        <v>0</v>
      </c>
      <c r="I1620" t="str">
        <f>IF(Tableau1[[#This Row],[Manque (physique)]]&gt;Tableau1[[#This Row],[Manque (digital)]],"POD",IF(Tableau1[[#This Row],[Manque (digital)]]&gt;Tableau1[[#This Row],[Manque (physique)]],"MarketPlace",""))</f>
        <v>MarketPlace</v>
      </c>
      <c r="J1620" t="s">
        <v>30</v>
      </c>
      <c r="K1620" t="s">
        <v>124</v>
      </c>
      <c r="L1620" t="s">
        <v>23</v>
      </c>
      <c r="M1620" t="s">
        <v>20</v>
      </c>
      <c r="N1620" t="s">
        <v>20</v>
      </c>
      <c r="O1620" t="s">
        <v>20</v>
      </c>
      <c r="P1620" t="s">
        <v>20</v>
      </c>
      <c r="Q1620" t="s">
        <v>399</v>
      </c>
    </row>
    <row r="1621" spans="1:17" hidden="1" x14ac:dyDescent="0.25">
      <c r="A1621" t="s">
        <v>564</v>
      </c>
      <c r="B1621" t="s">
        <v>22</v>
      </c>
      <c r="C1621" t="s">
        <v>45</v>
      </c>
      <c r="D1621" t="s">
        <v>29</v>
      </c>
      <c r="E1621">
        <v>2</v>
      </c>
      <c r="F1621">
        <f>MAX(-1,3-Tableau1[[#This Row],[Nb possédé (digital)]])</f>
        <v>1</v>
      </c>
      <c r="G1621">
        <v>3</v>
      </c>
      <c r="H1621">
        <f>MAX(-1,3-Tableau1[[#This Row],[Possédé (physique)]])</f>
        <v>0</v>
      </c>
      <c r="I1621" t="str">
        <f>IF(Tableau1[[#This Row],[Manque (physique)]]&gt;Tableau1[[#This Row],[Manque (digital)]],"POD",IF(Tableau1[[#This Row],[Manque (digital)]]&gt;Tableau1[[#This Row],[Manque (physique)]],"MarketPlace",""))</f>
        <v>MarketPlace</v>
      </c>
      <c r="J1621" t="s">
        <v>30</v>
      </c>
      <c r="K1621" t="s">
        <v>565</v>
      </c>
      <c r="L1621" t="s">
        <v>23</v>
      </c>
      <c r="M1621" t="s">
        <v>19</v>
      </c>
      <c r="N1621" t="s">
        <v>19</v>
      </c>
      <c r="O1621" t="s">
        <v>23</v>
      </c>
      <c r="P1621" t="s">
        <v>19</v>
      </c>
      <c r="Q1621" t="s">
        <v>567</v>
      </c>
    </row>
    <row r="1622" spans="1:17" hidden="1" x14ac:dyDescent="0.25">
      <c r="A1622" t="s">
        <v>568</v>
      </c>
      <c r="B1622" t="s">
        <v>22</v>
      </c>
      <c r="C1622" t="s">
        <v>45</v>
      </c>
      <c r="D1622" t="s">
        <v>29</v>
      </c>
      <c r="E1622">
        <v>2</v>
      </c>
      <c r="F1622">
        <f>MAX(-1,3-Tableau1[[#This Row],[Nb possédé (digital)]])</f>
        <v>1</v>
      </c>
      <c r="G1622">
        <v>3</v>
      </c>
      <c r="H1622">
        <f>MAX(-1,3-Tableau1[[#This Row],[Possédé (physique)]])</f>
        <v>0</v>
      </c>
      <c r="I1622" t="str">
        <f>IF(Tableau1[[#This Row],[Manque (physique)]]&gt;Tableau1[[#This Row],[Manque (digital)]],"POD",IF(Tableau1[[#This Row],[Manque (digital)]]&gt;Tableau1[[#This Row],[Manque (physique)]],"MarketPlace",""))</f>
        <v>MarketPlace</v>
      </c>
      <c r="J1622" t="s">
        <v>30</v>
      </c>
      <c r="K1622" t="s">
        <v>124</v>
      </c>
      <c r="L1622" t="s">
        <v>23</v>
      </c>
      <c r="M1622" t="s">
        <v>19</v>
      </c>
      <c r="N1622" t="s">
        <v>19</v>
      </c>
      <c r="O1622" t="s">
        <v>19</v>
      </c>
      <c r="P1622" t="s">
        <v>19</v>
      </c>
      <c r="Q1622" t="s">
        <v>571</v>
      </c>
    </row>
    <row r="1623" spans="1:17" hidden="1" x14ac:dyDescent="0.25">
      <c r="A1623" t="s">
        <v>437</v>
      </c>
      <c r="B1623" t="s">
        <v>22</v>
      </c>
      <c r="C1623" t="s">
        <v>45</v>
      </c>
      <c r="D1623" t="s">
        <v>29</v>
      </c>
      <c r="E1623">
        <v>2</v>
      </c>
      <c r="F1623">
        <f>MAX(-1,3-Tableau1[[#This Row],[Nb possédé (digital)]])</f>
        <v>1</v>
      </c>
      <c r="G1623">
        <v>3</v>
      </c>
      <c r="H1623">
        <f>MAX(-1,3-Tableau1[[#This Row],[Possédé (physique)]])</f>
        <v>0</v>
      </c>
      <c r="I1623" t="str">
        <f>IF(Tableau1[[#This Row],[Manque (physique)]]&gt;Tableau1[[#This Row],[Manque (digital)]],"POD",IF(Tableau1[[#This Row],[Manque (digital)]]&gt;Tableau1[[#This Row],[Manque (physique)]],"MarketPlace",""))</f>
        <v>MarketPlace</v>
      </c>
      <c r="J1623" t="s">
        <v>268</v>
      </c>
      <c r="K1623" t="s">
        <v>438</v>
      </c>
      <c r="L1623" t="s">
        <v>23</v>
      </c>
      <c r="M1623" t="s">
        <v>23</v>
      </c>
      <c r="Q1623" t="s">
        <v>440</v>
      </c>
    </row>
    <row r="1624" spans="1:17" hidden="1" x14ac:dyDescent="0.25">
      <c r="A1624" t="s">
        <v>670</v>
      </c>
      <c r="B1624" t="s">
        <v>22</v>
      </c>
      <c r="C1624" t="s">
        <v>45</v>
      </c>
      <c r="D1624" t="s">
        <v>29</v>
      </c>
      <c r="E1624">
        <v>0</v>
      </c>
      <c r="F1624">
        <f>MAX(-1,3-Tableau1[[#This Row],[Nb possédé (digital)]])</f>
        <v>3</v>
      </c>
      <c r="G1624">
        <v>3</v>
      </c>
      <c r="H1624">
        <f>MAX(-1,3-Tableau1[[#This Row],[Possédé (physique)]])</f>
        <v>0</v>
      </c>
      <c r="I1624" t="str">
        <f>IF(Tableau1[[#This Row],[Manque (physique)]]&gt;Tableau1[[#This Row],[Manque (digital)]],"POD",IF(Tableau1[[#This Row],[Manque (digital)]]&gt;Tableau1[[#This Row],[Manque (physique)]],"MarketPlace",""))</f>
        <v>MarketPlace</v>
      </c>
      <c r="J1624" t="s">
        <v>30</v>
      </c>
      <c r="K1624" t="s">
        <v>51</v>
      </c>
      <c r="L1624" t="s">
        <v>23</v>
      </c>
      <c r="M1624" t="s">
        <v>23</v>
      </c>
      <c r="N1624" t="s">
        <v>23</v>
      </c>
      <c r="O1624" t="s">
        <v>23</v>
      </c>
      <c r="P1624" t="s">
        <v>23</v>
      </c>
      <c r="Q1624" t="s">
        <v>673</v>
      </c>
    </row>
    <row r="1625" spans="1:17" hidden="1" x14ac:dyDescent="0.25">
      <c r="A1625" t="s">
        <v>742</v>
      </c>
      <c r="B1625" t="s">
        <v>22</v>
      </c>
      <c r="C1625" t="s">
        <v>45</v>
      </c>
      <c r="D1625" t="s">
        <v>29</v>
      </c>
      <c r="E1625">
        <v>1</v>
      </c>
      <c r="F1625">
        <f>MAX(-1,3-Tableau1[[#This Row],[Nb possédé (digital)]])</f>
        <v>2</v>
      </c>
      <c r="G1625">
        <v>3</v>
      </c>
      <c r="H1625">
        <f>MAX(-1,3-Tableau1[[#This Row],[Possédé (physique)]])</f>
        <v>0</v>
      </c>
      <c r="I1625" t="str">
        <f>IF(Tableau1[[#This Row],[Manque (physique)]]&gt;Tableau1[[#This Row],[Manque (digital)]],"POD",IF(Tableau1[[#This Row],[Manque (digital)]]&gt;Tableau1[[#This Row],[Manque (physique)]],"MarketPlace",""))</f>
        <v>MarketPlace</v>
      </c>
      <c r="J1625" t="s">
        <v>268</v>
      </c>
      <c r="K1625" t="s">
        <v>438</v>
      </c>
      <c r="L1625" t="s">
        <v>23</v>
      </c>
      <c r="M1625" t="s">
        <v>23</v>
      </c>
      <c r="Q1625" t="s">
        <v>745</v>
      </c>
    </row>
    <row r="1626" spans="1:17" hidden="1" x14ac:dyDescent="0.25">
      <c r="A1626" t="s">
        <v>247</v>
      </c>
      <c r="B1626" t="s">
        <v>22</v>
      </c>
      <c r="C1626" t="s">
        <v>45</v>
      </c>
      <c r="D1626" t="s">
        <v>29</v>
      </c>
      <c r="E1626">
        <v>0</v>
      </c>
      <c r="F1626">
        <f>MAX(-1,3-Tableau1[[#This Row],[Nb possédé (digital)]])</f>
        <v>3</v>
      </c>
      <c r="G1626">
        <v>3</v>
      </c>
      <c r="H1626">
        <f>MAX(-1,3-Tableau1[[#This Row],[Possédé (physique)]])</f>
        <v>0</v>
      </c>
      <c r="I1626" t="str">
        <f>IF(Tableau1[[#This Row],[Manque (physique)]]&gt;Tableau1[[#This Row],[Manque (digital)]],"POD",IF(Tableau1[[#This Row],[Manque (digital)]]&gt;Tableau1[[#This Row],[Manque (physique)]],"MarketPlace",""))</f>
        <v>MarketPlace</v>
      </c>
      <c r="J1626" t="s">
        <v>30</v>
      </c>
      <c r="K1626" t="s">
        <v>68</v>
      </c>
      <c r="L1626" t="s">
        <v>23</v>
      </c>
      <c r="M1626" t="s">
        <v>52</v>
      </c>
      <c r="N1626" t="s">
        <v>19</v>
      </c>
      <c r="O1626" t="s">
        <v>52</v>
      </c>
      <c r="P1626" t="s">
        <v>19</v>
      </c>
      <c r="Q1626" t="s">
        <v>250</v>
      </c>
    </row>
    <row r="1627" spans="1:17" hidden="1" x14ac:dyDescent="0.25">
      <c r="A1627" t="s">
        <v>968</v>
      </c>
      <c r="B1627" t="s">
        <v>22</v>
      </c>
      <c r="C1627" t="s">
        <v>45</v>
      </c>
      <c r="D1627" t="s">
        <v>29</v>
      </c>
      <c r="E1627">
        <v>1</v>
      </c>
      <c r="F1627">
        <f>MAX(-1,3-Tableau1[[#This Row],[Nb possédé (digital)]])</f>
        <v>2</v>
      </c>
      <c r="G1627">
        <v>3</v>
      </c>
      <c r="H1627">
        <f>MAX(-1,3-Tableau1[[#This Row],[Possédé (physique)]])</f>
        <v>0</v>
      </c>
      <c r="I1627" t="str">
        <f>IF(Tableau1[[#This Row],[Manque (physique)]]&gt;Tableau1[[#This Row],[Manque (digital)]],"POD",IF(Tableau1[[#This Row],[Manque (digital)]]&gt;Tableau1[[#This Row],[Manque (physique)]],"MarketPlace",""))</f>
        <v>MarketPlace</v>
      </c>
      <c r="J1627" t="s">
        <v>30</v>
      </c>
      <c r="K1627" t="s">
        <v>36</v>
      </c>
      <c r="L1627" t="s">
        <v>23</v>
      </c>
      <c r="M1627" t="s">
        <v>52</v>
      </c>
      <c r="N1627" t="s">
        <v>23</v>
      </c>
      <c r="O1627" t="s">
        <v>23</v>
      </c>
      <c r="P1627" t="s">
        <v>23</v>
      </c>
      <c r="Q1627" t="s">
        <v>971</v>
      </c>
    </row>
    <row r="1628" spans="1:17" hidden="1" x14ac:dyDescent="0.25">
      <c r="A1628" t="s">
        <v>446</v>
      </c>
      <c r="B1628" t="s">
        <v>22</v>
      </c>
      <c r="C1628" t="s">
        <v>45</v>
      </c>
      <c r="D1628" t="s">
        <v>29</v>
      </c>
      <c r="E1628">
        <v>2</v>
      </c>
      <c r="F1628">
        <f>MAX(-1,3-Tableau1[[#This Row],[Nb possédé (digital)]])</f>
        <v>1</v>
      </c>
      <c r="G1628">
        <v>2</v>
      </c>
      <c r="H1628">
        <f>MAX(-1,3-Tableau1[[#This Row],[Possédé (physique)]])</f>
        <v>1</v>
      </c>
      <c r="I1628" t="str">
        <f>IF(Tableau1[[#This Row],[Manque (physique)]]&gt;Tableau1[[#This Row],[Manque (digital)]],"POD",IF(Tableau1[[#This Row],[Manque (digital)]]&gt;Tableau1[[#This Row],[Manque (physique)]],"MarketPlace",""))</f>
        <v/>
      </c>
      <c r="J1628" t="s">
        <v>17</v>
      </c>
      <c r="K1628" t="s">
        <v>447</v>
      </c>
      <c r="L1628" t="s">
        <v>23</v>
      </c>
      <c r="M1628" t="s">
        <v>39</v>
      </c>
      <c r="Q1628" t="s">
        <v>450</v>
      </c>
    </row>
    <row r="1629" spans="1:17" hidden="1" x14ac:dyDescent="0.25">
      <c r="A1629" t="s">
        <v>559</v>
      </c>
      <c r="B1629" t="s">
        <v>22</v>
      </c>
      <c r="C1629" t="s">
        <v>45</v>
      </c>
      <c r="D1629" t="s">
        <v>29</v>
      </c>
      <c r="E1629">
        <v>2</v>
      </c>
      <c r="F1629">
        <f>MAX(-1,3-Tableau1[[#This Row],[Nb possédé (digital)]])</f>
        <v>1</v>
      </c>
      <c r="G1629">
        <v>3</v>
      </c>
      <c r="H1629">
        <f>MAX(-1,3-Tableau1[[#This Row],[Possédé (physique)]])</f>
        <v>0</v>
      </c>
      <c r="I1629" t="str">
        <f>IF(Tableau1[[#This Row],[Manque (physique)]]&gt;Tableau1[[#This Row],[Manque (digital)]],"POD",IF(Tableau1[[#This Row],[Manque (digital)]]&gt;Tableau1[[#This Row],[Manque (physique)]],"MarketPlace",""))</f>
        <v>MarketPlace</v>
      </c>
      <c r="J1629" t="s">
        <v>30</v>
      </c>
      <c r="K1629" t="s">
        <v>83</v>
      </c>
      <c r="L1629" t="s">
        <v>52</v>
      </c>
      <c r="M1629" t="s">
        <v>23</v>
      </c>
      <c r="N1629" t="s">
        <v>52</v>
      </c>
      <c r="O1629" t="s">
        <v>52</v>
      </c>
      <c r="P1629" t="s">
        <v>19</v>
      </c>
      <c r="Q1629" t="s">
        <v>560</v>
      </c>
    </row>
    <row r="1630" spans="1:17" hidden="1" x14ac:dyDescent="0.25">
      <c r="A1630" t="s">
        <v>579</v>
      </c>
      <c r="B1630" t="s">
        <v>22</v>
      </c>
      <c r="C1630" t="s">
        <v>45</v>
      </c>
      <c r="D1630" t="s">
        <v>29</v>
      </c>
      <c r="E1630">
        <v>1</v>
      </c>
      <c r="F1630">
        <f>MAX(-1,3-Tableau1[[#This Row],[Nb possédé (digital)]])</f>
        <v>2</v>
      </c>
      <c r="G1630">
        <v>3</v>
      </c>
      <c r="H1630">
        <f>MAX(-1,3-Tableau1[[#This Row],[Possédé (physique)]])</f>
        <v>0</v>
      </c>
      <c r="I1630" t="str">
        <f>IF(Tableau1[[#This Row],[Manque (physique)]]&gt;Tableau1[[#This Row],[Manque (digital)]],"POD",IF(Tableau1[[#This Row],[Manque (digital)]]&gt;Tableau1[[#This Row],[Manque (physique)]],"MarketPlace",""))</f>
        <v>MarketPlace</v>
      </c>
      <c r="J1630" t="s">
        <v>30</v>
      </c>
      <c r="K1630" t="s">
        <v>107</v>
      </c>
      <c r="L1630" t="s">
        <v>52</v>
      </c>
      <c r="M1630" t="s">
        <v>52</v>
      </c>
      <c r="N1630" t="s">
        <v>23</v>
      </c>
      <c r="O1630" t="s">
        <v>23</v>
      </c>
      <c r="P1630" t="s">
        <v>23</v>
      </c>
      <c r="Q1630" t="s">
        <v>580</v>
      </c>
    </row>
    <row r="1631" spans="1:17" hidden="1" x14ac:dyDescent="0.25">
      <c r="A1631" t="s">
        <v>1029</v>
      </c>
      <c r="B1631" t="s">
        <v>22</v>
      </c>
      <c r="C1631" t="s">
        <v>45</v>
      </c>
      <c r="D1631" t="s">
        <v>29</v>
      </c>
      <c r="E1631">
        <v>1</v>
      </c>
      <c r="F1631">
        <f>MAX(-1,3-Tableau1[[#This Row],[Nb possédé (digital)]])</f>
        <v>2</v>
      </c>
      <c r="G1631">
        <v>3</v>
      </c>
      <c r="H1631">
        <f>MAX(-1,3-Tableau1[[#This Row],[Possédé (physique)]])</f>
        <v>0</v>
      </c>
      <c r="I1631" t="str">
        <f>IF(Tableau1[[#This Row],[Manque (physique)]]&gt;Tableau1[[#This Row],[Manque (digital)]],"POD",IF(Tableau1[[#This Row],[Manque (digital)]]&gt;Tableau1[[#This Row],[Manque (physique)]],"MarketPlace",""))</f>
        <v>MarketPlace</v>
      </c>
      <c r="J1631" t="s">
        <v>30</v>
      </c>
      <c r="K1631" t="s">
        <v>124</v>
      </c>
      <c r="L1631" t="s">
        <v>52</v>
      </c>
      <c r="M1631" t="s">
        <v>52</v>
      </c>
      <c r="N1631" t="s">
        <v>89</v>
      </c>
      <c r="O1631" t="s">
        <v>89</v>
      </c>
      <c r="P1631" t="s">
        <v>89</v>
      </c>
      <c r="Q1631" t="s">
        <v>1032</v>
      </c>
    </row>
    <row r="1632" spans="1:17" hidden="1" x14ac:dyDescent="0.25">
      <c r="A1632" t="s">
        <v>792</v>
      </c>
      <c r="B1632" t="s">
        <v>22</v>
      </c>
      <c r="C1632" t="s">
        <v>45</v>
      </c>
      <c r="D1632" t="s">
        <v>29</v>
      </c>
      <c r="E1632">
        <v>1</v>
      </c>
      <c r="F1632">
        <f>MAX(-1,3-Tableau1[[#This Row],[Nb possédé (digital)]])</f>
        <v>2</v>
      </c>
      <c r="G1632">
        <v>3</v>
      </c>
      <c r="H1632">
        <f>MAX(-1,3-Tableau1[[#This Row],[Possédé (physique)]])</f>
        <v>0</v>
      </c>
      <c r="I1632" t="str">
        <f>IF(Tableau1[[#This Row],[Manque (physique)]]&gt;Tableau1[[#This Row],[Manque (digital)]],"POD",IF(Tableau1[[#This Row],[Manque (digital)]]&gt;Tableau1[[#This Row],[Manque (physique)]],"MarketPlace",""))</f>
        <v>MarketPlace</v>
      </c>
      <c r="J1632" t="s">
        <v>30</v>
      </c>
      <c r="K1632" t="s">
        <v>124</v>
      </c>
      <c r="L1632" t="s">
        <v>39</v>
      </c>
      <c r="M1632" t="s">
        <v>23</v>
      </c>
      <c r="N1632" t="s">
        <v>23</v>
      </c>
      <c r="O1632" t="s">
        <v>23</v>
      </c>
      <c r="P1632" t="s">
        <v>23</v>
      </c>
      <c r="Q1632" t="s">
        <v>794</v>
      </c>
    </row>
    <row r="1633" spans="1:17" hidden="1" x14ac:dyDescent="0.25">
      <c r="A1633" t="s">
        <v>624</v>
      </c>
      <c r="B1633" t="s">
        <v>22</v>
      </c>
      <c r="C1633" t="s">
        <v>45</v>
      </c>
      <c r="D1633" t="s">
        <v>29</v>
      </c>
      <c r="E1633">
        <v>1</v>
      </c>
      <c r="F1633">
        <f>MAX(-1,3-Tableau1[[#This Row],[Nb possédé (digital)]])</f>
        <v>2</v>
      </c>
      <c r="G1633">
        <v>3</v>
      </c>
      <c r="H1633">
        <f>MAX(-1,3-Tableau1[[#This Row],[Possédé (physique)]])</f>
        <v>0</v>
      </c>
      <c r="I1633" t="str">
        <f>IF(Tableau1[[#This Row],[Manque (physique)]]&gt;Tableau1[[#This Row],[Manque (digital)]],"POD",IF(Tableau1[[#This Row],[Manque (digital)]]&gt;Tableau1[[#This Row],[Manque (physique)]],"MarketPlace",""))</f>
        <v>MarketPlace</v>
      </c>
      <c r="J1633" t="s">
        <v>30</v>
      </c>
      <c r="K1633" t="s">
        <v>51</v>
      </c>
      <c r="L1633" t="s">
        <v>380</v>
      </c>
      <c r="M1633" t="s">
        <v>52</v>
      </c>
      <c r="N1633" t="s">
        <v>89</v>
      </c>
      <c r="O1633" t="s">
        <v>37</v>
      </c>
      <c r="P1633" t="s">
        <v>37</v>
      </c>
      <c r="Q1633" t="s">
        <v>627</v>
      </c>
    </row>
    <row r="1634" spans="1:17" hidden="1" x14ac:dyDescent="0.25">
      <c r="A1634" t="s">
        <v>621</v>
      </c>
      <c r="B1634" t="s">
        <v>22</v>
      </c>
      <c r="C1634" t="s">
        <v>45</v>
      </c>
      <c r="D1634" t="s">
        <v>29</v>
      </c>
      <c r="E1634">
        <v>1</v>
      </c>
      <c r="F1634">
        <f>MAX(-1,3-Tableau1[[#This Row],[Nb possédé (digital)]])</f>
        <v>2</v>
      </c>
      <c r="G1634">
        <v>3</v>
      </c>
      <c r="H1634">
        <f>MAX(-1,3-Tableau1[[#This Row],[Possédé (physique)]])</f>
        <v>0</v>
      </c>
      <c r="I1634" t="str">
        <f>IF(Tableau1[[#This Row],[Manque (physique)]]&gt;Tableau1[[#This Row],[Manque (digital)]],"POD",IF(Tableau1[[#This Row],[Manque (digital)]]&gt;Tableau1[[#This Row],[Manque (physique)]],"MarketPlace",""))</f>
        <v>MarketPlace</v>
      </c>
      <c r="J1634" t="s">
        <v>30</v>
      </c>
      <c r="K1634" t="s">
        <v>103</v>
      </c>
      <c r="L1634" t="s">
        <v>101</v>
      </c>
      <c r="M1634" t="s">
        <v>39</v>
      </c>
      <c r="N1634" t="s">
        <v>23</v>
      </c>
      <c r="O1634" t="s">
        <v>23</v>
      </c>
      <c r="P1634" t="s">
        <v>23</v>
      </c>
      <c r="Q1634" t="s">
        <v>623</v>
      </c>
    </row>
    <row r="1635" spans="1:17" hidden="1" x14ac:dyDescent="0.25">
      <c r="A1635" t="s">
        <v>1229</v>
      </c>
      <c r="B1635" t="s">
        <v>22</v>
      </c>
      <c r="C1635" t="s">
        <v>45</v>
      </c>
      <c r="D1635" t="s">
        <v>1156</v>
      </c>
      <c r="E1635">
        <v>2</v>
      </c>
      <c r="F1635">
        <f>MAX(-1,3-Tableau1[[#This Row],[Nb possédé (digital)]])</f>
        <v>1</v>
      </c>
      <c r="G1635">
        <v>3</v>
      </c>
      <c r="H1635">
        <f>MAX(-1,3-Tableau1[[#This Row],[Possédé (physique)]])</f>
        <v>0</v>
      </c>
      <c r="I1635" t="str">
        <f>IF(Tableau1[[#This Row],[Manque (physique)]]&gt;Tableau1[[#This Row],[Manque (digital)]],"POD",IF(Tableau1[[#This Row],[Manque (digital)]]&gt;Tableau1[[#This Row],[Manque (physique)]],"MarketPlace",""))</f>
        <v>MarketPlace</v>
      </c>
      <c r="J1635" t="s">
        <v>30</v>
      </c>
      <c r="K1635" t="s">
        <v>328</v>
      </c>
      <c r="L1635" t="s">
        <v>20</v>
      </c>
      <c r="M1635" t="s">
        <v>20</v>
      </c>
      <c r="N1635" t="s">
        <v>20</v>
      </c>
      <c r="O1635" t="s">
        <v>20</v>
      </c>
      <c r="P1635" t="s">
        <v>20</v>
      </c>
      <c r="Q1635" t="s">
        <v>1422</v>
      </c>
    </row>
    <row r="1636" spans="1:17" hidden="1" x14ac:dyDescent="0.25">
      <c r="A1636" t="s">
        <v>1239</v>
      </c>
      <c r="B1636" t="s">
        <v>22</v>
      </c>
      <c r="C1636" t="s">
        <v>45</v>
      </c>
      <c r="D1636" t="s">
        <v>1156</v>
      </c>
      <c r="E1636">
        <v>1</v>
      </c>
      <c r="F1636">
        <f>MAX(-1,3-Tableau1[[#This Row],[Nb possédé (digital)]])</f>
        <v>2</v>
      </c>
      <c r="G1636">
        <v>3</v>
      </c>
      <c r="H1636">
        <f>MAX(-1,3-Tableau1[[#This Row],[Possédé (physique)]])</f>
        <v>0</v>
      </c>
      <c r="I1636" t="str">
        <f>IF(Tableau1[[#This Row],[Manque (physique)]]&gt;Tableau1[[#This Row],[Manque (digital)]],"POD",IF(Tableau1[[#This Row],[Manque (digital)]]&gt;Tableau1[[#This Row],[Manque (physique)]],"MarketPlace",""))</f>
        <v>MarketPlace</v>
      </c>
      <c r="J1636" t="s">
        <v>17</v>
      </c>
      <c r="K1636" t="s">
        <v>1442</v>
      </c>
      <c r="L1636" t="s">
        <v>20</v>
      </c>
      <c r="M1636" t="s">
        <v>19</v>
      </c>
      <c r="Q1636" t="s">
        <v>1445</v>
      </c>
    </row>
    <row r="1637" spans="1:17" hidden="1" x14ac:dyDescent="0.25">
      <c r="A1637" t="s">
        <v>1155</v>
      </c>
      <c r="B1637" t="s">
        <v>22</v>
      </c>
      <c r="C1637" t="s">
        <v>45</v>
      </c>
      <c r="D1637" t="s">
        <v>1156</v>
      </c>
      <c r="E1637">
        <v>1</v>
      </c>
      <c r="F1637">
        <f>MAX(-1,3-Tableau1[[#This Row],[Nb possédé (digital)]])</f>
        <v>2</v>
      </c>
      <c r="G1637">
        <v>3</v>
      </c>
      <c r="H1637">
        <f>MAX(-1,3-Tableau1[[#This Row],[Possédé (physique)]])</f>
        <v>0</v>
      </c>
      <c r="I1637" t="str">
        <f>IF(Tableau1[[#This Row],[Manque (physique)]]&gt;Tableau1[[#This Row],[Manque (digital)]],"POD",IF(Tableau1[[#This Row],[Manque (digital)]]&gt;Tableau1[[#This Row],[Manque (physique)]],"MarketPlace",""))</f>
        <v>MarketPlace</v>
      </c>
      <c r="J1637" t="s">
        <v>30</v>
      </c>
      <c r="K1637" t="s">
        <v>124</v>
      </c>
      <c r="L1637" t="s">
        <v>19</v>
      </c>
      <c r="M1637" t="s">
        <v>20</v>
      </c>
      <c r="N1637" t="s">
        <v>20</v>
      </c>
      <c r="O1637" t="s">
        <v>20</v>
      </c>
      <c r="P1637" t="s">
        <v>20</v>
      </c>
      <c r="Q1637" t="s">
        <v>1266</v>
      </c>
    </row>
    <row r="1638" spans="1:17" hidden="1" x14ac:dyDescent="0.25">
      <c r="A1638" t="s">
        <v>1165</v>
      </c>
      <c r="B1638" t="s">
        <v>22</v>
      </c>
      <c r="C1638" t="s">
        <v>45</v>
      </c>
      <c r="D1638" t="s">
        <v>1156</v>
      </c>
      <c r="E1638">
        <v>1</v>
      </c>
      <c r="F1638">
        <f>MAX(-1,3-Tableau1[[#This Row],[Nb possédé (digital)]])</f>
        <v>2</v>
      </c>
      <c r="G1638">
        <v>3</v>
      </c>
      <c r="H1638">
        <f>MAX(-1,3-Tableau1[[#This Row],[Possédé (physique)]])</f>
        <v>0</v>
      </c>
      <c r="I1638" t="str">
        <f>IF(Tableau1[[#This Row],[Manque (physique)]]&gt;Tableau1[[#This Row],[Manque (digital)]],"POD",IF(Tableau1[[#This Row],[Manque (digital)]]&gt;Tableau1[[#This Row],[Manque (physique)]],"MarketPlace",""))</f>
        <v>MarketPlace</v>
      </c>
      <c r="J1638" t="s">
        <v>30</v>
      </c>
      <c r="K1638" t="s">
        <v>79</v>
      </c>
      <c r="L1638" t="s">
        <v>19</v>
      </c>
      <c r="M1638" t="s">
        <v>20</v>
      </c>
      <c r="N1638" t="s">
        <v>20</v>
      </c>
      <c r="O1638" t="s">
        <v>20</v>
      </c>
      <c r="P1638" t="s">
        <v>19</v>
      </c>
      <c r="Q1638" t="s">
        <v>1285</v>
      </c>
    </row>
    <row r="1639" spans="1:17" hidden="1" x14ac:dyDescent="0.25">
      <c r="A1639" t="s">
        <v>1162</v>
      </c>
      <c r="B1639" t="s">
        <v>22</v>
      </c>
      <c r="C1639" t="s">
        <v>45</v>
      </c>
      <c r="D1639" t="s">
        <v>1156</v>
      </c>
      <c r="E1639">
        <v>2</v>
      </c>
      <c r="F1639">
        <f>MAX(-1,3-Tableau1[[#This Row],[Nb possédé (digital)]])</f>
        <v>1</v>
      </c>
      <c r="G1639">
        <v>3</v>
      </c>
      <c r="H1639">
        <f>MAX(-1,3-Tableau1[[#This Row],[Possédé (physique)]])</f>
        <v>0</v>
      </c>
      <c r="I1639" t="str">
        <f>IF(Tableau1[[#This Row],[Manque (physique)]]&gt;Tableau1[[#This Row],[Manque (digital)]],"POD",IF(Tableau1[[#This Row],[Manque (digital)]]&gt;Tableau1[[#This Row],[Manque (physique)]],"MarketPlace",""))</f>
        <v>MarketPlace</v>
      </c>
      <c r="J1639" t="s">
        <v>30</v>
      </c>
      <c r="K1639" t="s">
        <v>83</v>
      </c>
      <c r="L1639" t="s">
        <v>19</v>
      </c>
      <c r="M1639" t="s">
        <v>19</v>
      </c>
      <c r="N1639" t="s">
        <v>19</v>
      </c>
      <c r="O1639" t="s">
        <v>19</v>
      </c>
      <c r="P1639" t="s">
        <v>19</v>
      </c>
      <c r="Q1639" t="s">
        <v>1280</v>
      </c>
    </row>
    <row r="1640" spans="1:17" hidden="1" x14ac:dyDescent="0.25">
      <c r="A1640" t="s">
        <v>1166</v>
      </c>
      <c r="B1640" t="s">
        <v>22</v>
      </c>
      <c r="C1640" t="s">
        <v>45</v>
      </c>
      <c r="D1640" t="s">
        <v>1156</v>
      </c>
      <c r="E1640">
        <v>1</v>
      </c>
      <c r="F1640">
        <f>MAX(-1,3-Tableau1[[#This Row],[Nb possédé (digital)]])</f>
        <v>2</v>
      </c>
      <c r="G1640">
        <v>3</v>
      </c>
      <c r="H1640">
        <f>MAX(-1,3-Tableau1[[#This Row],[Possédé (physique)]])</f>
        <v>0</v>
      </c>
      <c r="I1640" t="str">
        <f>IF(Tableau1[[#This Row],[Manque (physique)]]&gt;Tableau1[[#This Row],[Manque (digital)]],"POD",IF(Tableau1[[#This Row],[Manque (digital)]]&gt;Tableau1[[#This Row],[Manque (physique)]],"MarketPlace",""))</f>
        <v>MarketPlace</v>
      </c>
      <c r="J1640" t="s">
        <v>268</v>
      </c>
      <c r="K1640" t="s">
        <v>269</v>
      </c>
      <c r="L1640" t="s">
        <v>19</v>
      </c>
      <c r="M1640" t="s">
        <v>19</v>
      </c>
      <c r="Q1640" t="s">
        <v>1288</v>
      </c>
    </row>
    <row r="1641" spans="1:17" hidden="1" x14ac:dyDescent="0.25">
      <c r="A1641" t="s">
        <v>1181</v>
      </c>
      <c r="B1641" t="s">
        <v>22</v>
      </c>
      <c r="C1641" t="s">
        <v>45</v>
      </c>
      <c r="D1641" t="s">
        <v>1156</v>
      </c>
      <c r="E1641">
        <v>1</v>
      </c>
      <c r="F1641">
        <f>MAX(-1,3-Tableau1[[#This Row],[Nb possédé (digital)]])</f>
        <v>2</v>
      </c>
      <c r="G1641">
        <v>3</v>
      </c>
      <c r="H1641">
        <f>MAX(-1,3-Tableau1[[#This Row],[Possédé (physique)]])</f>
        <v>0</v>
      </c>
      <c r="I1641" t="str">
        <f>IF(Tableau1[[#This Row],[Manque (physique)]]&gt;Tableau1[[#This Row],[Manque (digital)]],"POD",IF(Tableau1[[#This Row],[Manque (digital)]]&gt;Tableau1[[#This Row],[Manque (physique)]],"MarketPlace",""))</f>
        <v>MarketPlace</v>
      </c>
      <c r="J1641" t="s">
        <v>268</v>
      </c>
      <c r="K1641" t="s">
        <v>269</v>
      </c>
      <c r="L1641" t="s">
        <v>19</v>
      </c>
      <c r="M1641" t="s">
        <v>19</v>
      </c>
      <c r="Q1641" t="s">
        <v>1321</v>
      </c>
    </row>
    <row r="1642" spans="1:17" hidden="1" x14ac:dyDescent="0.25">
      <c r="A1642" t="s">
        <v>1185</v>
      </c>
      <c r="B1642" t="s">
        <v>22</v>
      </c>
      <c r="C1642" t="s">
        <v>45</v>
      </c>
      <c r="D1642" t="s">
        <v>1156</v>
      </c>
      <c r="E1642">
        <v>1</v>
      </c>
      <c r="F1642">
        <f>MAX(-1,3-Tableau1[[#This Row],[Nb possédé (digital)]])</f>
        <v>2</v>
      </c>
      <c r="G1642">
        <v>3</v>
      </c>
      <c r="H1642">
        <f>MAX(-1,3-Tableau1[[#This Row],[Possédé (physique)]])</f>
        <v>0</v>
      </c>
      <c r="I1642" t="str">
        <f>IF(Tableau1[[#This Row],[Manque (physique)]]&gt;Tableau1[[#This Row],[Manque (digital)]],"POD",IF(Tableau1[[#This Row],[Manque (digital)]]&gt;Tableau1[[#This Row],[Manque (physique)]],"MarketPlace",""))</f>
        <v>MarketPlace</v>
      </c>
      <c r="J1642" t="s">
        <v>30</v>
      </c>
      <c r="K1642" t="s">
        <v>42</v>
      </c>
      <c r="L1642" t="s">
        <v>19</v>
      </c>
      <c r="M1642" t="s">
        <v>19</v>
      </c>
      <c r="N1642" t="s">
        <v>19</v>
      </c>
      <c r="O1642" t="s">
        <v>19</v>
      </c>
      <c r="P1642" t="s">
        <v>20</v>
      </c>
      <c r="Q1642" t="s">
        <v>1328</v>
      </c>
    </row>
    <row r="1643" spans="1:17" hidden="1" x14ac:dyDescent="0.25">
      <c r="A1643" t="s">
        <v>1192</v>
      </c>
      <c r="B1643" t="s">
        <v>22</v>
      </c>
      <c r="C1643" t="s">
        <v>45</v>
      </c>
      <c r="D1643" t="s">
        <v>1156</v>
      </c>
      <c r="E1643">
        <v>3</v>
      </c>
      <c r="F1643">
        <f>MAX(-1,3-Tableau1[[#This Row],[Nb possédé (digital)]])</f>
        <v>0</v>
      </c>
      <c r="G1643">
        <v>3</v>
      </c>
      <c r="H1643">
        <f>MAX(-1,3-Tableau1[[#This Row],[Possédé (physique)]])</f>
        <v>0</v>
      </c>
      <c r="I1643" t="str">
        <f>IF(Tableau1[[#This Row],[Manque (physique)]]&gt;Tableau1[[#This Row],[Manque (digital)]],"POD",IF(Tableau1[[#This Row],[Manque (digital)]]&gt;Tableau1[[#This Row],[Manque (physique)]],"MarketPlace",""))</f>
        <v/>
      </c>
      <c r="J1643" t="s">
        <v>30</v>
      </c>
      <c r="K1643" t="s">
        <v>557</v>
      </c>
      <c r="L1643" t="s">
        <v>19</v>
      </c>
      <c r="M1643" t="s">
        <v>19</v>
      </c>
      <c r="N1643" t="s">
        <v>23</v>
      </c>
      <c r="O1643" t="s">
        <v>89</v>
      </c>
      <c r="P1643" t="s">
        <v>19</v>
      </c>
      <c r="Q1643" t="s">
        <v>1344</v>
      </c>
    </row>
    <row r="1644" spans="1:17" hidden="1" x14ac:dyDescent="0.25">
      <c r="A1644" t="s">
        <v>1199</v>
      </c>
      <c r="B1644" t="s">
        <v>22</v>
      </c>
      <c r="C1644" t="s">
        <v>45</v>
      </c>
      <c r="D1644" t="s">
        <v>1156</v>
      </c>
      <c r="E1644">
        <v>1</v>
      </c>
      <c r="F1644">
        <f>MAX(-1,3-Tableau1[[#This Row],[Nb possédé (digital)]])</f>
        <v>2</v>
      </c>
      <c r="G1644">
        <v>3</v>
      </c>
      <c r="H1644">
        <f>MAX(-1,3-Tableau1[[#This Row],[Possédé (physique)]])</f>
        <v>0</v>
      </c>
      <c r="I1644" t="str">
        <f>IF(Tableau1[[#This Row],[Manque (physique)]]&gt;Tableau1[[#This Row],[Manque (digital)]],"POD",IF(Tableau1[[#This Row],[Manque (digital)]]&gt;Tableau1[[#This Row],[Manque (physique)]],"MarketPlace",""))</f>
        <v>MarketPlace</v>
      </c>
      <c r="J1644" t="s">
        <v>30</v>
      </c>
      <c r="K1644" t="s">
        <v>51</v>
      </c>
      <c r="L1644" t="s">
        <v>19</v>
      </c>
      <c r="M1644" t="s">
        <v>19</v>
      </c>
      <c r="N1644" t="s">
        <v>23</v>
      </c>
      <c r="O1644" t="s">
        <v>23</v>
      </c>
      <c r="P1644" t="s">
        <v>19</v>
      </c>
      <c r="Q1644" t="s">
        <v>1358</v>
      </c>
    </row>
    <row r="1645" spans="1:17" hidden="1" x14ac:dyDescent="0.25">
      <c r="A1645" t="s">
        <v>1207</v>
      </c>
      <c r="B1645" t="s">
        <v>22</v>
      </c>
      <c r="C1645" t="s">
        <v>45</v>
      </c>
      <c r="D1645" t="s">
        <v>1156</v>
      </c>
      <c r="E1645">
        <v>3</v>
      </c>
      <c r="F1645">
        <f>MAX(-1,3-Tableau1[[#This Row],[Nb possédé (digital)]])</f>
        <v>0</v>
      </c>
      <c r="G1645">
        <v>3</v>
      </c>
      <c r="H1645">
        <f>MAX(-1,3-Tableau1[[#This Row],[Possédé (physique)]])</f>
        <v>0</v>
      </c>
      <c r="I1645" t="str">
        <f>IF(Tableau1[[#This Row],[Manque (physique)]]&gt;Tableau1[[#This Row],[Manque (digital)]],"POD",IF(Tableau1[[#This Row],[Manque (digital)]]&gt;Tableau1[[#This Row],[Manque (physique)]],"MarketPlace",""))</f>
        <v/>
      </c>
      <c r="J1645" t="s">
        <v>30</v>
      </c>
      <c r="K1645" t="s">
        <v>79</v>
      </c>
      <c r="L1645" t="s">
        <v>19</v>
      </c>
      <c r="M1645" t="s">
        <v>19</v>
      </c>
      <c r="N1645" t="s">
        <v>89</v>
      </c>
      <c r="O1645" t="s">
        <v>89</v>
      </c>
      <c r="P1645" t="s">
        <v>23</v>
      </c>
      <c r="Q1645" t="s">
        <v>1374</v>
      </c>
    </row>
    <row r="1646" spans="1:17" hidden="1" x14ac:dyDescent="0.25">
      <c r="A1646" t="s">
        <v>1211</v>
      </c>
      <c r="B1646" t="s">
        <v>22</v>
      </c>
      <c r="C1646" t="s">
        <v>45</v>
      </c>
      <c r="D1646" t="s">
        <v>1156</v>
      </c>
      <c r="E1646">
        <v>1</v>
      </c>
      <c r="F1646">
        <f>MAX(-1,3-Tableau1[[#This Row],[Nb possédé (digital)]])</f>
        <v>2</v>
      </c>
      <c r="G1646">
        <v>3</v>
      </c>
      <c r="H1646">
        <f>MAX(-1,3-Tableau1[[#This Row],[Possédé (physique)]])</f>
        <v>0</v>
      </c>
      <c r="I1646" t="str">
        <f>IF(Tableau1[[#This Row],[Manque (physique)]]&gt;Tableau1[[#This Row],[Manque (digital)]],"POD",IF(Tableau1[[#This Row],[Manque (digital)]]&gt;Tableau1[[#This Row],[Manque (physique)]],"MarketPlace",""))</f>
        <v>MarketPlace</v>
      </c>
      <c r="J1646" t="s">
        <v>268</v>
      </c>
      <c r="K1646" t="s">
        <v>269</v>
      </c>
      <c r="L1646" t="s">
        <v>19</v>
      </c>
      <c r="M1646" t="s">
        <v>19</v>
      </c>
      <c r="Q1646" t="s">
        <v>1381</v>
      </c>
    </row>
    <row r="1647" spans="1:17" hidden="1" x14ac:dyDescent="0.25">
      <c r="A1647" t="s">
        <v>1215</v>
      </c>
      <c r="B1647" t="s">
        <v>22</v>
      </c>
      <c r="C1647" t="s">
        <v>45</v>
      </c>
      <c r="D1647" t="s">
        <v>1156</v>
      </c>
      <c r="E1647">
        <v>1</v>
      </c>
      <c r="F1647">
        <f>MAX(-1,3-Tableau1[[#This Row],[Nb possédé (digital)]])</f>
        <v>2</v>
      </c>
      <c r="G1647">
        <v>3</v>
      </c>
      <c r="H1647">
        <f>MAX(-1,3-Tableau1[[#This Row],[Possédé (physique)]])</f>
        <v>0</v>
      </c>
      <c r="I1647" t="str">
        <f>IF(Tableau1[[#This Row],[Manque (physique)]]&gt;Tableau1[[#This Row],[Manque (digital)]],"POD",IF(Tableau1[[#This Row],[Manque (digital)]]&gt;Tableau1[[#This Row],[Manque (physique)]],"MarketPlace",""))</f>
        <v>MarketPlace</v>
      </c>
      <c r="J1647" t="s">
        <v>30</v>
      </c>
      <c r="K1647" t="s">
        <v>1389</v>
      </c>
      <c r="L1647" t="s">
        <v>19</v>
      </c>
      <c r="M1647" t="s">
        <v>19</v>
      </c>
      <c r="N1647" t="s">
        <v>23</v>
      </c>
      <c r="O1647" t="s">
        <v>23</v>
      </c>
      <c r="P1647" t="s">
        <v>19</v>
      </c>
      <c r="Q1647" t="s">
        <v>1391</v>
      </c>
    </row>
    <row r="1648" spans="1:17" hidden="1" x14ac:dyDescent="0.25">
      <c r="A1648" t="s">
        <v>1230</v>
      </c>
      <c r="B1648" t="s">
        <v>22</v>
      </c>
      <c r="C1648" t="s">
        <v>45</v>
      </c>
      <c r="D1648" t="s">
        <v>1156</v>
      </c>
      <c r="E1648">
        <v>1</v>
      </c>
      <c r="F1648">
        <f>MAX(-1,3-Tableau1[[#This Row],[Nb possédé (digital)]])</f>
        <v>2</v>
      </c>
      <c r="G1648">
        <v>3</v>
      </c>
      <c r="H1648">
        <f>MAX(-1,3-Tableau1[[#This Row],[Possédé (physique)]])</f>
        <v>0</v>
      </c>
      <c r="I1648" t="str">
        <f>IF(Tableau1[[#This Row],[Manque (physique)]]&gt;Tableau1[[#This Row],[Manque (digital)]],"POD",IF(Tableau1[[#This Row],[Manque (digital)]]&gt;Tableau1[[#This Row],[Manque (physique)]],"MarketPlace",""))</f>
        <v>MarketPlace</v>
      </c>
      <c r="J1648" t="s">
        <v>30</v>
      </c>
      <c r="K1648" t="s">
        <v>83</v>
      </c>
      <c r="L1648" t="s">
        <v>19</v>
      </c>
      <c r="M1648" t="s">
        <v>19</v>
      </c>
      <c r="N1648" t="s">
        <v>19</v>
      </c>
      <c r="O1648" t="s">
        <v>19</v>
      </c>
      <c r="P1648" t="s">
        <v>89</v>
      </c>
      <c r="Q1648" t="s">
        <v>1424</v>
      </c>
    </row>
    <row r="1649" spans="1:17" hidden="1" x14ac:dyDescent="0.25">
      <c r="A1649" t="s">
        <v>1259</v>
      </c>
      <c r="B1649" t="s">
        <v>22</v>
      </c>
      <c r="C1649" t="s">
        <v>45</v>
      </c>
      <c r="D1649" t="s">
        <v>1156</v>
      </c>
      <c r="E1649">
        <v>1</v>
      </c>
      <c r="F1649">
        <f>MAX(-1,3-Tableau1[[#This Row],[Nb possédé (digital)]])</f>
        <v>2</v>
      </c>
      <c r="G1649">
        <v>3</v>
      </c>
      <c r="H1649">
        <f>MAX(-1,3-Tableau1[[#This Row],[Possédé (physique)]])</f>
        <v>0</v>
      </c>
      <c r="I1649" t="str">
        <f>IF(Tableau1[[#This Row],[Manque (physique)]]&gt;Tableau1[[#This Row],[Manque (digital)]],"POD",IF(Tableau1[[#This Row],[Manque (digital)]]&gt;Tableau1[[#This Row],[Manque (physique)]],"MarketPlace",""))</f>
        <v>MarketPlace</v>
      </c>
      <c r="J1649" t="s">
        <v>30</v>
      </c>
      <c r="K1649" t="s">
        <v>107</v>
      </c>
      <c r="L1649" t="s">
        <v>19</v>
      </c>
      <c r="M1649" t="s">
        <v>19</v>
      </c>
      <c r="N1649" t="s">
        <v>19</v>
      </c>
      <c r="O1649" t="s">
        <v>19</v>
      </c>
      <c r="P1649" t="s">
        <v>19</v>
      </c>
      <c r="Q1649" t="s">
        <v>1484</v>
      </c>
    </row>
    <row r="1650" spans="1:17" hidden="1" x14ac:dyDescent="0.25">
      <c r="A1650" t="s">
        <v>1249</v>
      </c>
      <c r="B1650" t="s">
        <v>22</v>
      </c>
      <c r="C1650" t="s">
        <v>45</v>
      </c>
      <c r="D1650" t="s">
        <v>1156</v>
      </c>
      <c r="E1650">
        <v>1</v>
      </c>
      <c r="F1650">
        <f>MAX(-1,3-Tableau1[[#This Row],[Nb possédé (digital)]])</f>
        <v>2</v>
      </c>
      <c r="G1650">
        <v>3</v>
      </c>
      <c r="H1650">
        <f>MAX(-1,3-Tableau1[[#This Row],[Possédé (physique)]])</f>
        <v>0</v>
      </c>
      <c r="I1650" t="str">
        <f>IF(Tableau1[[#This Row],[Manque (physique)]]&gt;Tableau1[[#This Row],[Manque (digital)]],"POD",IF(Tableau1[[#This Row],[Manque (digital)]]&gt;Tableau1[[#This Row],[Manque (physique)]],"MarketPlace",""))</f>
        <v>MarketPlace</v>
      </c>
      <c r="J1650" t="s">
        <v>30</v>
      </c>
      <c r="K1650" t="s">
        <v>51</v>
      </c>
      <c r="L1650" t="s">
        <v>23</v>
      </c>
      <c r="M1650" t="s">
        <v>20</v>
      </c>
      <c r="N1650" t="s">
        <v>20</v>
      </c>
      <c r="O1650" t="s">
        <v>20</v>
      </c>
      <c r="P1650" t="s">
        <v>20</v>
      </c>
      <c r="Q1650" t="s">
        <v>1465</v>
      </c>
    </row>
    <row r="1651" spans="1:17" hidden="1" x14ac:dyDescent="0.25">
      <c r="A1651" t="s">
        <v>1250</v>
      </c>
      <c r="B1651" t="s">
        <v>22</v>
      </c>
      <c r="C1651" t="s">
        <v>45</v>
      </c>
      <c r="D1651" t="s">
        <v>1156</v>
      </c>
      <c r="E1651">
        <v>2</v>
      </c>
      <c r="F1651">
        <f>MAX(-1,3-Tableau1[[#This Row],[Nb possédé (digital)]])</f>
        <v>1</v>
      </c>
      <c r="G1651">
        <v>3</v>
      </c>
      <c r="H1651">
        <f>MAX(-1,3-Tableau1[[#This Row],[Possédé (physique)]])</f>
        <v>0</v>
      </c>
      <c r="I1651" t="str">
        <f>IF(Tableau1[[#This Row],[Manque (physique)]]&gt;Tableau1[[#This Row],[Manque (digital)]],"POD",IF(Tableau1[[#This Row],[Manque (digital)]]&gt;Tableau1[[#This Row],[Manque (physique)]],"MarketPlace",""))</f>
        <v>MarketPlace</v>
      </c>
      <c r="J1651" t="s">
        <v>30</v>
      </c>
      <c r="K1651" t="s">
        <v>79</v>
      </c>
      <c r="L1651" t="s">
        <v>23</v>
      </c>
      <c r="M1651" t="s">
        <v>20</v>
      </c>
      <c r="N1651" t="s">
        <v>89</v>
      </c>
      <c r="O1651" t="s">
        <v>19</v>
      </c>
      <c r="P1651" t="s">
        <v>89</v>
      </c>
      <c r="Q1651" t="s">
        <v>1467</v>
      </c>
    </row>
    <row r="1652" spans="1:17" hidden="1" x14ac:dyDescent="0.25">
      <c r="A1652" t="s">
        <v>1253</v>
      </c>
      <c r="B1652" t="s">
        <v>22</v>
      </c>
      <c r="C1652" t="s">
        <v>45</v>
      </c>
      <c r="D1652" t="s">
        <v>1156</v>
      </c>
      <c r="E1652">
        <v>2</v>
      </c>
      <c r="F1652">
        <f>MAX(-1,3-Tableau1[[#This Row],[Nb possédé (digital)]])</f>
        <v>1</v>
      </c>
      <c r="G1652">
        <v>3</v>
      </c>
      <c r="H1652">
        <f>MAX(-1,3-Tableau1[[#This Row],[Possédé (physique)]])</f>
        <v>0</v>
      </c>
      <c r="I1652" t="str">
        <f>IF(Tableau1[[#This Row],[Manque (physique)]]&gt;Tableau1[[#This Row],[Manque (digital)]],"POD",IF(Tableau1[[#This Row],[Manque (digital)]]&gt;Tableau1[[#This Row],[Manque (physique)]],"MarketPlace",""))</f>
        <v>MarketPlace</v>
      </c>
      <c r="J1652" t="s">
        <v>30</v>
      </c>
      <c r="K1652" t="s">
        <v>1471</v>
      </c>
      <c r="L1652" t="s">
        <v>23</v>
      </c>
      <c r="M1652" t="s">
        <v>20</v>
      </c>
      <c r="N1652" t="s">
        <v>20</v>
      </c>
      <c r="O1652" t="s">
        <v>89</v>
      </c>
      <c r="P1652" t="s">
        <v>89</v>
      </c>
      <c r="Q1652" t="s">
        <v>1473</v>
      </c>
    </row>
    <row r="1653" spans="1:17" hidden="1" x14ac:dyDescent="0.25">
      <c r="A1653" t="s">
        <v>1216</v>
      </c>
      <c r="B1653" t="s">
        <v>22</v>
      </c>
      <c r="C1653" t="s">
        <v>45</v>
      </c>
      <c r="D1653" t="s">
        <v>1156</v>
      </c>
      <c r="E1653">
        <v>0</v>
      </c>
      <c r="F1653">
        <f>MAX(-1,3-Tableau1[[#This Row],[Nb possédé (digital)]])</f>
        <v>3</v>
      </c>
      <c r="G1653">
        <v>3</v>
      </c>
      <c r="H1653">
        <f>MAX(-1,3-Tableau1[[#This Row],[Possédé (physique)]])</f>
        <v>0</v>
      </c>
      <c r="I1653" t="str">
        <f>IF(Tableau1[[#This Row],[Manque (physique)]]&gt;Tableau1[[#This Row],[Manque (digital)]],"POD",IF(Tableau1[[#This Row],[Manque (digital)]]&gt;Tableau1[[#This Row],[Manque (physique)]],"MarketPlace",""))</f>
        <v>MarketPlace</v>
      </c>
      <c r="J1653" t="s">
        <v>30</v>
      </c>
      <c r="K1653" t="s">
        <v>350</v>
      </c>
      <c r="L1653" t="s">
        <v>23</v>
      </c>
      <c r="M1653" t="s">
        <v>19</v>
      </c>
      <c r="N1653" t="s">
        <v>23</v>
      </c>
      <c r="O1653" t="s">
        <v>23</v>
      </c>
      <c r="P1653" t="s">
        <v>89</v>
      </c>
      <c r="Q1653" t="s">
        <v>1394</v>
      </c>
    </row>
    <row r="1654" spans="1:17" hidden="1" x14ac:dyDescent="0.25">
      <c r="A1654" t="s">
        <v>1225</v>
      </c>
      <c r="B1654" t="s">
        <v>22</v>
      </c>
      <c r="C1654" t="s">
        <v>45</v>
      </c>
      <c r="D1654" t="s">
        <v>1156</v>
      </c>
      <c r="E1654">
        <v>1</v>
      </c>
      <c r="F1654">
        <f>MAX(-1,3-Tableau1[[#This Row],[Nb possédé (digital)]])</f>
        <v>2</v>
      </c>
      <c r="G1654">
        <v>3</v>
      </c>
      <c r="H1654">
        <f>MAX(-1,3-Tableau1[[#This Row],[Possédé (physique)]])</f>
        <v>0</v>
      </c>
      <c r="I1654" t="str">
        <f>IF(Tableau1[[#This Row],[Manque (physique)]]&gt;Tableau1[[#This Row],[Manque (digital)]],"POD",IF(Tableau1[[#This Row],[Manque (digital)]]&gt;Tableau1[[#This Row],[Manque (physique)]],"MarketPlace",""))</f>
        <v>MarketPlace</v>
      </c>
      <c r="J1654" t="s">
        <v>30</v>
      </c>
      <c r="K1654" t="s">
        <v>481</v>
      </c>
      <c r="L1654" t="s">
        <v>23</v>
      </c>
      <c r="M1654" t="s">
        <v>19</v>
      </c>
      <c r="N1654" t="s">
        <v>89</v>
      </c>
      <c r="O1654" t="s">
        <v>89</v>
      </c>
      <c r="P1654" t="s">
        <v>52</v>
      </c>
      <c r="Q1654" t="s">
        <v>1414</v>
      </c>
    </row>
    <row r="1655" spans="1:17" hidden="1" x14ac:dyDescent="0.25">
      <c r="A1655" t="s">
        <v>1160</v>
      </c>
      <c r="B1655" t="s">
        <v>22</v>
      </c>
      <c r="C1655" t="s">
        <v>45</v>
      </c>
      <c r="D1655" t="s">
        <v>1156</v>
      </c>
      <c r="E1655">
        <v>1</v>
      </c>
      <c r="F1655">
        <f>MAX(-1,3-Tableau1[[#This Row],[Nb possédé (digital)]])</f>
        <v>2</v>
      </c>
      <c r="G1655">
        <v>3</v>
      </c>
      <c r="H1655">
        <f>MAX(-1,3-Tableau1[[#This Row],[Possédé (physique)]])</f>
        <v>0</v>
      </c>
      <c r="I1655" t="str">
        <f>IF(Tableau1[[#This Row],[Manque (physique)]]&gt;Tableau1[[#This Row],[Manque (digital)]],"POD",IF(Tableau1[[#This Row],[Manque (digital)]]&gt;Tableau1[[#This Row],[Manque (physique)]],"MarketPlace",""))</f>
        <v>MarketPlace</v>
      </c>
      <c r="J1655" t="s">
        <v>17</v>
      </c>
      <c r="K1655" t="s">
        <v>201</v>
      </c>
      <c r="L1655" t="s">
        <v>23</v>
      </c>
      <c r="M1655" t="s">
        <v>23</v>
      </c>
      <c r="Q1655" t="s">
        <v>1275</v>
      </c>
    </row>
    <row r="1656" spans="1:17" hidden="1" x14ac:dyDescent="0.25">
      <c r="A1656" t="s">
        <v>1186</v>
      </c>
      <c r="B1656" t="s">
        <v>22</v>
      </c>
      <c r="C1656" t="s">
        <v>45</v>
      </c>
      <c r="D1656" t="s">
        <v>1156</v>
      </c>
      <c r="E1656">
        <v>2</v>
      </c>
      <c r="F1656">
        <f>MAX(-1,3-Tableau1[[#This Row],[Nb possédé (digital)]])</f>
        <v>1</v>
      </c>
      <c r="G1656">
        <v>3</v>
      </c>
      <c r="H1656">
        <f>MAX(-1,3-Tableau1[[#This Row],[Possédé (physique)]])</f>
        <v>0</v>
      </c>
      <c r="I1656" t="str">
        <f>IF(Tableau1[[#This Row],[Manque (physique)]]&gt;Tableau1[[#This Row],[Manque (digital)]],"POD",IF(Tableau1[[#This Row],[Manque (digital)]]&gt;Tableau1[[#This Row],[Manque (physique)]],"MarketPlace",""))</f>
        <v>MarketPlace</v>
      </c>
      <c r="J1656" t="s">
        <v>30</v>
      </c>
      <c r="K1656" t="s">
        <v>292</v>
      </c>
      <c r="L1656" t="s">
        <v>23</v>
      </c>
      <c r="M1656" t="s">
        <v>23</v>
      </c>
      <c r="N1656" t="s">
        <v>23</v>
      </c>
      <c r="O1656" t="s">
        <v>23</v>
      </c>
      <c r="P1656" t="s">
        <v>23</v>
      </c>
      <c r="Q1656" t="s">
        <v>1331</v>
      </c>
    </row>
    <row r="1657" spans="1:17" hidden="1" x14ac:dyDescent="0.25">
      <c r="A1657" t="s">
        <v>1208</v>
      </c>
      <c r="B1657" t="s">
        <v>22</v>
      </c>
      <c r="C1657" t="s">
        <v>45</v>
      </c>
      <c r="D1657" t="s">
        <v>1156</v>
      </c>
      <c r="E1657">
        <v>1</v>
      </c>
      <c r="F1657">
        <f>MAX(-1,3-Tableau1[[#This Row],[Nb possédé (digital)]])</f>
        <v>2</v>
      </c>
      <c r="G1657">
        <v>3</v>
      </c>
      <c r="H1657">
        <f>MAX(-1,3-Tableau1[[#This Row],[Possédé (physique)]])</f>
        <v>0</v>
      </c>
      <c r="I1657" t="str">
        <f>IF(Tableau1[[#This Row],[Manque (physique)]]&gt;Tableau1[[#This Row],[Manque (digital)]],"POD",IF(Tableau1[[#This Row],[Manque (digital)]]&gt;Tableau1[[#This Row],[Manque (physique)]],"MarketPlace",""))</f>
        <v>MarketPlace</v>
      </c>
      <c r="J1657" t="s">
        <v>17</v>
      </c>
      <c r="K1657" t="s">
        <v>153</v>
      </c>
      <c r="L1657" t="s">
        <v>23</v>
      </c>
      <c r="M1657" t="s">
        <v>23</v>
      </c>
      <c r="Q1657" t="s">
        <v>1376</v>
      </c>
    </row>
    <row r="1658" spans="1:17" hidden="1" x14ac:dyDescent="0.25">
      <c r="A1658" t="s">
        <v>1210</v>
      </c>
      <c r="B1658" t="s">
        <v>22</v>
      </c>
      <c r="C1658" t="s">
        <v>45</v>
      </c>
      <c r="D1658" t="s">
        <v>1156</v>
      </c>
      <c r="E1658">
        <v>2</v>
      </c>
      <c r="F1658">
        <f>MAX(-1,3-Tableau1[[#This Row],[Nb possédé (digital)]])</f>
        <v>1</v>
      </c>
      <c r="G1658">
        <v>3</v>
      </c>
      <c r="H1658">
        <f>MAX(-1,3-Tableau1[[#This Row],[Possédé (physique)]])</f>
        <v>0</v>
      </c>
      <c r="I1658" t="str">
        <f>IF(Tableau1[[#This Row],[Manque (physique)]]&gt;Tableau1[[#This Row],[Manque (digital)]],"POD",IF(Tableau1[[#This Row],[Manque (digital)]]&gt;Tableau1[[#This Row],[Manque (physique)]],"MarketPlace",""))</f>
        <v>MarketPlace</v>
      </c>
      <c r="J1658" t="s">
        <v>30</v>
      </c>
      <c r="K1658" t="s">
        <v>79</v>
      </c>
      <c r="L1658" t="s">
        <v>23</v>
      </c>
      <c r="M1658" t="s">
        <v>23</v>
      </c>
      <c r="N1658" t="s">
        <v>23</v>
      </c>
      <c r="O1658" t="s">
        <v>23</v>
      </c>
      <c r="P1658" t="s">
        <v>23</v>
      </c>
      <c r="Q1658" t="s">
        <v>1379</v>
      </c>
    </row>
    <row r="1659" spans="1:17" hidden="1" x14ac:dyDescent="0.25">
      <c r="A1659" t="s">
        <v>1248</v>
      </c>
      <c r="B1659" t="s">
        <v>22</v>
      </c>
      <c r="C1659" t="s">
        <v>45</v>
      </c>
      <c r="D1659" t="s">
        <v>1156</v>
      </c>
      <c r="E1659">
        <v>1</v>
      </c>
      <c r="F1659">
        <f>MAX(-1,3-Tableau1[[#This Row],[Nb possédé (digital)]])</f>
        <v>2</v>
      </c>
      <c r="G1659">
        <v>3</v>
      </c>
      <c r="H1659">
        <f>MAX(-1,3-Tableau1[[#This Row],[Possédé (physique)]])</f>
        <v>0</v>
      </c>
      <c r="I1659" t="str">
        <f>IF(Tableau1[[#This Row],[Manque (physique)]]&gt;Tableau1[[#This Row],[Manque (digital)]],"POD",IF(Tableau1[[#This Row],[Manque (digital)]]&gt;Tableau1[[#This Row],[Manque (physique)]],"MarketPlace",""))</f>
        <v>MarketPlace</v>
      </c>
      <c r="J1659" t="s">
        <v>17</v>
      </c>
      <c r="K1659" t="s">
        <v>97</v>
      </c>
      <c r="L1659" t="s">
        <v>23</v>
      </c>
      <c r="M1659" t="s">
        <v>23</v>
      </c>
      <c r="Q1659" t="s">
        <v>1464</v>
      </c>
    </row>
    <row r="1660" spans="1:17" hidden="1" x14ac:dyDescent="0.25">
      <c r="A1660" t="s">
        <v>1260</v>
      </c>
      <c r="B1660" t="s">
        <v>22</v>
      </c>
      <c r="C1660" t="s">
        <v>45</v>
      </c>
      <c r="D1660" t="s">
        <v>1156</v>
      </c>
      <c r="E1660">
        <v>1</v>
      </c>
      <c r="F1660">
        <f>MAX(-1,3-Tableau1[[#This Row],[Nb possédé (digital)]])</f>
        <v>2</v>
      </c>
      <c r="G1660">
        <v>3</v>
      </c>
      <c r="H1660">
        <f>MAX(-1,3-Tableau1[[#This Row],[Possédé (physique)]])</f>
        <v>0</v>
      </c>
      <c r="I1660" t="str">
        <f>IF(Tableau1[[#This Row],[Manque (physique)]]&gt;Tableau1[[#This Row],[Manque (digital)]],"POD",IF(Tableau1[[#This Row],[Manque (digital)]]&gt;Tableau1[[#This Row],[Manque (physique)]],"MarketPlace",""))</f>
        <v>MarketPlace</v>
      </c>
      <c r="J1660" t="s">
        <v>30</v>
      </c>
      <c r="K1660" t="s">
        <v>552</v>
      </c>
      <c r="L1660" t="s">
        <v>52</v>
      </c>
      <c r="M1660" t="s">
        <v>23</v>
      </c>
      <c r="N1660" t="s">
        <v>23</v>
      </c>
      <c r="O1660" t="s">
        <v>23</v>
      </c>
      <c r="P1660" t="s">
        <v>52</v>
      </c>
      <c r="Q1660" t="s">
        <v>1485</v>
      </c>
    </row>
    <row r="1661" spans="1:17" hidden="1" x14ac:dyDescent="0.25">
      <c r="A1661" t="s">
        <v>1158</v>
      </c>
      <c r="B1661" t="s">
        <v>22</v>
      </c>
      <c r="C1661" t="s">
        <v>45</v>
      </c>
      <c r="D1661" t="s">
        <v>1156</v>
      </c>
      <c r="E1661">
        <v>1</v>
      </c>
      <c r="F1661">
        <f>MAX(-1,3-Tableau1[[#This Row],[Nb possédé (digital)]])</f>
        <v>2</v>
      </c>
      <c r="G1661">
        <v>3</v>
      </c>
      <c r="H1661">
        <f>MAX(-1,3-Tableau1[[#This Row],[Possédé (physique)]])</f>
        <v>0</v>
      </c>
      <c r="I1661" t="str">
        <f>IF(Tableau1[[#This Row],[Manque (physique)]]&gt;Tableau1[[#This Row],[Manque (digital)]],"POD",IF(Tableau1[[#This Row],[Manque (digital)]]&gt;Tableau1[[#This Row],[Manque (physique)]],"MarketPlace",""))</f>
        <v>MarketPlace</v>
      </c>
      <c r="J1661" t="s">
        <v>30</v>
      </c>
      <c r="K1661" t="s">
        <v>601</v>
      </c>
      <c r="L1661" t="s">
        <v>52</v>
      </c>
      <c r="M1661" t="s">
        <v>52</v>
      </c>
      <c r="N1661" t="s">
        <v>20</v>
      </c>
      <c r="O1661" t="s">
        <v>20</v>
      </c>
      <c r="P1661" t="s">
        <v>20</v>
      </c>
      <c r="Q1661" t="s">
        <v>1269</v>
      </c>
    </row>
    <row r="1662" spans="1:17" hidden="1" x14ac:dyDescent="0.25">
      <c r="A1662" t="s">
        <v>1171</v>
      </c>
      <c r="B1662" t="s">
        <v>22</v>
      </c>
      <c r="C1662" t="s">
        <v>45</v>
      </c>
      <c r="D1662" t="s">
        <v>1156</v>
      </c>
      <c r="E1662">
        <v>0</v>
      </c>
      <c r="F1662">
        <f>MAX(-1,3-Tableau1[[#This Row],[Nb possédé (digital)]])</f>
        <v>3</v>
      </c>
      <c r="G1662">
        <v>3</v>
      </c>
      <c r="H1662">
        <f>MAX(-1,3-Tableau1[[#This Row],[Possédé (physique)]])</f>
        <v>0</v>
      </c>
      <c r="I1662" t="str">
        <f>IF(Tableau1[[#This Row],[Manque (physique)]]&gt;Tableau1[[#This Row],[Manque (digital)]],"POD",IF(Tableau1[[#This Row],[Manque (digital)]]&gt;Tableau1[[#This Row],[Manque (physique)]],"MarketPlace",""))</f>
        <v>MarketPlace</v>
      </c>
      <c r="J1662" t="s">
        <v>17</v>
      </c>
      <c r="K1662" t="s">
        <v>153</v>
      </c>
      <c r="L1662" t="s">
        <v>52</v>
      </c>
      <c r="M1662" t="s">
        <v>52</v>
      </c>
      <c r="Q1662" t="s">
        <v>1299</v>
      </c>
    </row>
    <row r="1663" spans="1:17" hidden="1" x14ac:dyDescent="0.25">
      <c r="A1663" t="s">
        <v>1235</v>
      </c>
      <c r="B1663" t="s">
        <v>22</v>
      </c>
      <c r="C1663" t="s">
        <v>45</v>
      </c>
      <c r="D1663" t="s">
        <v>1156</v>
      </c>
      <c r="E1663">
        <v>0</v>
      </c>
      <c r="F1663">
        <f>MAX(-1,3-Tableau1[[#This Row],[Nb possédé (digital)]])</f>
        <v>3</v>
      </c>
      <c r="G1663">
        <v>3</v>
      </c>
      <c r="H1663">
        <f>MAX(-1,3-Tableau1[[#This Row],[Possédé (physique)]])</f>
        <v>0</v>
      </c>
      <c r="I1663" t="str">
        <f>IF(Tableau1[[#This Row],[Manque (physique)]]&gt;Tableau1[[#This Row],[Manque (digital)]],"POD",IF(Tableau1[[#This Row],[Manque (digital)]]&gt;Tableau1[[#This Row],[Manque (physique)]],"MarketPlace",""))</f>
        <v>MarketPlace</v>
      </c>
      <c r="J1663" t="s">
        <v>17</v>
      </c>
      <c r="K1663" t="s">
        <v>153</v>
      </c>
      <c r="L1663" t="s">
        <v>52</v>
      </c>
      <c r="M1663" t="s">
        <v>52</v>
      </c>
      <c r="Q1663" t="s">
        <v>1435</v>
      </c>
    </row>
    <row r="1664" spans="1:17" hidden="1" x14ac:dyDescent="0.25">
      <c r="A1664" t="s">
        <v>1159</v>
      </c>
      <c r="B1664" t="s">
        <v>22</v>
      </c>
      <c r="C1664" t="s">
        <v>45</v>
      </c>
      <c r="D1664" t="s">
        <v>1156</v>
      </c>
      <c r="E1664">
        <v>1</v>
      </c>
      <c r="F1664">
        <f>MAX(-1,3-Tableau1[[#This Row],[Nb possédé (digital)]])</f>
        <v>2</v>
      </c>
      <c r="G1664">
        <v>3</v>
      </c>
      <c r="H1664">
        <f>MAX(-1,3-Tableau1[[#This Row],[Possédé (physique)]])</f>
        <v>0</v>
      </c>
      <c r="I1664" t="str">
        <f>IF(Tableau1[[#This Row],[Manque (physique)]]&gt;Tableau1[[#This Row],[Manque (digital)]],"POD",IF(Tableau1[[#This Row],[Manque (digital)]]&gt;Tableau1[[#This Row],[Manque (physique)]],"MarketPlace",""))</f>
        <v>MarketPlace</v>
      </c>
      <c r="J1664" t="s">
        <v>17</v>
      </c>
      <c r="K1664" t="s">
        <v>1271</v>
      </c>
      <c r="L1664" t="s">
        <v>37</v>
      </c>
      <c r="M1664" t="s">
        <v>37</v>
      </c>
      <c r="Q1664" t="s">
        <v>1273</v>
      </c>
    </row>
    <row r="1665" spans="1:17" hidden="1" x14ac:dyDescent="0.25">
      <c r="A1665" t="s">
        <v>1244</v>
      </c>
      <c r="B1665" t="s">
        <v>22</v>
      </c>
      <c r="C1665" t="s">
        <v>45</v>
      </c>
      <c r="D1665" t="s">
        <v>1156</v>
      </c>
      <c r="E1665">
        <v>2</v>
      </c>
      <c r="F1665">
        <f>MAX(-1,3-Tableau1[[#This Row],[Nb possédé (digital)]])</f>
        <v>1</v>
      </c>
      <c r="G1665">
        <v>3</v>
      </c>
      <c r="H1665">
        <f>MAX(-1,3-Tableau1[[#This Row],[Possédé (physique)]])</f>
        <v>0</v>
      </c>
      <c r="I1665" t="str">
        <f>IF(Tableau1[[#This Row],[Manque (physique)]]&gt;Tableau1[[#This Row],[Manque (digital)]],"POD",IF(Tableau1[[#This Row],[Manque (digital)]]&gt;Tableau1[[#This Row],[Manque (physique)]],"MarketPlace",""))</f>
        <v>MarketPlace</v>
      </c>
      <c r="J1665" t="s">
        <v>17</v>
      </c>
      <c r="K1665" t="s">
        <v>97</v>
      </c>
      <c r="L1665" t="s">
        <v>37</v>
      </c>
      <c r="M1665" t="s">
        <v>37</v>
      </c>
      <c r="Q1665" t="s">
        <v>1456</v>
      </c>
    </row>
    <row r="1666" spans="1:17" hidden="1" x14ac:dyDescent="0.25">
      <c r="A1666" t="s">
        <v>1242</v>
      </c>
      <c r="B1666" t="s">
        <v>22</v>
      </c>
      <c r="C1666" t="s">
        <v>45</v>
      </c>
      <c r="D1666" t="s">
        <v>1156</v>
      </c>
      <c r="E1666">
        <v>1</v>
      </c>
      <c r="F1666">
        <f>MAX(-1,3-Tableau1[[#This Row],[Nb possédé (digital)]])</f>
        <v>2</v>
      </c>
      <c r="G1666">
        <v>3</v>
      </c>
      <c r="H1666">
        <f>MAX(-1,3-Tableau1[[#This Row],[Possédé (physique)]])</f>
        <v>0</v>
      </c>
      <c r="I1666" t="str">
        <f>IF(Tableau1[[#This Row],[Manque (physique)]]&gt;Tableau1[[#This Row],[Manque (digital)]],"POD",IF(Tableau1[[#This Row],[Manque (digital)]]&gt;Tableau1[[#This Row],[Manque (physique)]],"MarketPlace",""))</f>
        <v>MarketPlace</v>
      </c>
      <c r="J1666" t="s">
        <v>30</v>
      </c>
      <c r="K1666" t="s">
        <v>601</v>
      </c>
      <c r="L1666" t="s">
        <v>39</v>
      </c>
      <c r="M1666" t="s">
        <v>39</v>
      </c>
      <c r="N1666" t="s">
        <v>23</v>
      </c>
      <c r="O1666" t="s">
        <v>19</v>
      </c>
      <c r="P1666" t="s">
        <v>23</v>
      </c>
      <c r="Q1666" t="s">
        <v>1452</v>
      </c>
    </row>
    <row r="1667" spans="1:17" hidden="1" x14ac:dyDescent="0.25">
      <c r="A1667" t="s">
        <v>1255</v>
      </c>
      <c r="B1667" t="s">
        <v>22</v>
      </c>
      <c r="C1667" t="s">
        <v>45</v>
      </c>
      <c r="D1667" t="s">
        <v>1156</v>
      </c>
      <c r="E1667">
        <v>1</v>
      </c>
      <c r="F1667">
        <f>MAX(-1,3-Tableau1[[#This Row],[Nb possédé (digital)]])</f>
        <v>2</v>
      </c>
      <c r="G1667">
        <v>3</v>
      </c>
      <c r="H1667">
        <f>MAX(-1,3-Tableau1[[#This Row],[Possédé (physique)]])</f>
        <v>0</v>
      </c>
      <c r="I1667" t="str">
        <f>IF(Tableau1[[#This Row],[Manque (physique)]]&gt;Tableau1[[#This Row],[Manque (digital)]],"POD",IF(Tableau1[[#This Row],[Manque (digital)]]&gt;Tableau1[[#This Row],[Manque (physique)]],"MarketPlace",""))</f>
        <v>MarketPlace</v>
      </c>
      <c r="J1667" t="s">
        <v>17</v>
      </c>
      <c r="K1667" t="s">
        <v>201</v>
      </c>
      <c r="L1667" t="s">
        <v>39</v>
      </c>
      <c r="M1667" t="s">
        <v>39</v>
      </c>
      <c r="Q1667" t="s">
        <v>1476</v>
      </c>
    </row>
    <row r="1668" spans="1:17" hidden="1" x14ac:dyDescent="0.25">
      <c r="A1668" t="s">
        <v>1187</v>
      </c>
      <c r="B1668" t="s">
        <v>22</v>
      </c>
      <c r="C1668" t="s">
        <v>45</v>
      </c>
      <c r="D1668" t="s">
        <v>1156</v>
      </c>
      <c r="E1668">
        <v>1</v>
      </c>
      <c r="F1668">
        <f>MAX(-1,3-Tableau1[[#This Row],[Nb possédé (digital)]])</f>
        <v>2</v>
      </c>
      <c r="G1668">
        <v>3</v>
      </c>
      <c r="H1668">
        <f>MAX(-1,3-Tableau1[[#This Row],[Possédé (physique)]])</f>
        <v>0</v>
      </c>
      <c r="I1668" t="str">
        <f>IF(Tableau1[[#This Row],[Manque (physique)]]&gt;Tableau1[[#This Row],[Manque (digital)]],"POD",IF(Tableau1[[#This Row],[Manque (digital)]]&gt;Tableau1[[#This Row],[Manque (physique)]],"MarketPlace",""))</f>
        <v>MarketPlace</v>
      </c>
      <c r="J1668" t="s">
        <v>17</v>
      </c>
      <c r="K1668" t="s">
        <v>201</v>
      </c>
      <c r="L1668" t="s">
        <v>101</v>
      </c>
      <c r="M1668" t="s">
        <v>101</v>
      </c>
      <c r="Q1668" t="s">
        <v>1333</v>
      </c>
    </row>
  </sheetData>
  <conditionalFormatting sqref="E2:E1668 G2:G1668">
    <cfRule type="cellIs" dxfId="4" priority="3" operator="lessThan">
      <formula>3</formula>
    </cfRule>
    <cfRule type="cellIs" dxfId="3" priority="4" operator="equal">
      <formula>3</formula>
    </cfRule>
    <cfRule type="cellIs" dxfId="2" priority="5" operator="greaterThan">
      <formula>3</formula>
    </cfRule>
  </conditionalFormatting>
  <conditionalFormatting sqref="F2:F1668 H2:H1668">
    <cfRule type="cellIs" dxfId="1" priority="1" operator="greaterThan">
      <formula>0</formula>
    </cfRule>
    <cfRule type="cellIs" dxfId="0" priority="2" operator="equal">
      <formula>-1</formula>
    </cfRule>
  </conditionalFormatting>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Guillaume Mulier</cp:lastModifiedBy>
  <dcterms:created xsi:type="dcterms:W3CDTF">2025-06-21T17:00:07Z</dcterms:created>
  <dcterms:modified xsi:type="dcterms:W3CDTF">2026-03-29T14:50:44Z</dcterms:modified>
</cp:coreProperties>
</file>